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  <sheet name="column_notes" sheetId="2" state="visible" r:id="rId4"/>
  </sheets>
  <definedNames>
    <definedName function="false" hidden="true" localSheetId="0" name="_xlnm._FilterDatabase" vbProcedure="false">cleaned_orders!$A$1:$AN$913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<sst xmlns="http://schemas.openxmlformats.org/spreadsheetml/2006/main" count="16498" uniqueCount="2808">
  <si>
    <t xml:space="preserve">order_id</t>
  </si>
  <si>
    <t xml:space="preserve">order_date</t>
  </si>
  <si>
    <t xml:space="preserve">ship_date</t>
  </si>
  <si>
    <t xml:space="preserve">order_date_invalid_flag</t>
  </si>
  <si>
    <t xml:space="preserve">ship_date_invalid_flag</t>
  </si>
  <si>
    <t xml:space="preserve">customer_id</t>
  </si>
  <si>
    <t xml:space="preserve">customer_name</t>
  </si>
  <si>
    <t xml:space="preserve">segment</t>
  </si>
  <si>
    <t xml:space="preserve">region</t>
  </si>
  <si>
    <t xml:space="preserve">region_filled_flag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</si>
  <si>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</si>
  <si>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</si>
  <si>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</si>
  <si>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</si>
  <si>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</si>
  <si>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</si>
  <si>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ship_mode_filled_flag</t>
  </si>
  <si>
    <t xml:space="preserve">quantity</t>
  </si>
  <si>
    <t xml:space="preserve">unit_price</t>
  </si>
  <si>
    <t xml:space="preserve">discount_raw</t>
  </si>
  <si>
    <t xml:space="preserve">discount_filled_flag</t>
  </si>
  <si>
    <t xml:space="preserve">cleaned_discount</t>
  </si>
  <si>
    <t xml:space="preserve">discount_valid_flag</t>
  </si>
  <si>
    <t xml:space="preserve">sales_reported</t>
  </si>
  <si>
    <t xml:space="preserve">calculated_sales</t>
  </si>
  <si>
    <t xml:space="preserve">sales_mismatch_flag</t>
  </si>
  <si>
    <t xml:space="preserve">cost</t>
  </si>
  <si>
    <t xml:space="preserve">profit_reported</t>
  </si>
  <si>
    <t xml:space="preserve">calculated_profit</t>
  </si>
  <si>
    <t xml:space="preserve">profit_mismatch_flag</t>
  </si>
  <si>
    <t xml:space="preserve">profit_margin</t>
  </si>
  <si>
    <t xml:space="preserve">payment_status</t>
  </si>
  <si>
    <t xml:space="preserve">order_status</t>
  </si>
  <si>
    <t xml:space="preserve">status_inconsistency_flag</t>
  </si>
  <si>
    <t xml:space="preserve">shipping_delay_days</t>
  </si>
  <si>
    <t xml:space="preserve">invalid_shipping_flag</t>
  </si>
  <si>
    <t xml:space="preserve">order_month</t>
  </si>
  <si>
    <t xml:space="preserve">order_year</t>
  </si>
  <si>
    <t xml:space="preserve">duplicate_order_id_flag</t>
  </si>
  <si>
    <t xml:space="preserve">data_quality_flag</t>
  </si>
  <si>
    <t xml:space="preserve">ORD-2024-10001</t>
  </si>
  <si>
    <t xml:space="preserve">No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</si>
  <si>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</si>
  <si>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</si>
  <si>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</si>
  <si>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</si>
  <si>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</si>
  <si>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</si>
  <si>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</si>
  <si>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</si>
  <si>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</si>
  <si>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</si>
  <si>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Paid</t>
  </si>
  <si>
    <t xml:space="preserve">Completed</t>
  </si>
  <si>
    <t xml:space="preserve">ORD-2024-10002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</si>
  <si>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</si>
  <si>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</si>
  <si>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</si>
  <si>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</si>
  <si>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</si>
  <si>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</si>
  <si>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</si>
  <si>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</si>
  <si>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</si>
  <si>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</si>
  <si>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ORD-2024-10003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</si>
  <si>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</si>
  <si>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</si>
  <si>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</si>
  <si>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</si>
  <si>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</si>
  <si>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ORD-2024-10004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</si>
  <si>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</si>
  <si>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</si>
  <si>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</si>
  <si>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</si>
  <si>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</si>
  <si>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</si>
  <si>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</si>
  <si>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</si>
  <si>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ORD-2025-10005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</si>
  <si>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</si>
  <si>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</si>
  <si>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</si>
  <si>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</si>
  <si>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</si>
  <si>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</si>
  <si>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</si>
  <si>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</si>
  <si>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ORD-2024-10006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</si>
  <si>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</si>
  <si>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</si>
  <si>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</si>
  <si>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</si>
  <si>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</si>
  <si>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</si>
  <si>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</si>
  <si>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</si>
  <si>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</si>
  <si>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</si>
  <si>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</si>
  <si>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</si>
  <si>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ORD-2025-10008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</si>
  <si>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</si>
  <si>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</si>
  <si>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</si>
  <si>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</si>
  <si>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</si>
  <si>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</si>
  <si>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</si>
  <si>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</si>
  <si>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</si>
  <si>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</si>
  <si>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</si>
  <si>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</si>
  <si>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</si>
  <si>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</si>
  <si>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</si>
  <si>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</si>
  <si>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</si>
  <si>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</si>
  <si>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</si>
  <si>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</si>
  <si>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</si>
  <si>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ORD-2024-10012</t>
  </si>
  <si>
    <t xml:space="preserve">CUST-6528</t>
  </si>
  <si>
    <t xml:space="preserve">Smart Accessories 603</t>
  </si>
  <si>
    <t xml:space="preserve">ORD-2024-10013</t>
  </si>
  <si>
    <t xml:space="preserve">CUST-2648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</si>
  <si>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</si>
  <si>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</si>
  <si>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</si>
  <si>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</si>
  <si>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</si>
  <si>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</si>
  <si>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</si>
  <si>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</si>
  <si>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</si>
  <si>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</si>
  <si>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</si>
  <si>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</si>
  <si>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</si>
  <si>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</si>
  <si>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</si>
  <si>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</si>
  <si>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</si>
  <si>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</si>
  <si>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</si>
  <si>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</si>
  <si>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</si>
  <si>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</si>
  <si>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</si>
  <si>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</si>
  <si>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</si>
  <si>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</si>
  <si>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</si>
  <si>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</si>
  <si>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</si>
  <si>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</si>
  <si>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</si>
  <si>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CUST-3186</t>
  </si>
  <si>
    <t xml:space="preserve">Rohan Mehta</t>
  </si>
  <si>
    <t xml:space="preserve">Prime Storage 121</t>
  </si>
  <si>
    <t xml:space="preserve">ORD-2025-10021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</si>
  <si>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</si>
  <si>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</si>
  <si>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</si>
  <si>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</si>
  <si>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</si>
  <si>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CUST-3036</t>
  </si>
  <si>
    <t xml:space="preserve">Eco Furnishings 897</t>
  </si>
  <si>
    <t xml:space="preserve">ORD-2025-10023</t>
  </si>
  <si>
    <t xml:space="preserve">CUST-3588</t>
  </si>
  <si>
    <t xml:space="preserve">Binders</t>
  </si>
  <si>
    <t xml:space="preserve">Max Binders 355</t>
  </si>
  <si>
    <t xml:space="preserve">Failed</t>
  </si>
  <si>
    <t xml:space="preserve">ORD-2025-10024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</si>
  <si>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</si>
  <si>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</si>
  <si>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</si>
  <si>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</si>
  <si>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CUST-1747</t>
  </si>
  <si>
    <t xml:space="preserve">Diya Patel</t>
  </si>
  <si>
    <t xml:space="preserve">Max Art 215</t>
  </si>
  <si>
    <t xml:space="preserve">ORD-2024-10026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</si>
  <si>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</si>
  <si>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</si>
  <si>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</si>
  <si>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</si>
  <si>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</si>
  <si>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CUST-4401</t>
  </si>
  <si>
    <t xml:space="preserve">Phones</t>
  </si>
  <si>
    <t xml:space="preserve">Pro Phones 243</t>
  </si>
  <si>
    <t xml:space="preserve">ORD-2025-10028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</si>
  <si>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</si>
  <si>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</si>
  <si>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</si>
  <si>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</si>
  <si>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</si>
  <si>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</si>
  <si>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</si>
  <si>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</si>
  <si>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</si>
  <si>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</si>
  <si>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</si>
  <si>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</si>
  <si>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</si>
  <si>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</si>
  <si>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</si>
  <si>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</si>
  <si>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</si>
  <si>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</si>
  <si>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</si>
  <si>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</si>
  <si>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CUST-7867</t>
  </si>
  <si>
    <t xml:space="preserve">Pro Paper 959</t>
  </si>
  <si>
    <t xml:space="preserve">ORD-2024-10033</t>
  </si>
  <si>
    <t xml:space="preserve">CUST-6509</t>
  </si>
  <si>
    <t xml:space="preserve">Basic Phones 242</t>
  </si>
  <si>
    <t xml:space="preserve">ORD-2024-10034</t>
  </si>
  <si>
    <t xml:space="preserve">CUST-6660</t>
  </si>
  <si>
    <t xml:space="preserve">Max Tables 836</t>
  </si>
  <si>
    <t xml:space="preserve">ORD-2025-10035</t>
  </si>
  <si>
    <t xml:space="preserve">CUST-2392</t>
  </si>
  <si>
    <t xml:space="preserve">Elite Chairs 862</t>
  </si>
  <si>
    <t xml:space="preserve">Unknown</t>
  </si>
  <si>
    <t xml:space="preserve">Yes</t>
  </si>
  <si>
    <t xml:space="preserve">ORD-2024-10036</t>
  </si>
  <si>
    <t xml:space="preserve">CUST-1611</t>
  </si>
  <si>
    <t xml:space="preserve">Prime Bookcases 414</t>
  </si>
  <si>
    <t xml:space="preserve">ORD-2024-10037</t>
  </si>
  <si>
    <t xml:space="preserve">CUST-8296</t>
  </si>
  <si>
    <t xml:space="preserve">Eco Bookcases 220</t>
  </si>
  <si>
    <t xml:space="preserve">ORD-2025-10038</t>
  </si>
  <si>
    <t xml:space="preserve">CUST-4646</t>
  </si>
  <si>
    <t xml:space="preserve">Pro Copiers 830</t>
  </si>
  <si>
    <t xml:space="preserve">ORD-2024-10039</t>
  </si>
  <si>
    <t xml:space="preserve">CUST-8235</t>
  </si>
  <si>
    <t xml:space="preserve">Prime Phones 507</t>
  </si>
  <si>
    <t xml:space="preserve">ORD-2024-10040</t>
  </si>
  <si>
    <t xml:space="preserve">CUST-5830</t>
  </si>
  <si>
    <t xml:space="preserve">Classic Copiers 590</t>
  </si>
  <si>
    <t xml:space="preserve">ORD-2024-10041</t>
  </si>
  <si>
    <t xml:space="preserve">CUST-7178</t>
  </si>
  <si>
    <t xml:space="preserve">Eco Copiers 865</t>
  </si>
  <si>
    <t xml:space="preserve">ORD-2024-10042</t>
  </si>
  <si>
    <t xml:space="preserve">CUST-3829</t>
  </si>
  <si>
    <t xml:space="preserve">Classic Bookcases 835</t>
  </si>
  <si>
    <t xml:space="preserve">ORD-2025-10043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</si>
  <si>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</si>
  <si>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</si>
  <si>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</si>
  <si>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</si>
  <si>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</si>
  <si>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CUST-7119</t>
  </si>
  <si>
    <t xml:space="preserve">Smart Furnishings 956</t>
  </si>
  <si>
    <t xml:space="preserve">ORD-2024-10045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</si>
  <si>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</si>
  <si>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</si>
  <si>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</si>
  <si>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</si>
  <si>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</si>
  <si>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CUST-8896</t>
  </si>
  <si>
    <t xml:space="preserve">Prime Art 221</t>
  </si>
  <si>
    <t xml:space="preserve">ORD-2024-10047</t>
  </si>
  <si>
    <t xml:space="preserve">CUST-8517</t>
  </si>
  <si>
    <t xml:space="preserve">Elite Bookcases 671</t>
  </si>
  <si>
    <t xml:space="preserve">ORD-2024-10048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</si>
  <si>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</si>
  <si>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</si>
  <si>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</si>
  <si>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</si>
  <si>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</si>
  <si>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CUST-8183</t>
  </si>
  <si>
    <t xml:space="preserve">Basic Chairs 837</t>
  </si>
  <si>
    <t xml:space="preserve">ORD-2024-10050</t>
  </si>
  <si>
    <t xml:space="preserve">CUST-2380</t>
  </si>
  <si>
    <t xml:space="preserve">Classic Copiers 295</t>
  </si>
  <si>
    <t xml:space="preserve">ORD-2025-10051</t>
  </si>
  <si>
    <t xml:space="preserve">CUST-8787</t>
  </si>
  <si>
    <t xml:space="preserve">Pro Copiers 963</t>
  </si>
  <si>
    <t xml:space="preserve">ORD-2024-10052</t>
  </si>
  <si>
    <t xml:space="preserve">CUST-3557</t>
  </si>
  <si>
    <t xml:space="preserve">Pro Art 907</t>
  </si>
  <si>
    <t xml:space="preserve">ORD-2024-10053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</si>
  <si>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</si>
  <si>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</si>
  <si>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</si>
  <si>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</si>
  <si>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CUST-7195</t>
  </si>
  <si>
    <t xml:space="preserve">Elite Storage 924</t>
  </si>
  <si>
    <t xml:space="preserve">ORD-2025-10055</t>
  </si>
  <si>
    <t xml:space="preserve">CUST-9039</t>
  </si>
  <si>
    <t xml:space="preserve">Pro Labels 957</t>
  </si>
  <si>
    <t xml:space="preserve">ORD-2025-10056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</si>
  <si>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</si>
  <si>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</si>
  <si>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</si>
  <si>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</si>
  <si>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CUST-8701</t>
  </si>
  <si>
    <t xml:space="preserve">Smart Binders 393</t>
  </si>
  <si>
    <t xml:space="preserve">ORD-2024-10058</t>
  </si>
  <si>
    <t xml:space="preserve">CUST-9941</t>
  </si>
  <si>
    <t xml:space="preserve">Max Chairs 813</t>
  </si>
  <si>
    <t xml:space="preserve">ORD-2024-10059</t>
  </si>
  <si>
    <t xml:space="preserve">CUST-3983</t>
  </si>
  <si>
    <t xml:space="preserve">Basic Storage 872</t>
  </si>
  <si>
    <t xml:space="preserve">ORD-2024-10060</t>
  </si>
  <si>
    <t xml:space="preserve">CUST-2418</t>
  </si>
  <si>
    <t xml:space="preserve">Smart Labels 655</t>
  </si>
  <si>
    <t xml:space="preserve">ORD-2024-10061</t>
  </si>
  <si>
    <t xml:space="preserve">CUST-2892</t>
  </si>
  <si>
    <t xml:space="preserve">Eco Labels 210</t>
  </si>
  <si>
    <t xml:space="preserve">ORD-2024-10062</t>
  </si>
  <si>
    <t xml:space="preserve">CUST-7008</t>
  </si>
  <si>
    <t xml:space="preserve">Classic Bookcases 296</t>
  </si>
  <si>
    <t xml:space="preserve">ORD-2024-10063</t>
  </si>
  <si>
    <t xml:space="preserve">CUST-4900</t>
  </si>
  <si>
    <t xml:space="preserve">Basic Phones 230</t>
  </si>
  <si>
    <t xml:space="preserve">ORD-2024-10064</t>
  </si>
  <si>
    <t xml:space="preserve">CUST-5382</t>
  </si>
  <si>
    <t xml:space="preserve">Pro Binders 690</t>
  </si>
  <si>
    <t xml:space="preserve">ORD-2024-10065</t>
  </si>
  <si>
    <t xml:space="preserve">CUST-2749</t>
  </si>
  <si>
    <t xml:space="preserve">Classic Paper 458</t>
  </si>
  <si>
    <t xml:space="preserve">ORD-2024-10066</t>
  </si>
  <si>
    <t xml:space="preserve">CUST-2463</t>
  </si>
  <si>
    <t xml:space="preserve">Pro Paper 552</t>
  </si>
  <si>
    <t xml:space="preserve">ORD-2025-10067</t>
  </si>
  <si>
    <t xml:space="preserve">CUST-1504</t>
  </si>
  <si>
    <t xml:space="preserve">Elite Accessories 187</t>
  </si>
  <si>
    <t xml:space="preserve">ORD-2025-10068</t>
  </si>
  <si>
    <t xml:space="preserve">CUST-8282</t>
  </si>
  <si>
    <t xml:space="preserve">Eco Paper 922</t>
  </si>
  <si>
    <t xml:space="preserve">ORD-2024-10069</t>
  </si>
  <si>
    <t xml:space="preserve">CUST-6054</t>
  </si>
  <si>
    <t xml:space="preserve">Pro Storage 975</t>
  </si>
  <si>
    <t xml:space="preserve">ORD-2024-10070</t>
  </si>
  <si>
    <t xml:space="preserve">CUST-5979</t>
  </si>
  <si>
    <t xml:space="preserve">Prime Machines 782</t>
  </si>
  <si>
    <t xml:space="preserve">ORD-2025-10071</t>
  </si>
  <si>
    <t xml:space="preserve">CUST-5582</t>
  </si>
  <si>
    <t xml:space="preserve">Max Phones 661</t>
  </si>
  <si>
    <t xml:space="preserve">ORD-2025-10072</t>
  </si>
  <si>
    <t xml:space="preserve">CUST-3308</t>
  </si>
  <si>
    <t xml:space="preserve">Elite Machines 836</t>
  </si>
  <si>
    <t xml:space="preserve">ORD-2024-10073</t>
  </si>
  <si>
    <t xml:space="preserve">CUST-5018</t>
  </si>
  <si>
    <t xml:space="preserve">Prime Tables 902</t>
  </si>
  <si>
    <t xml:space="preserve">ORD-2025-10074</t>
  </si>
  <si>
    <t xml:space="preserve">CUST-2342</t>
  </si>
  <si>
    <t xml:space="preserve">Smart Bookcases 167</t>
  </si>
  <si>
    <t xml:space="preserve">ORD-2025-10075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</si>
  <si>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</si>
  <si>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</si>
  <si>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</si>
  <si>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</si>
  <si>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</si>
  <si>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</si>
  <si>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CUST-2642</t>
  </si>
  <si>
    <t xml:space="preserve">Max Labels 617</t>
  </si>
  <si>
    <t xml:space="preserve">ORD-2025-10078</t>
  </si>
  <si>
    <t xml:space="preserve">CUST-4385</t>
  </si>
  <si>
    <t xml:space="preserve">Pro Furnishings 529</t>
  </si>
  <si>
    <t xml:space="preserve">ORD-2025-10079</t>
  </si>
  <si>
    <t xml:space="preserve">CUST-8043</t>
  </si>
  <si>
    <t xml:space="preserve">Smart Tables 561</t>
  </si>
  <si>
    <t xml:space="preserve">ORD-2025-10080</t>
  </si>
  <si>
    <t xml:space="preserve">CUST-9978</t>
  </si>
  <si>
    <t xml:space="preserve">Prime Chairs 838</t>
  </si>
  <si>
    <t xml:space="preserve">ORD-2024-10081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</si>
  <si>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</si>
  <si>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</si>
  <si>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</si>
  <si>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</si>
  <si>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</si>
  <si>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CUST-7907</t>
  </si>
  <si>
    <t xml:space="preserve">Eco Labels 662</t>
  </si>
  <si>
    <t xml:space="preserve">ORD-2024-10083</t>
  </si>
  <si>
    <t xml:space="preserve">CUST-6516</t>
  </si>
  <si>
    <t xml:space="preserve">Smart Copiers 702</t>
  </si>
  <si>
    <t xml:space="preserve">ORD-2024-10084</t>
  </si>
  <si>
    <t xml:space="preserve">CUST-4989</t>
  </si>
  <si>
    <t xml:space="preserve">Elite Tables 362</t>
  </si>
  <si>
    <t xml:space="preserve">ORD-2024-10085</t>
  </si>
  <si>
    <t xml:space="preserve">CUST-3758</t>
  </si>
  <si>
    <t xml:space="preserve">Elite Phones 781</t>
  </si>
  <si>
    <t xml:space="preserve">ORD-2024-10086</t>
  </si>
  <si>
    <t xml:space="preserve">CUST-6702</t>
  </si>
  <si>
    <t xml:space="preserve">Eco Binders 456</t>
  </si>
  <si>
    <t xml:space="preserve">ORD-2024-10087</t>
  </si>
  <si>
    <t xml:space="preserve">CUST-9148</t>
  </si>
  <si>
    <t xml:space="preserve">Basic Copiers 525</t>
  </si>
  <si>
    <t xml:space="preserve">ORD-2024-10088</t>
  </si>
  <si>
    <t xml:space="preserve">CUST-5829</t>
  </si>
  <si>
    <t xml:space="preserve">Eco Binders 258</t>
  </si>
  <si>
    <t xml:space="preserve">ORD-2024-10089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</si>
  <si>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</si>
  <si>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</si>
  <si>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</si>
  <si>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</si>
  <si>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</si>
  <si>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</si>
  <si>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CUST-5909</t>
  </si>
  <si>
    <t xml:space="preserve">Smart Copiers 556</t>
  </si>
  <si>
    <t xml:space="preserve">ORD-2025-10092</t>
  </si>
  <si>
    <t xml:space="preserve">CUST-6409</t>
  </si>
  <si>
    <t xml:space="preserve">Prime Copiers 575</t>
  </si>
  <si>
    <t xml:space="preserve">ORD-2025-10093</t>
  </si>
  <si>
    <t xml:space="preserve">CUST-3014</t>
  </si>
  <si>
    <t xml:space="preserve">Elite Paper 669</t>
  </si>
  <si>
    <t xml:space="preserve">ORD-2024-10094</t>
  </si>
  <si>
    <t xml:space="preserve">CUST-6106</t>
  </si>
  <si>
    <t xml:space="preserve">Eco Binders 780</t>
  </si>
  <si>
    <t xml:space="preserve">ORD-2024-10095</t>
  </si>
  <si>
    <t xml:space="preserve">CUST-1926</t>
  </si>
  <si>
    <t xml:space="preserve">Elite Phones 723</t>
  </si>
  <si>
    <t xml:space="preserve">ORD-2025-10096</t>
  </si>
  <si>
    <t xml:space="preserve">CUST-2687</t>
  </si>
  <si>
    <t xml:space="preserve">Classic Bookcases 988</t>
  </si>
  <si>
    <t xml:space="preserve">ORD-2024-10097</t>
  </si>
  <si>
    <t xml:space="preserve">CUST-7283</t>
  </si>
  <si>
    <t xml:space="preserve">Smart Copiers 547</t>
  </si>
  <si>
    <t xml:space="preserve">ORD-2025-10098</t>
  </si>
  <si>
    <t xml:space="preserve">CUST-8111</t>
  </si>
  <si>
    <t xml:space="preserve">Basic Storage 656</t>
  </si>
  <si>
    <t xml:space="preserve">ORD-2024-10099</t>
  </si>
  <si>
    <t xml:space="preserve">CUST-5434</t>
  </si>
  <si>
    <t xml:space="preserve">Elite Copiers 785</t>
  </si>
  <si>
    <t xml:space="preserve">ORD-2025-10100</t>
  </si>
  <si>
    <t xml:space="preserve">CUST-3865</t>
  </si>
  <si>
    <t xml:space="preserve">Smart Accessories 542</t>
  </si>
  <si>
    <t xml:space="preserve">ORD-2025-10101</t>
  </si>
  <si>
    <t xml:space="preserve">CUST-6015</t>
  </si>
  <si>
    <t xml:space="preserve">Eco Storage 936</t>
  </si>
  <si>
    <t xml:space="preserve">ORD-2024-10102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</si>
  <si>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</si>
  <si>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</si>
  <si>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</si>
  <si>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</si>
  <si>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</si>
  <si>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</si>
  <si>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CUST-6263</t>
  </si>
  <si>
    <t xml:space="preserve">Prime Tables 377</t>
  </si>
  <si>
    <t xml:space="preserve">ORD-2025-10105</t>
  </si>
  <si>
    <t xml:space="preserve">CUST-1576</t>
  </si>
  <si>
    <t xml:space="preserve">Prime Labels 807</t>
  </si>
  <si>
    <t xml:space="preserve">ORD-2024-10106</t>
  </si>
  <si>
    <t xml:space="preserve">CUST-6540</t>
  </si>
  <si>
    <t xml:space="preserve">Eco Tables 575</t>
  </si>
  <si>
    <t xml:space="preserve">ORD-2024-10107</t>
  </si>
  <si>
    <t xml:space="preserve">CUST-4008</t>
  </si>
  <si>
    <t xml:space="preserve">Eco Paper 918</t>
  </si>
  <si>
    <t xml:space="preserve">ORD-2024-10108</t>
  </si>
  <si>
    <t xml:space="preserve">CUST-6604</t>
  </si>
  <si>
    <t xml:space="preserve">Prime Furnishings 952</t>
  </si>
  <si>
    <t xml:space="preserve">ORD-2024-10109</t>
  </si>
  <si>
    <t xml:space="preserve">CUST-4337</t>
  </si>
  <si>
    <t xml:space="preserve">Prime Bookcases 631</t>
  </si>
  <si>
    <t xml:space="preserve">ORD-2025-10110</t>
  </si>
  <si>
    <t xml:space="preserve">CUST-3740</t>
  </si>
  <si>
    <t xml:space="preserve">Classic Binders 660</t>
  </si>
  <si>
    <t xml:space="preserve">ORD-2024-10111</t>
  </si>
  <si>
    <t xml:space="preserve">CUST-7128</t>
  </si>
  <si>
    <t xml:space="preserve">Pro Labels 255</t>
  </si>
  <si>
    <t xml:space="preserve">ORD-2025-10112</t>
  </si>
  <si>
    <t xml:space="preserve">CUST-4743</t>
  </si>
  <si>
    <t xml:space="preserve">Basic Accessories 187</t>
  </si>
  <si>
    <t xml:space="preserve">ORD-2024-10113</t>
  </si>
  <si>
    <t xml:space="preserve">CUST-5213</t>
  </si>
  <si>
    <t xml:space="preserve">Max Accessories 451</t>
  </si>
  <si>
    <t xml:space="preserve">ORD-2024-10114</t>
  </si>
  <si>
    <t xml:space="preserve">Classic Tables 752</t>
  </si>
  <si>
    <t xml:space="preserve">ORD-2024-10115</t>
  </si>
  <si>
    <t xml:space="preserve">CUST-2927</t>
  </si>
  <si>
    <t xml:space="preserve">Eco Accessories 452</t>
  </si>
  <si>
    <t xml:space="preserve">ORD-2024-10116</t>
  </si>
  <si>
    <t xml:space="preserve">CUST-7764</t>
  </si>
  <si>
    <t xml:space="preserve">Classic Binders 203</t>
  </si>
  <si>
    <t xml:space="preserve">ORD-2025-10117</t>
  </si>
  <si>
    <t xml:space="preserve">CUST-3632</t>
  </si>
  <si>
    <t xml:space="preserve">Basic Binders 859</t>
  </si>
  <si>
    <t xml:space="preserve">ORD-2024-10118</t>
  </si>
  <si>
    <t xml:space="preserve">CUST-9608</t>
  </si>
  <si>
    <t xml:space="preserve">Elite Machines 705</t>
  </si>
  <si>
    <t xml:space="preserve">70%</t>
  </si>
  <si>
    <t xml:space="preserve">ORD-2024-10119</t>
  </si>
  <si>
    <t xml:space="preserve">CUST-9135</t>
  </si>
  <si>
    <t xml:space="preserve">Pro Copiers 208</t>
  </si>
  <si>
    <t xml:space="preserve">ORD-2024-10120</t>
  </si>
  <si>
    <t xml:space="preserve">CUST-7861</t>
  </si>
  <si>
    <t xml:space="preserve">Elite Chairs 921</t>
  </si>
  <si>
    <t xml:space="preserve">ORD-2024-10121</t>
  </si>
  <si>
    <t xml:space="preserve">CUST-6096</t>
  </si>
  <si>
    <t xml:space="preserve">Prime Phones 540</t>
  </si>
  <si>
    <t xml:space="preserve">ORD-2025-10122</t>
  </si>
  <si>
    <t xml:space="preserve">CUST-2044</t>
  </si>
  <si>
    <t xml:space="preserve">Max Machines 948</t>
  </si>
  <si>
    <t xml:space="preserve">ORD-2024-10123</t>
  </si>
  <si>
    <t xml:space="preserve">CUST-1721</t>
  </si>
  <si>
    <t xml:space="preserve">Max Chairs 786</t>
  </si>
  <si>
    <t xml:space="preserve">ORD-2024-10124</t>
  </si>
  <si>
    <t xml:space="preserve">CUST-1007</t>
  </si>
  <si>
    <t xml:space="preserve">Max Copiers 970</t>
  </si>
  <si>
    <t xml:space="preserve">ORD-2024-10125</t>
  </si>
  <si>
    <t xml:space="preserve">CUST-4450</t>
  </si>
  <si>
    <t xml:space="preserve">Pro Copiers 769</t>
  </si>
  <si>
    <t xml:space="preserve">ORD-2025-10126</t>
  </si>
  <si>
    <t xml:space="preserve">CUST-7924</t>
  </si>
  <si>
    <t xml:space="preserve">Basic Tables 753</t>
  </si>
  <si>
    <t xml:space="preserve">ORD-2025-10127</t>
  </si>
  <si>
    <t xml:space="preserve">CUST-1715</t>
  </si>
  <si>
    <t xml:space="preserve">Prime Copiers 651</t>
  </si>
  <si>
    <t xml:space="preserve">ORD-2025-10128</t>
  </si>
  <si>
    <t xml:space="preserve">CUST-6802</t>
  </si>
  <si>
    <t xml:space="preserve">Basic Storage 321</t>
  </si>
  <si>
    <t xml:space="preserve">ORD-2024-10129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</si>
  <si>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</si>
  <si>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</si>
  <si>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</si>
  <si>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</si>
  <si>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</si>
  <si>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</si>
  <si>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CUST-5435</t>
  </si>
  <si>
    <t xml:space="preserve">Smart Labels 878</t>
  </si>
  <si>
    <t xml:space="preserve">ORD-2025-10132</t>
  </si>
  <si>
    <t xml:space="preserve">CUST-7637</t>
  </si>
  <si>
    <t xml:space="preserve">Pro Paper 934</t>
  </si>
  <si>
    <t xml:space="preserve">ORD-2024-10133</t>
  </si>
  <si>
    <t xml:space="preserve">CUST-3602</t>
  </si>
  <si>
    <t xml:space="preserve">Classic Machines 886</t>
  </si>
  <si>
    <t xml:space="preserve">ORD-2024-10134</t>
  </si>
  <si>
    <t xml:space="preserve">CUST-9441</t>
  </si>
  <si>
    <t xml:space="preserve">Prime Phones 419</t>
  </si>
  <si>
    <t xml:space="preserve">ORD-2025-10135</t>
  </si>
  <si>
    <t xml:space="preserve">CUST-7361</t>
  </si>
  <si>
    <t xml:space="preserve">Elite Bookcases 266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</si>
  <si>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</si>
  <si>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</si>
  <si>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</si>
  <si>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</si>
  <si>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CUST-3350</t>
  </si>
  <si>
    <t xml:space="preserve">Max Binders 362</t>
  </si>
  <si>
    <t xml:space="preserve">ORD-2025-10138</t>
  </si>
  <si>
    <t xml:space="preserve">CUST-7932</t>
  </si>
  <si>
    <t xml:space="preserve">Prime Chairs 261</t>
  </si>
  <si>
    <t xml:space="preserve">ORD-2024-10139</t>
  </si>
  <si>
    <t xml:space="preserve">CUST-7173</t>
  </si>
  <si>
    <t xml:space="preserve">Basic Machines 185</t>
  </si>
  <si>
    <t xml:space="preserve">ORD-2025-10140</t>
  </si>
  <si>
    <t xml:space="preserve">CUST-4225</t>
  </si>
  <si>
    <t xml:space="preserve">Basic Labels 509</t>
  </si>
  <si>
    <t xml:space="preserve">ORD-2024-10141</t>
  </si>
  <si>
    <t xml:space="preserve">CUST-2149</t>
  </si>
  <si>
    <t xml:space="preserve">Elite Bookcases 696</t>
  </si>
  <si>
    <t xml:space="preserve">ORD-2024-10142</t>
  </si>
  <si>
    <t xml:space="preserve">CUST-3314</t>
  </si>
  <si>
    <t xml:space="preserve">Elite Bookcases 772</t>
  </si>
  <si>
    <t xml:space="preserve">ORD-2024-10143</t>
  </si>
  <si>
    <t xml:space="preserve">CUST-8944</t>
  </si>
  <si>
    <t xml:space="preserve">Classic Phones 142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</si>
  <si>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</si>
  <si>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</si>
  <si>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</si>
  <si>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</si>
  <si>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</si>
  <si>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</si>
  <si>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</si>
  <si>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CUST-6161</t>
  </si>
  <si>
    <t xml:space="preserve">Smart Paper 899</t>
  </si>
  <si>
    <t xml:space="preserve">ORD-2025-10147</t>
  </si>
  <si>
    <t xml:space="preserve">CUST-1460</t>
  </si>
  <si>
    <t xml:space="preserve">Classic Storage 423</t>
  </si>
  <si>
    <t xml:space="preserve">ORD-2024-10148</t>
  </si>
  <si>
    <t xml:space="preserve">CUST-2692</t>
  </si>
  <si>
    <t xml:space="preserve">Classic Furnishings 743</t>
  </si>
  <si>
    <t xml:space="preserve">ORD-2025-10149</t>
  </si>
  <si>
    <t xml:space="preserve">CUST-2822</t>
  </si>
  <si>
    <t xml:space="preserve">Smart Phones 336</t>
  </si>
  <si>
    <t xml:space="preserve">ORD-2024-10150</t>
  </si>
  <si>
    <t xml:space="preserve">CUST-5876</t>
  </si>
  <si>
    <t xml:space="preserve">Eco Copiers 381</t>
  </si>
  <si>
    <t xml:space="preserve">ORD-2024-10151</t>
  </si>
  <si>
    <t xml:space="preserve">CUST-4661</t>
  </si>
  <si>
    <t xml:space="preserve">Max Bookcases 595</t>
  </si>
  <si>
    <t xml:space="preserve">ORD-2024-10152</t>
  </si>
  <si>
    <t xml:space="preserve">CUST-6011</t>
  </si>
  <si>
    <t xml:space="preserve">Max Copiers 992</t>
  </si>
  <si>
    <t xml:space="preserve">ORD-2024-10153</t>
  </si>
  <si>
    <t xml:space="preserve">CUST-6160</t>
  </si>
  <si>
    <t xml:space="preserve">Pro Tables 407</t>
  </si>
  <si>
    <t xml:space="preserve">ORD-2025-10154</t>
  </si>
  <si>
    <t xml:space="preserve">CUST-6971</t>
  </si>
  <si>
    <t xml:space="preserve">Prime Labels 559</t>
  </si>
  <si>
    <t xml:space="preserve">ORD-2024-10155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</si>
  <si>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</si>
  <si>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</si>
  <si>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</si>
  <si>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</si>
  <si>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</si>
  <si>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CUST-4058</t>
  </si>
  <si>
    <t xml:space="preserve">Eco Machines 657</t>
  </si>
  <si>
    <t xml:space="preserve">ORD-2024-10158</t>
  </si>
  <si>
    <t xml:space="preserve">CUST-1142</t>
  </si>
  <si>
    <t xml:space="preserve">Pro Bookcases 430</t>
  </si>
  <si>
    <t xml:space="preserve">ORD-2024-10159</t>
  </si>
  <si>
    <t xml:space="preserve">CUST-2324</t>
  </si>
  <si>
    <t xml:space="preserve">Max Bookcases 881</t>
  </si>
  <si>
    <t xml:space="preserve">ORD-2025-10160</t>
  </si>
  <si>
    <t xml:space="preserve">CUST-7717</t>
  </si>
  <si>
    <t xml:space="preserve">Elite Chairs 998</t>
  </si>
  <si>
    <t xml:space="preserve">ORD-2025-10161</t>
  </si>
  <si>
    <t xml:space="preserve">CUST-4932</t>
  </si>
  <si>
    <t xml:space="preserve">Max Paper 113</t>
  </si>
  <si>
    <t xml:space="preserve">ORD-2025-10162</t>
  </si>
  <si>
    <t xml:space="preserve">CUST-2367</t>
  </si>
  <si>
    <t xml:space="preserve">Smart Binders 267</t>
  </si>
  <si>
    <t xml:space="preserve">ORD-2024-10163</t>
  </si>
  <si>
    <t xml:space="preserve">CUST-4830</t>
  </si>
  <si>
    <t xml:space="preserve">Pro Furnishings 108</t>
  </si>
  <si>
    <t xml:space="preserve">ORD-2025-10164</t>
  </si>
  <si>
    <t xml:space="preserve">CUST-2548</t>
  </si>
  <si>
    <t xml:space="preserve">Elite Tables 389</t>
  </si>
  <si>
    <t xml:space="preserve">ORD-2025-10165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</si>
  <si>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</si>
  <si>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</si>
  <si>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</si>
  <si>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</si>
  <si>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</si>
  <si>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</si>
  <si>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CUST-7215</t>
  </si>
  <si>
    <t xml:space="preserve">Basic Labels 671</t>
  </si>
  <si>
    <t xml:space="preserve">ORD-2025-10168</t>
  </si>
  <si>
    <t xml:space="preserve">CUST-7770</t>
  </si>
  <si>
    <t xml:space="preserve">Elite Storage 628</t>
  </si>
  <si>
    <t xml:space="preserve">ORD-2025-10169</t>
  </si>
  <si>
    <t xml:space="preserve">CUST-9756</t>
  </si>
  <si>
    <t xml:space="preserve">Eco Accessories 590</t>
  </si>
  <si>
    <t xml:space="preserve">ORD-2025-10170</t>
  </si>
  <si>
    <t xml:space="preserve">CUST-2261</t>
  </si>
  <si>
    <t xml:space="preserve">Pro Art 734</t>
  </si>
  <si>
    <t xml:space="preserve">ORD-2025-10171</t>
  </si>
  <si>
    <t xml:space="preserve">CUST-3734</t>
  </si>
  <si>
    <t xml:space="preserve">Eco Copiers 102</t>
  </si>
  <si>
    <t xml:space="preserve">ORD-2025-10172</t>
  </si>
  <si>
    <t xml:space="preserve">CUST-3436</t>
  </si>
  <si>
    <t xml:space="preserve">Basic Labels 876</t>
  </si>
  <si>
    <t xml:space="preserve">ORD-2025-10173</t>
  </si>
  <si>
    <t xml:space="preserve">CUST-4845</t>
  </si>
  <si>
    <t xml:space="preserve">Prime Furnishings 381</t>
  </si>
  <si>
    <t xml:space="preserve">ORD-2024-10174</t>
  </si>
  <si>
    <t xml:space="preserve">CUST-6153</t>
  </si>
  <si>
    <t xml:space="preserve">PRIYA MENON</t>
  </si>
  <si>
    <t xml:space="preserve">Prime Copiers 440</t>
  </si>
  <si>
    <t xml:space="preserve">ORD-2025-10175</t>
  </si>
  <si>
    <t xml:space="preserve">CUST-5475</t>
  </si>
  <si>
    <t xml:space="preserve">Pro Bookcases 319</t>
  </si>
  <si>
    <t xml:space="preserve">ORD-2024-10176</t>
  </si>
  <si>
    <t xml:space="preserve">CUST-5580</t>
  </si>
  <si>
    <t xml:space="preserve">Basic Machines 584</t>
  </si>
  <si>
    <t xml:space="preserve">ORD-2025-10177</t>
  </si>
  <si>
    <t xml:space="preserve">CUST-3027</t>
  </si>
  <si>
    <t xml:space="preserve">Pro Bookcases 612</t>
  </si>
  <si>
    <t xml:space="preserve">ORD-2024-10178</t>
  </si>
  <si>
    <t xml:space="preserve">CUST-4399</t>
  </si>
  <si>
    <t xml:space="preserve">Classic Art 573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</si>
  <si>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</si>
  <si>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</si>
  <si>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</si>
  <si>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</si>
  <si>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CUST-1778</t>
  </si>
  <si>
    <t xml:space="preserve">Classic Furnishings 996</t>
  </si>
  <si>
    <t xml:space="preserve">ORD-2024-10181</t>
  </si>
  <si>
    <t xml:space="preserve">CUST-3787</t>
  </si>
  <si>
    <t xml:space="preserve">Prime Binders 735</t>
  </si>
  <si>
    <t xml:space="preserve">ORD-2025-10182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</si>
  <si>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</si>
  <si>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</si>
  <si>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</si>
  <si>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</si>
  <si>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</si>
  <si>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</si>
  <si>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CUST-3366</t>
  </si>
  <si>
    <t xml:space="preserve">Elite Copiers 788</t>
  </si>
  <si>
    <t xml:space="preserve">ORD-2024-10185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</si>
  <si>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</si>
  <si>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</si>
  <si>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</si>
  <si>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</si>
  <si>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</si>
  <si>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</si>
  <si>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</si>
  <si>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</si>
  <si>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CUST-3109</t>
  </si>
  <si>
    <t xml:space="preserve">Pro Chairs 844</t>
  </si>
  <si>
    <t xml:space="preserve">ORD-2025-10189</t>
  </si>
  <si>
    <t xml:space="preserve">CUST-3422</t>
  </si>
  <si>
    <t xml:space="preserve">Elite Bookcases 883</t>
  </si>
  <si>
    <t xml:space="preserve">ORD-2025-10190</t>
  </si>
  <si>
    <t xml:space="preserve">CUST-3375</t>
  </si>
  <si>
    <t xml:space="preserve">Basic Bookcases 754</t>
  </si>
  <si>
    <t xml:space="preserve">ORD-2025-10191</t>
  </si>
  <si>
    <t xml:space="preserve">CUST-5138</t>
  </si>
  <si>
    <t xml:space="preserve">Eco Storage 158</t>
  </si>
  <si>
    <t xml:space="preserve">ORD-2024-10192</t>
  </si>
  <si>
    <t xml:space="preserve">CUST-7410</t>
  </si>
  <si>
    <t xml:space="preserve">Prime Bookcases 602</t>
  </si>
  <si>
    <t xml:space="preserve">ORD-2024-10193</t>
  </si>
  <si>
    <t xml:space="preserve">CUST-7115</t>
  </si>
  <si>
    <t xml:space="preserve">Eco Chairs 438</t>
  </si>
  <si>
    <t xml:space="preserve">ORD-2024-10194</t>
  </si>
  <si>
    <t xml:space="preserve">CUST-9853</t>
  </si>
  <si>
    <t xml:space="preserve">Prime Copiers 142</t>
  </si>
  <si>
    <t xml:space="preserve">ORD-2025-10195</t>
  </si>
  <si>
    <t xml:space="preserve">CUST-3637</t>
  </si>
  <si>
    <t xml:space="preserve">Prime Furnishings 433</t>
  </si>
  <si>
    <t xml:space="preserve">ORD-2025-10196</t>
  </si>
  <si>
    <t xml:space="preserve">CUST-4328</t>
  </si>
  <si>
    <t xml:space="preserve">Smart Furnishings 685</t>
  </si>
  <si>
    <t xml:space="preserve">ORD-2024-10197</t>
  </si>
  <si>
    <t xml:space="preserve">CUST-8028</t>
  </si>
  <si>
    <t xml:space="preserve">Elite Storage 915</t>
  </si>
  <si>
    <t xml:space="preserve">ORD-2025-10198</t>
  </si>
  <si>
    <t xml:space="preserve">Basic Storage 961</t>
  </si>
  <si>
    <t xml:space="preserve">ORD-2024-10199</t>
  </si>
  <si>
    <t xml:space="preserve">CUST-7820</t>
  </si>
  <si>
    <t xml:space="preserve">Classic Art 968</t>
  </si>
  <si>
    <t xml:space="preserve">ORD-2024-10200</t>
  </si>
  <si>
    <t xml:space="preserve">CUST-4536</t>
  </si>
  <si>
    <t xml:space="preserve">Prime Machines 806</t>
  </si>
  <si>
    <t xml:space="preserve">ORD-2025-10201</t>
  </si>
  <si>
    <t xml:space="preserve">CUST-7047</t>
  </si>
  <si>
    <t xml:space="preserve">Classic Copiers 479</t>
  </si>
  <si>
    <t xml:space="preserve">ORD-2025-10202</t>
  </si>
  <si>
    <t xml:space="preserve">CUST-8005</t>
  </si>
  <si>
    <t xml:space="preserve">Basic Labels 511</t>
  </si>
  <si>
    <t xml:space="preserve">ORD-2025-10203</t>
  </si>
  <si>
    <t xml:space="preserve">CUST-9378</t>
  </si>
  <si>
    <t xml:space="preserve">Prime Accessories 733</t>
  </si>
  <si>
    <t xml:space="preserve">ORD-2024-10204</t>
  </si>
  <si>
    <t xml:space="preserve">CUST-3384</t>
  </si>
  <si>
    <t xml:space="preserve">Max Accessories 186</t>
  </si>
  <si>
    <t xml:space="preserve">ORD-2025-10205</t>
  </si>
  <si>
    <t xml:space="preserve">CUST-1986</t>
  </si>
  <si>
    <t xml:space="preserve">Elite Tables 318</t>
  </si>
  <si>
    <t xml:space="preserve">ORD-2025-10206</t>
  </si>
  <si>
    <t xml:space="preserve">CUST-3338</t>
  </si>
  <si>
    <t xml:space="preserve">Smart Labels 354</t>
  </si>
  <si>
    <t xml:space="preserve">ORD-2025-10207</t>
  </si>
  <si>
    <t xml:space="preserve">CUST-2343</t>
  </si>
  <si>
    <t xml:space="preserve">Pro Furnishings 981</t>
  </si>
  <si>
    <t xml:space="preserve">ORD-2024-10208</t>
  </si>
  <si>
    <t xml:space="preserve">CUST-3362</t>
  </si>
  <si>
    <t xml:space="preserve">Eco Bookcases 671</t>
  </si>
  <si>
    <t xml:space="preserve">ORD-2025-10209</t>
  </si>
  <si>
    <t xml:space="preserve">CUST-3662</t>
  </si>
  <si>
    <t xml:space="preserve">Max Chairs 151</t>
  </si>
  <si>
    <t xml:space="preserve">ORD-2025-10210</t>
  </si>
  <si>
    <t xml:space="preserve">CUST-4947</t>
  </si>
  <si>
    <t xml:space="preserve">Prime Paper 903</t>
  </si>
  <si>
    <t xml:space="preserve">ORD-2024-10211</t>
  </si>
  <si>
    <t xml:space="preserve">CUST-3076</t>
  </si>
  <si>
    <t xml:space="preserve">Classic Machines 944</t>
  </si>
  <si>
    <t xml:space="preserve">ORD-2024-10212</t>
  </si>
  <si>
    <t xml:space="preserve">CUST-2222</t>
  </si>
  <si>
    <t xml:space="preserve">Basic Copiers 222</t>
  </si>
  <si>
    <t xml:space="preserve">ORD-2024-10213</t>
  </si>
  <si>
    <t xml:space="preserve">CUST-3610</t>
  </si>
  <si>
    <t xml:space="preserve">Max Phones 329</t>
  </si>
  <si>
    <t xml:space="preserve">ORD-2024-10214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</si>
  <si>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</si>
  <si>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</si>
  <si>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</si>
  <si>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</si>
  <si>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</si>
  <si>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</si>
  <si>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CUST-8603</t>
  </si>
  <si>
    <t xml:space="preserve">Prime Paper 286</t>
  </si>
  <si>
    <t xml:space="preserve">ORD-2025-10217</t>
  </si>
  <si>
    <t xml:space="preserve">CUST-4330</t>
  </si>
  <si>
    <t xml:space="preserve">Basic Tables 400</t>
  </si>
  <si>
    <t xml:space="preserve">ORD-2025-10218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</si>
  <si>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</si>
  <si>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</si>
  <si>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</si>
  <si>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</si>
  <si>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</si>
  <si>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ORD-2024-10220</t>
  </si>
  <si>
    <t xml:space="preserve">CUST-1472</t>
  </si>
  <si>
    <t xml:space="preserve">Elite Machines 290</t>
  </si>
  <si>
    <t xml:space="preserve">85%</t>
  </si>
  <si>
    <t xml:space="preserve">ORD-2024-10221</t>
  </si>
  <si>
    <t xml:space="preserve">CUST-1031</t>
  </si>
  <si>
    <t xml:space="preserve">Elite Storage 925</t>
  </si>
  <si>
    <t xml:space="preserve">ORD-2025-10222</t>
  </si>
  <si>
    <t xml:space="preserve">CUST-2495</t>
  </si>
  <si>
    <t xml:space="preserve">Classic Chairs 231</t>
  </si>
  <si>
    <t xml:space="preserve">ORD-2025-10223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</si>
  <si>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</si>
  <si>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</si>
  <si>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</si>
  <si>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</si>
  <si>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</si>
  <si>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ORD-2025-10225</t>
  </si>
  <si>
    <t xml:space="preserve">CUST-9871</t>
  </si>
  <si>
    <t xml:space="preserve">Classic Furnishings 109</t>
  </si>
  <si>
    <t xml:space="preserve">ORD-2024-10226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</si>
  <si>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</si>
  <si>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</si>
  <si>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</si>
  <si>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</si>
  <si>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</si>
  <si>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</si>
  <si>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CUST-2819</t>
  </si>
  <si>
    <t xml:space="preserve">Prime Binders 507</t>
  </si>
  <si>
    <t xml:space="preserve">ORD-2024-10229</t>
  </si>
  <si>
    <t xml:space="preserve">CUST-1076</t>
  </si>
  <si>
    <t xml:space="preserve">Smart Labels 914</t>
  </si>
  <si>
    <t xml:space="preserve">ORD-2025-10230</t>
  </si>
  <si>
    <t xml:space="preserve">CUST-1943</t>
  </si>
  <si>
    <t xml:space="preserve">Smart Bookcases 662</t>
  </si>
  <si>
    <t xml:space="preserve">ORD-2024-10231</t>
  </si>
  <si>
    <t xml:space="preserve">CUST-3434</t>
  </si>
  <si>
    <t xml:space="preserve">Eco Paper 937</t>
  </si>
  <si>
    <t xml:space="preserve">ORD-2024-10232</t>
  </si>
  <si>
    <t xml:space="preserve">CUST-9139</t>
  </si>
  <si>
    <t xml:space="preserve">Max Labels 370</t>
  </si>
  <si>
    <t xml:space="preserve">ORD-2025-10233</t>
  </si>
  <si>
    <t xml:space="preserve">CUST-5341</t>
  </si>
  <si>
    <t xml:space="preserve">Classic Phones 530</t>
  </si>
  <si>
    <t xml:space="preserve">ORD-2024-10234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</si>
  <si>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</si>
  <si>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</si>
  <si>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</si>
  <si>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</si>
  <si>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</si>
  <si>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</si>
  <si>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CUST-6256</t>
  </si>
  <si>
    <t xml:space="preserve">Basic Storage 195</t>
  </si>
  <si>
    <t xml:space="preserve">ORD-2024-10237</t>
  </si>
  <si>
    <t xml:space="preserve">CUST-7113</t>
  </si>
  <si>
    <t xml:space="preserve">Elite Bookcases 907</t>
  </si>
  <si>
    <t xml:space="preserve">ORD-2024-10238</t>
  </si>
  <si>
    <t xml:space="preserve">CUST-3827</t>
  </si>
  <si>
    <t xml:space="preserve">Smart Copiers 471</t>
  </si>
  <si>
    <t xml:space="preserve">ORD-2024-10239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</si>
  <si>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</si>
  <si>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</si>
  <si>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</si>
  <si>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</si>
  <si>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</si>
  <si>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</si>
  <si>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CUST-9778</t>
  </si>
  <si>
    <t xml:space="preserve">Max Binders 170</t>
  </si>
  <si>
    <t xml:space="preserve">ORD-2025-10242</t>
  </si>
  <si>
    <t xml:space="preserve">CUST-6949</t>
  </si>
  <si>
    <t xml:space="preserve">Basic Storage 737</t>
  </si>
  <si>
    <t xml:space="preserve">ORD-2025-10243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</si>
  <si>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</si>
  <si>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</si>
  <si>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</si>
  <si>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</si>
  <si>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</si>
  <si>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</si>
  <si>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</si>
  <si>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</si>
  <si>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</si>
  <si>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</si>
  <si>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</si>
  <si>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</si>
  <si>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CUST-1827</t>
  </si>
  <si>
    <t xml:space="preserve">Classic Machines 819</t>
  </si>
  <si>
    <t xml:space="preserve">ORD-2024-10248</t>
  </si>
  <si>
    <t xml:space="preserve">CUST-6663</t>
  </si>
  <si>
    <t xml:space="preserve">Smart Accessories 572</t>
  </si>
  <si>
    <t xml:space="preserve">ORD-2024-10249</t>
  </si>
  <si>
    <t xml:space="preserve">CUST-6278</t>
  </si>
  <si>
    <t xml:space="preserve">Basic Labels 432</t>
  </si>
  <si>
    <t xml:space="preserve">ORD-2025-10250</t>
  </si>
  <si>
    <t xml:space="preserve">CUST-2305</t>
  </si>
  <si>
    <t xml:space="preserve">Classic Furnishings 378</t>
  </si>
  <si>
    <t xml:space="preserve">ORD-2024-10251</t>
  </si>
  <si>
    <t xml:space="preserve">CUST-5351</t>
  </si>
  <si>
    <t xml:space="preserve">Prime Furnishings 781</t>
  </si>
  <si>
    <t xml:space="preserve">ORD-2025-10252</t>
  </si>
  <si>
    <t xml:space="preserve">CUST-6268</t>
  </si>
  <si>
    <t xml:space="preserve">Prime Tables 263</t>
  </si>
  <si>
    <t xml:space="preserve">ORD-2025-10253</t>
  </si>
  <si>
    <t xml:space="preserve">CUST-2103</t>
  </si>
  <si>
    <t xml:space="preserve">Basic Storage 269</t>
  </si>
  <si>
    <t xml:space="preserve">ORD-2024-10254</t>
  </si>
  <si>
    <t xml:space="preserve">CUST-5394</t>
  </si>
  <si>
    <t xml:space="preserve">Classic Phones 442</t>
  </si>
  <si>
    <t xml:space="preserve">ORD-2025-10255</t>
  </si>
  <si>
    <t xml:space="preserve">CUST-6853</t>
  </si>
  <si>
    <t xml:space="preserve">Elite Accessories 978</t>
  </si>
  <si>
    <t xml:space="preserve">ORD-2025-10256</t>
  </si>
  <si>
    <t xml:space="preserve">CUST-1549</t>
  </si>
  <si>
    <t xml:space="preserve">Eco Phones 132</t>
  </si>
  <si>
    <t xml:space="preserve">ORD-2024-10257</t>
  </si>
  <si>
    <t xml:space="preserve">CUST-8411</t>
  </si>
  <si>
    <t xml:space="preserve">Prime Tables 481</t>
  </si>
  <si>
    <t xml:space="preserve">ORD-2025-10258</t>
  </si>
  <si>
    <t xml:space="preserve">CUST-5615</t>
  </si>
  <si>
    <t xml:space="preserve">Smart Accessories 180</t>
  </si>
  <si>
    <t xml:space="preserve">ORD-2024-10259</t>
  </si>
  <si>
    <t xml:space="preserve">CUST-8467</t>
  </si>
  <si>
    <t xml:space="preserve">Smart Tables 774</t>
  </si>
  <si>
    <t xml:space="preserve">ORD-2024-10260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</si>
  <si>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</si>
  <si>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</si>
  <si>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</si>
  <si>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</si>
  <si>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</si>
  <si>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</si>
  <si>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CUST-7623</t>
  </si>
  <si>
    <t xml:space="preserve">Prime Labels 326</t>
  </si>
  <si>
    <t xml:space="preserve">ORD-2025-10263</t>
  </si>
  <si>
    <t xml:space="preserve">Eco Phones 245</t>
  </si>
  <si>
    <t xml:space="preserve">ORD-2025-10264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</si>
  <si>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</si>
  <si>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</si>
  <si>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</si>
  <si>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</si>
  <si>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</si>
  <si>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</si>
  <si>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CUST-3974</t>
  </si>
  <si>
    <t xml:space="preserve">Basic Bookcases 570</t>
  </si>
  <si>
    <t xml:space="preserve">ORD-2025-10267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</si>
  <si>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</si>
  <si>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</si>
  <si>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</si>
  <si>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</si>
  <si>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</si>
  <si>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</si>
  <si>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CUST-1488</t>
  </si>
  <si>
    <t xml:space="preserve">Prime Accessories 367</t>
  </si>
  <si>
    <t xml:space="preserve">ORD-2025-10270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</si>
  <si>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</si>
  <si>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</si>
  <si>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</si>
  <si>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</si>
  <si>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</si>
  <si>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</si>
  <si>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CUST-8009</t>
  </si>
  <si>
    <t xml:space="preserve">Max Binders 927</t>
  </si>
  <si>
    <t xml:space="preserve">ORD-2024-10273</t>
  </si>
  <si>
    <t xml:space="preserve">CUST-7389</t>
  </si>
  <si>
    <t xml:space="preserve">Eco Chairs 314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</si>
  <si>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</si>
  <si>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</si>
  <si>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</si>
  <si>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</si>
  <si>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CUST-4202</t>
  </si>
  <si>
    <t xml:space="preserve">Pro Copiers 406</t>
  </si>
  <si>
    <t xml:space="preserve">ORD-2024-10276</t>
  </si>
  <si>
    <t xml:space="preserve">CUST-2875</t>
  </si>
  <si>
    <t xml:space="preserve">Eco Furnishings 678</t>
  </si>
  <si>
    <t xml:space="preserve">ORD-2024-10277</t>
  </si>
  <si>
    <t xml:space="preserve">CUST-7039</t>
  </si>
  <si>
    <t xml:space="preserve">Basic Chairs 141</t>
  </si>
  <si>
    <t xml:space="preserve">ORD-2025-10278</t>
  </si>
  <si>
    <t xml:space="preserve">Elite Accessories 291</t>
  </si>
  <si>
    <t xml:space="preserve">ORD-2025-10279</t>
  </si>
  <si>
    <t xml:space="preserve">CUST-8242</t>
  </si>
  <si>
    <t xml:space="preserve">Pro Accessories 207</t>
  </si>
  <si>
    <t xml:space="preserve">ORD-2024-10280</t>
  </si>
  <si>
    <t xml:space="preserve">CUST-4571</t>
  </si>
  <si>
    <t xml:space="preserve">Max Storage 564</t>
  </si>
  <si>
    <t xml:space="preserve">ORD-2024-10281</t>
  </si>
  <si>
    <t xml:space="preserve">CUST-4098</t>
  </si>
  <si>
    <t xml:space="preserve">Prime Copiers 961</t>
  </si>
  <si>
    <t xml:space="preserve">ORD-2025-10282</t>
  </si>
  <si>
    <t xml:space="preserve">CUST-2052</t>
  </si>
  <si>
    <t xml:space="preserve">Basic Binders 637</t>
  </si>
  <si>
    <t xml:space="preserve">ORD-2024-10283</t>
  </si>
  <si>
    <t xml:space="preserve">CUST-9445</t>
  </si>
  <si>
    <t xml:space="preserve">Classic Tables 811</t>
  </si>
  <si>
    <t xml:space="preserve">ORD-2025-10284</t>
  </si>
  <si>
    <t xml:space="preserve">CUST-6568</t>
  </si>
  <si>
    <t xml:space="preserve">Classic Furnishings 819</t>
  </si>
  <si>
    <t xml:space="preserve">ORD-2024-10285</t>
  </si>
  <si>
    <t xml:space="preserve">CUST-2076</t>
  </si>
  <si>
    <t xml:space="preserve">Prime Tables 542</t>
  </si>
  <si>
    <t xml:space="preserve">ORD-2025-10286</t>
  </si>
  <si>
    <t xml:space="preserve">CUST-5610</t>
  </si>
  <si>
    <t xml:space="preserve">Basic Storage 771</t>
  </si>
  <si>
    <t xml:space="preserve">ORD-2024-10287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</si>
  <si>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</si>
  <si>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</si>
  <si>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</si>
  <si>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</si>
  <si>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</si>
  <si>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</si>
  <si>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</si>
  <si>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</si>
  <si>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</si>
  <si>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</si>
  <si>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</si>
  <si>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</si>
  <si>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</si>
  <si>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</si>
  <si>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</si>
  <si>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CUST-2860</t>
  </si>
  <si>
    <t xml:space="preserve">Eco Binders 153</t>
  </si>
  <si>
    <t xml:space="preserve">ORD-2025-10293</t>
  </si>
  <si>
    <t xml:space="preserve">CUST-7837</t>
  </si>
  <si>
    <t xml:space="preserve">Classic Art 183</t>
  </si>
  <si>
    <t xml:space="preserve">ORD-2024-10294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</si>
  <si>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</si>
  <si>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</si>
  <si>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</si>
  <si>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</si>
  <si>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</si>
  <si>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</si>
  <si>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</si>
  <si>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</si>
  <si>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</si>
  <si>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CUST-7629</t>
  </si>
  <si>
    <t xml:space="preserve">Basic Furnishings 617</t>
  </si>
  <si>
    <t xml:space="preserve">ORD-2024-10298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</si>
  <si>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</si>
  <si>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</si>
  <si>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</si>
  <si>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</si>
  <si>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</si>
  <si>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</si>
  <si>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CUST-7264</t>
  </si>
  <si>
    <t xml:space="preserve">Max Accessories 145</t>
  </si>
  <si>
    <t xml:space="preserve">ORD-2024-10301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</si>
  <si>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</si>
  <si>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</si>
  <si>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</si>
  <si>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</si>
  <si>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</si>
  <si>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</si>
  <si>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</si>
  <si>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</si>
  <si>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</si>
  <si>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</si>
  <si>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</si>
  <si>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</si>
  <si>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CUST-6286</t>
  </si>
  <si>
    <t xml:space="preserve">Pro Furnishings 991</t>
  </si>
  <si>
    <t xml:space="preserve">ORD-2024-10306</t>
  </si>
  <si>
    <t xml:space="preserve">CUST-7246</t>
  </si>
  <si>
    <t xml:space="preserve">Eco Chairs 105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</si>
  <si>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</si>
  <si>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</si>
  <si>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</si>
  <si>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</si>
  <si>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CUST-4153</t>
  </si>
  <si>
    <t xml:space="preserve">Basic Tables 911</t>
  </si>
  <si>
    <t xml:space="preserve">ORD-2025-10309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</si>
  <si>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</si>
  <si>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</si>
  <si>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</si>
  <si>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</si>
  <si>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</si>
  <si>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</si>
  <si>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</si>
  <si>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</si>
  <si>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</si>
  <si>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</si>
  <si>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</si>
  <si>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ORD-2024-10313</t>
  </si>
  <si>
    <t xml:space="preserve">CUST-4851</t>
  </si>
  <si>
    <t xml:space="preserve">Elite Phones 679</t>
  </si>
  <si>
    <t xml:space="preserve">ORD-2025-10314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</si>
  <si>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</si>
  <si>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</si>
  <si>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</si>
  <si>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</si>
  <si>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</si>
  <si>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</si>
  <si>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CUST-7565</t>
  </si>
  <si>
    <t xml:space="preserve">Smart Paper 817</t>
  </si>
  <si>
    <t xml:space="preserve">ORD-2024-10317</t>
  </si>
  <si>
    <t xml:space="preserve">CUST-9913</t>
  </si>
  <si>
    <t xml:space="preserve">Classic Labels 466</t>
  </si>
  <si>
    <t xml:space="preserve">ORD-2025-10318</t>
  </si>
  <si>
    <t xml:space="preserve">CUST-7992</t>
  </si>
  <si>
    <t xml:space="preserve">Pro Tables 778</t>
  </si>
  <si>
    <t xml:space="preserve">ORD-2024-10319</t>
  </si>
  <si>
    <t xml:space="preserve">CUST-8877</t>
  </si>
  <si>
    <t xml:space="preserve">Basic Phones 789</t>
  </si>
  <si>
    <t xml:space="preserve">ORD-2024-10320</t>
  </si>
  <si>
    <t xml:space="preserve">CUST-4589</t>
  </si>
  <si>
    <t xml:space="preserve">Prime Binders 554</t>
  </si>
  <si>
    <t xml:space="preserve">ORD-2024-10321</t>
  </si>
  <si>
    <t xml:space="preserve">CUST-4667</t>
  </si>
  <si>
    <t xml:space="preserve">Classic Art 299</t>
  </si>
  <si>
    <t xml:space="preserve">ORD-2024-10322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</si>
  <si>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</si>
  <si>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</si>
  <si>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</si>
  <si>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</si>
  <si>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</si>
  <si>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</si>
  <si>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CUST-6909</t>
  </si>
  <si>
    <t xml:space="preserve">ORD-2025-10325</t>
  </si>
  <si>
    <t xml:space="preserve">CUST-7212</t>
  </si>
  <si>
    <t xml:space="preserve">Basic Labels 102</t>
  </si>
  <si>
    <t xml:space="preserve">ORD-2025-10326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</si>
  <si>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</si>
  <si>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</si>
  <si>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</si>
  <si>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</si>
  <si>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</si>
  <si>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</si>
  <si>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</si>
  <si>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</si>
  <si>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</si>
  <si>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CUST-7239</t>
  </si>
  <si>
    <t xml:space="preserve">Smart Storage 439</t>
  </si>
  <si>
    <t xml:space="preserve">ORD-2025-10330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</si>
  <si>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</si>
  <si>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</si>
  <si>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</si>
  <si>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</si>
  <si>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</si>
  <si>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</si>
  <si>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CUST-9346</t>
  </si>
  <si>
    <t xml:space="preserve">Smart Binders 939</t>
  </si>
  <si>
    <t xml:space="preserve">ORD-2025-10333</t>
  </si>
  <si>
    <t xml:space="preserve">CUST-5332</t>
  </si>
  <si>
    <t xml:space="preserve">Basic Machines 601</t>
  </si>
  <si>
    <t xml:space="preserve">ORD-2025-10334</t>
  </si>
  <si>
    <t xml:space="preserve">CUST-8081</t>
  </si>
  <si>
    <t xml:space="preserve">Pro Phones 968</t>
  </si>
  <si>
    <t xml:space="preserve">ORD-2024-10335</t>
  </si>
  <si>
    <t xml:space="preserve">CUST-3062</t>
  </si>
  <si>
    <t xml:space="preserve">Pro Storage 563</t>
  </si>
  <si>
    <t xml:space="preserve">ORD-2025-10336</t>
  </si>
  <si>
    <t xml:space="preserve">CUST-3621</t>
  </si>
  <si>
    <t xml:space="preserve">Prime Paper 559</t>
  </si>
  <si>
    <t xml:space="preserve">ORD-2024-10337</t>
  </si>
  <si>
    <t xml:space="preserve">Pro Copiers 999</t>
  </si>
  <si>
    <t xml:space="preserve">ORD-2024-10338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</si>
  <si>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</si>
  <si>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</si>
  <si>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</si>
  <si>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</si>
  <si>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</si>
  <si>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</si>
  <si>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CUST-2752</t>
  </si>
  <si>
    <t xml:space="preserve">Elite Bookcases 988</t>
  </si>
  <si>
    <t xml:space="preserve">ORD-2024-10341</t>
  </si>
  <si>
    <t xml:space="preserve">CUST-6291</t>
  </si>
  <si>
    <t xml:space="preserve">Smart Binders 414</t>
  </si>
  <si>
    <t xml:space="preserve">ORD-2025-10342</t>
  </si>
  <si>
    <t xml:space="preserve">CUST-9969</t>
  </si>
  <si>
    <t xml:space="preserve">Eco Chairs 552</t>
  </si>
  <si>
    <t xml:space="preserve">ORD-2025-10343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</si>
  <si>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</si>
  <si>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</si>
  <si>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</si>
  <si>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</si>
  <si>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</si>
  <si>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</si>
  <si>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</si>
  <si>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</si>
  <si>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</si>
  <si>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CUST-4634</t>
  </si>
  <si>
    <t xml:space="preserve">Elite Furnishings 138</t>
  </si>
  <si>
    <t xml:space="preserve">ORD-2025-10347</t>
  </si>
  <si>
    <t xml:space="preserve">CUST-3400</t>
  </si>
  <si>
    <t xml:space="preserve">Eco Chairs 369</t>
  </si>
  <si>
    <t xml:space="preserve">ORD-2024-10348</t>
  </si>
  <si>
    <t xml:space="preserve">CUST-1172</t>
  </si>
  <si>
    <t xml:space="preserve">Max Chairs 487</t>
  </si>
  <si>
    <t xml:space="preserve">ORD-2024-10349</t>
  </si>
  <si>
    <t xml:space="preserve">CUST-9517</t>
  </si>
  <si>
    <t xml:space="preserve">Classic Phones 989</t>
  </si>
  <si>
    <t xml:space="preserve">ORD-2025-10350</t>
  </si>
  <si>
    <t xml:space="preserve">CUST-6697</t>
  </si>
  <si>
    <t xml:space="preserve">Max Furnishings 628</t>
  </si>
  <si>
    <t xml:space="preserve">ORD-2024-10351</t>
  </si>
  <si>
    <t xml:space="preserve">CUST-7644</t>
  </si>
  <si>
    <t xml:space="preserve">Elite Furnishings 279</t>
  </si>
  <si>
    <t xml:space="preserve">ORD-2025-10352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</si>
  <si>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</si>
  <si>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</si>
  <si>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</si>
  <si>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</si>
  <si>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</si>
  <si>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</si>
  <si>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CUST-3253</t>
  </si>
  <si>
    <t xml:space="preserve">Prime Art 978</t>
  </si>
  <si>
    <t xml:space="preserve">ORD-2024-10355</t>
  </si>
  <si>
    <t xml:space="preserve">CUST-1058</t>
  </si>
  <si>
    <t xml:space="preserve">Classic Furnishings 498</t>
  </si>
  <si>
    <t xml:space="preserve">ORD-2024-10356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</si>
  <si>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</si>
  <si>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</si>
  <si>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</si>
  <si>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</si>
  <si>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</si>
  <si>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</si>
  <si>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CUST-1363</t>
  </si>
  <si>
    <t xml:space="preserve">Max Machines 770</t>
  </si>
  <si>
    <t xml:space="preserve">ORD-2025-10359</t>
  </si>
  <si>
    <t xml:space="preserve">CUST-2477</t>
  </si>
  <si>
    <t xml:space="preserve">Smart Bookcases 134</t>
  </si>
  <si>
    <t xml:space="preserve">ORD-2024-10360</t>
  </si>
  <si>
    <t xml:space="preserve">CUST-9571</t>
  </si>
  <si>
    <t xml:space="preserve">Classic Phones 586</t>
  </si>
  <si>
    <t xml:space="preserve">ORD-2024-10361</t>
  </si>
  <si>
    <t xml:space="preserve">CUST-3690</t>
  </si>
  <si>
    <t xml:space="preserve">Elite Furnishings 634</t>
  </si>
  <si>
    <t xml:space="preserve">ORD-2025-10362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</si>
  <si>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</si>
  <si>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</si>
  <si>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</si>
  <si>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</si>
  <si>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</si>
  <si>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</si>
  <si>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CUST-1832</t>
  </si>
  <si>
    <t xml:space="preserve">Smart Tables 943</t>
  </si>
  <si>
    <t xml:space="preserve">ORD-2025-10365</t>
  </si>
  <si>
    <t xml:space="preserve">CUST-4452</t>
  </si>
  <si>
    <t xml:space="preserve">Prime Chairs 101</t>
  </si>
  <si>
    <t xml:space="preserve">ORD-2024-10366</t>
  </si>
  <si>
    <t xml:space="preserve">CUST-2203</t>
  </si>
  <si>
    <t xml:space="preserve">Basic Accessories 774</t>
  </si>
  <si>
    <t xml:space="preserve">ORD-2025-10367</t>
  </si>
  <si>
    <t xml:space="preserve">CUST-5397</t>
  </si>
  <si>
    <t xml:space="preserve">Max Tables 478</t>
  </si>
  <si>
    <t xml:space="preserve">ORD-2024-10368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</si>
  <si>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</si>
  <si>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</si>
  <si>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</si>
  <si>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</si>
  <si>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</si>
  <si>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</si>
  <si>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</si>
  <si>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</si>
  <si>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</si>
  <si>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</si>
  <si>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</si>
  <si>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ORD-2024-10372</t>
  </si>
  <si>
    <t xml:space="preserve">CUST-2204</t>
  </si>
  <si>
    <t xml:space="preserve">Pro Art 906</t>
  </si>
  <si>
    <t xml:space="preserve">ORD-2025-10373</t>
  </si>
  <si>
    <t xml:space="preserve">Max Chairs 181</t>
  </si>
  <si>
    <t xml:space="preserve">ORD-2025-10374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</si>
  <si>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</si>
  <si>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</si>
  <si>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</si>
  <si>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</si>
  <si>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</si>
  <si>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</si>
  <si>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</si>
  <si>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</si>
  <si>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</si>
  <si>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</si>
  <si>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</si>
  <si>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</si>
  <si>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</si>
  <si>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</si>
  <si>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</si>
  <si>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CUST-3154</t>
  </si>
  <si>
    <t xml:space="preserve">Basic Accessories 988</t>
  </si>
  <si>
    <t xml:space="preserve">ORD-2024-10380</t>
  </si>
  <si>
    <t xml:space="preserve">CUST-6405</t>
  </si>
  <si>
    <t xml:space="preserve">Max Paper 334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</si>
  <si>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</si>
  <si>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</si>
  <si>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</si>
  <si>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</si>
  <si>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CUST-9943</t>
  </si>
  <si>
    <t xml:space="preserve">Prime Binders 523</t>
  </si>
  <si>
    <t xml:space="preserve">ORD-2025-10383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</si>
  <si>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</si>
  <si>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</si>
  <si>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</si>
  <si>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</si>
  <si>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</si>
  <si>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</si>
  <si>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</si>
  <si>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</si>
  <si>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</si>
  <si>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</si>
  <si>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</si>
  <si>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</si>
  <si>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</si>
  <si>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</si>
  <si>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</si>
  <si>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</si>
  <si>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</si>
  <si>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CUST-1457</t>
  </si>
  <si>
    <t xml:space="preserve">Elite Chairs 639</t>
  </si>
  <si>
    <t xml:space="preserve">ORD-2024-10390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</si>
  <si>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</si>
  <si>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</si>
  <si>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</si>
  <si>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</si>
  <si>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</si>
  <si>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</si>
  <si>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</si>
  <si>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</si>
  <si>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</si>
  <si>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CUST-6866</t>
  </si>
  <si>
    <t xml:space="preserve">Classic Furnishings 746</t>
  </si>
  <si>
    <t xml:space="preserve">ORD-2024-10394</t>
  </si>
  <si>
    <t xml:space="preserve">CUST-3160</t>
  </si>
  <si>
    <t xml:space="preserve">Eco Labels 815</t>
  </si>
  <si>
    <t xml:space="preserve">ORD-2024-10395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</si>
  <si>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</si>
  <si>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</si>
  <si>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</si>
  <si>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</si>
  <si>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</si>
  <si>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</si>
  <si>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CUST-2280</t>
  </si>
  <si>
    <t xml:space="preserve">Prime Machines 267</t>
  </si>
  <si>
    <t xml:space="preserve">ORD-2025-10398</t>
  </si>
  <si>
    <t xml:space="preserve">CUST-3177</t>
  </si>
  <si>
    <t xml:space="preserve">Eco Tables 378</t>
  </si>
  <si>
    <t xml:space="preserve">ORD-2024-10399</t>
  </si>
  <si>
    <t xml:space="preserve">CUST-4718</t>
  </si>
  <si>
    <t xml:space="preserve">Elite Machines 523</t>
  </si>
  <si>
    <t xml:space="preserve">ORD-2025-10400</t>
  </si>
  <si>
    <t xml:space="preserve">CUST-5647</t>
  </si>
  <si>
    <t xml:space="preserve">Elite Paper 308</t>
  </si>
  <si>
    <t xml:space="preserve">ORD-2025-10401</t>
  </si>
  <si>
    <t xml:space="preserve">CUST-7150</t>
  </si>
  <si>
    <t xml:space="preserve">Prime Paper 851</t>
  </si>
  <si>
    <t xml:space="preserve">ORD-2025-10402</t>
  </si>
  <si>
    <t xml:space="preserve">CUST-6694</t>
  </si>
  <si>
    <t xml:space="preserve">Classic Tables 151</t>
  </si>
  <si>
    <t xml:space="preserve">ORD-2024-10403</t>
  </si>
  <si>
    <t xml:space="preserve">CUST-7680</t>
  </si>
  <si>
    <t xml:space="preserve">Smart Tables 829</t>
  </si>
  <si>
    <t xml:space="preserve">ORD-2024-10404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</si>
  <si>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</si>
  <si>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</si>
  <si>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</si>
  <si>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</si>
  <si>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</si>
  <si>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</si>
  <si>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</si>
  <si>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</si>
  <si>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</si>
  <si>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</si>
  <si>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</si>
  <si>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</si>
  <si>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</si>
  <si>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</si>
  <si>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</si>
  <si>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</si>
  <si>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</si>
  <si>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</si>
  <si>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</si>
  <si>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</si>
  <si>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</si>
  <si>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</si>
  <si>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</si>
  <si>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</si>
  <si>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</si>
  <si>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</si>
  <si>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</si>
  <si>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</si>
  <si>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</si>
  <si>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</si>
  <si>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</si>
  <si>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</si>
  <si>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</si>
  <si>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</si>
  <si>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</si>
  <si>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</si>
  <si>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</si>
  <si>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</si>
  <si>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</si>
  <si>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</si>
  <si>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</si>
  <si>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</si>
  <si>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</si>
  <si>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</si>
  <si>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</si>
  <si>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CUST-7925</t>
  </si>
  <si>
    <t xml:space="preserve">Elite Copiers 971</t>
  </si>
  <si>
    <t xml:space="preserve">ORD-2025-10420</t>
  </si>
  <si>
    <t xml:space="preserve">CUST-6552</t>
  </si>
  <si>
    <t xml:space="preserve">Classic Phones 940</t>
  </si>
  <si>
    <t xml:space="preserve">ORD-2025-10421</t>
  </si>
  <si>
    <t xml:space="preserve">CUST-7131</t>
  </si>
  <si>
    <t xml:space="preserve">Pro Machines 579</t>
  </si>
  <si>
    <t xml:space="preserve">ORD-2025-10422</t>
  </si>
  <si>
    <t xml:space="preserve">CUST-2779</t>
  </si>
  <si>
    <t xml:space="preserve">Elite Binders 943</t>
  </si>
  <si>
    <t xml:space="preserve">ORD-2025-10423</t>
  </si>
  <si>
    <t xml:space="preserve">CUST-6077</t>
  </si>
  <si>
    <t xml:space="preserve">Elite Copiers 474</t>
  </si>
  <si>
    <t xml:space="preserve">ORD-2024-10424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</si>
  <si>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</si>
  <si>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</si>
  <si>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</si>
  <si>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</si>
  <si>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</si>
  <si>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</si>
  <si>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</si>
  <si>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</si>
  <si>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</si>
  <si>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</si>
  <si>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</si>
  <si>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</si>
  <si>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</si>
  <si>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</si>
  <si>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</si>
  <si>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CUST-7626</t>
  </si>
  <si>
    <t xml:space="preserve">Elite Phones 488</t>
  </si>
  <si>
    <t xml:space="preserve">ORD-2025-10430</t>
  </si>
  <si>
    <t xml:space="preserve">CUST-8562</t>
  </si>
  <si>
    <t xml:space="preserve">Prime Copiers 109</t>
  </si>
  <si>
    <t xml:space="preserve">ORD-2024-10431</t>
  </si>
  <si>
    <t xml:space="preserve">CUST-2732</t>
  </si>
  <si>
    <t xml:space="preserve">Max Paper 576</t>
  </si>
  <si>
    <t xml:space="preserve">ORD-2024-10432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</si>
  <si>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</si>
  <si>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</si>
  <si>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</si>
  <si>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</si>
  <si>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</si>
  <si>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</si>
  <si>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CUST-7066</t>
  </si>
  <si>
    <t xml:space="preserve">Elite Art 946</t>
  </si>
  <si>
    <t xml:space="preserve">ORD-2025-10435</t>
  </si>
  <si>
    <t xml:space="preserve">CUST-2351</t>
  </si>
  <si>
    <t xml:space="preserve">Eco Accessories 705</t>
  </si>
  <si>
    <t xml:space="preserve">ORD-2025-10436</t>
  </si>
  <si>
    <t xml:space="preserve">CUST-7291</t>
  </si>
  <si>
    <t xml:space="preserve">Max Machines 151</t>
  </si>
  <si>
    <t xml:space="preserve">ORD-2024-10437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</si>
  <si>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</si>
  <si>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</si>
  <si>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</si>
  <si>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</si>
  <si>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</si>
  <si>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ORD-2025-10439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</si>
  <si>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</si>
  <si>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</si>
  <si>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</si>
  <si>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</si>
  <si>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</si>
  <si>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</si>
  <si>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Basic Machines 610</t>
  </si>
  <si>
    <t xml:space="preserve">ORD-2024-10442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</si>
  <si>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</si>
  <si>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</si>
  <si>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</si>
  <si>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</si>
  <si>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</si>
  <si>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</si>
  <si>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</si>
  <si>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</si>
  <si>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</si>
  <si>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CUST-4475</t>
  </si>
  <si>
    <t xml:space="preserve">Prime Accessories 482</t>
  </si>
  <si>
    <t xml:space="preserve">ORD-2024-10446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</si>
  <si>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</si>
  <si>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</si>
  <si>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</si>
  <si>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</si>
  <si>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</si>
  <si>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</si>
  <si>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</si>
  <si>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</si>
  <si>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</si>
  <si>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CUST-1932</t>
  </si>
  <si>
    <t xml:space="preserve">Prime Chairs 631</t>
  </si>
  <si>
    <t xml:space="preserve">ORD-2024-10450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</si>
  <si>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</si>
  <si>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</si>
  <si>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</si>
  <si>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</si>
  <si>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</si>
  <si>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</si>
  <si>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</si>
  <si>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</si>
  <si>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</si>
  <si>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</si>
  <si>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</si>
  <si>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</si>
  <si>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</si>
  <si>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</si>
  <si>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CUST-8643</t>
  </si>
  <si>
    <t xml:space="preserve">Max Furnishings 821</t>
  </si>
  <si>
    <t xml:space="preserve">ORD-2024-10456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</si>
  <si>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</si>
  <si>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</si>
  <si>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</si>
  <si>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</si>
  <si>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</si>
  <si>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</si>
  <si>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</si>
  <si>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</si>
  <si>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</si>
  <si>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</si>
  <si>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</si>
  <si>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</si>
  <si>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</si>
  <si>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</si>
  <si>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</si>
  <si>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</si>
  <si>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</si>
  <si>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</si>
  <si>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</si>
  <si>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</si>
  <si>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</si>
  <si>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</si>
  <si>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</si>
  <si>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</si>
  <si>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</si>
  <si>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</si>
  <si>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</si>
  <si>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CUST-7362</t>
  </si>
  <si>
    <t xml:space="preserve">Elite Paper 106</t>
  </si>
  <si>
    <t xml:space="preserve">ORD-2024-10466</t>
  </si>
  <si>
    <t xml:space="preserve">CUST-1748</t>
  </si>
  <si>
    <t xml:space="preserve">Eco Labels 914</t>
  </si>
  <si>
    <t xml:space="preserve">ORD-2024-10467</t>
  </si>
  <si>
    <t xml:space="preserve">CUST-2725</t>
  </si>
  <si>
    <t xml:space="preserve">Max Accessories 486</t>
  </si>
  <si>
    <t xml:space="preserve">ORD-2024-10468</t>
  </si>
  <si>
    <t xml:space="preserve">CUST-9470</t>
  </si>
  <si>
    <t xml:space="preserve">Max Copiers 867</t>
  </si>
  <si>
    <t xml:space="preserve">ORD-2025-10469</t>
  </si>
  <si>
    <t xml:space="preserve">CUST-4176</t>
  </si>
  <si>
    <t xml:space="preserve">Pro Binders 555</t>
  </si>
  <si>
    <t xml:space="preserve">ORD-2024-10470</t>
  </si>
  <si>
    <t xml:space="preserve">CUST-3448</t>
  </si>
  <si>
    <t xml:space="preserve">Pro Copiers 971</t>
  </si>
  <si>
    <t xml:space="preserve">ORD-2024-10471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</si>
  <si>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</si>
  <si>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</si>
  <si>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</si>
  <si>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</si>
  <si>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</si>
  <si>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</si>
  <si>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</si>
  <si>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</si>
  <si>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</si>
  <si>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</si>
  <si>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</si>
  <si>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</si>
  <si>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</si>
  <si>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</si>
  <si>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</si>
  <si>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</si>
  <si>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</si>
  <si>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</si>
  <si>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</si>
  <si>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</si>
  <si>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</si>
  <si>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</si>
  <si>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</si>
  <si>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</si>
  <si>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CUST-4838</t>
  </si>
  <si>
    <t xml:space="preserve">Classic Machines 561</t>
  </si>
  <si>
    <t xml:space="preserve">ORD-2024-10480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</si>
  <si>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</si>
  <si>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</si>
  <si>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</si>
  <si>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</si>
  <si>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</si>
  <si>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</si>
  <si>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</si>
  <si>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</si>
  <si>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</si>
  <si>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</si>
  <si>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</si>
  <si>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</si>
  <si>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</si>
  <si>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</si>
  <si>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</si>
  <si>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</si>
  <si>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</si>
  <si>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</si>
  <si>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</si>
  <si>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</si>
  <si>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</si>
  <si>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CUST-8132</t>
  </si>
  <si>
    <t xml:space="preserve">Pro Tables 257</t>
  </si>
  <si>
    <t xml:space="preserve">ORD-2025-10488</t>
  </si>
  <si>
    <t xml:space="preserve">CUST-7685</t>
  </si>
  <si>
    <t xml:space="preserve">Prime Furnishings 299</t>
  </si>
  <si>
    <t xml:space="preserve">ORD-2024-10489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</si>
  <si>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</si>
  <si>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</si>
  <si>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</si>
  <si>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</si>
  <si>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</si>
  <si>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</si>
  <si>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CUST-1350</t>
  </si>
  <si>
    <t xml:space="preserve">Smart Binders 191</t>
  </si>
  <si>
    <t xml:space="preserve">ORD-2025-10492</t>
  </si>
  <si>
    <t xml:space="preserve">CUST-4101</t>
  </si>
  <si>
    <t xml:space="preserve">Prime Accessories 118</t>
  </si>
  <si>
    <t xml:space="preserve">ORD-2025-10493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</si>
  <si>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</si>
  <si>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</si>
  <si>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</si>
  <si>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</si>
  <si>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</si>
  <si>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ORD-2024-10495</t>
  </si>
  <si>
    <t xml:space="preserve">CUST-9056</t>
  </si>
  <si>
    <t xml:space="preserve">Smart Phones 125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</si>
  <si>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</si>
  <si>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</si>
  <si>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</si>
  <si>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</si>
  <si>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</si>
  <si>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</si>
  <si>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</si>
  <si>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</si>
  <si>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</si>
  <si>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</si>
  <si>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CUST-1190</t>
  </si>
  <si>
    <t xml:space="preserve">Basic Chairs 255</t>
  </si>
  <si>
    <t xml:space="preserve">ORD-2024-10500</t>
  </si>
  <si>
    <t xml:space="preserve">CUST-5604</t>
  </si>
  <si>
    <t xml:space="preserve">Eco Chairs 210</t>
  </si>
  <si>
    <t xml:space="preserve">ORD-2024-10501</t>
  </si>
  <si>
    <t xml:space="preserve">CUST-7661</t>
  </si>
  <si>
    <t xml:space="preserve">Prime Phones 533</t>
  </si>
  <si>
    <t xml:space="preserve">ORD-2024-10502</t>
  </si>
  <si>
    <t xml:space="preserve">Elite Art 325</t>
  </si>
  <si>
    <t xml:space="preserve">ORD-2024-10503</t>
  </si>
  <si>
    <t xml:space="preserve">CUST-1534</t>
  </si>
  <si>
    <t xml:space="preserve">Prime Copiers 557</t>
  </si>
  <si>
    <t xml:space="preserve">ORD-2024-10504</t>
  </si>
  <si>
    <t xml:space="preserve">CUST-7422</t>
  </si>
  <si>
    <t xml:space="preserve">Smart Phones 674</t>
  </si>
  <si>
    <t xml:space="preserve">ORD-2025-10505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</si>
  <si>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</si>
  <si>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</si>
  <si>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</si>
  <si>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</si>
  <si>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</si>
  <si>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</si>
  <si>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</si>
  <si>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</si>
  <si>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</si>
  <si>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</si>
  <si>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</si>
  <si>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</si>
  <si>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CUST-3333</t>
  </si>
  <si>
    <t xml:space="preserve">Smart Machines 853</t>
  </si>
  <si>
    <t xml:space="preserve">ORD-2025-10510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</si>
  <si>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</si>
  <si>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</si>
  <si>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</si>
  <si>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</si>
  <si>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Pro Storage 373</t>
  </si>
  <si>
    <t xml:space="preserve">ORD-2024-10512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</si>
  <si>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</si>
  <si>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</si>
  <si>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</si>
  <si>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</si>
  <si>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</si>
  <si>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</si>
  <si>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</si>
  <si>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</si>
  <si>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CUST-7729</t>
  </si>
  <si>
    <t xml:space="preserve">Smart Accessories 388</t>
  </si>
  <si>
    <t xml:space="preserve">ORD-2025-10516</t>
  </si>
  <si>
    <t xml:space="preserve">CUST-9986</t>
  </si>
  <si>
    <t xml:space="preserve">Classic Paper 752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</si>
  <si>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</si>
  <si>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</si>
  <si>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</si>
  <si>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</si>
  <si>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</si>
  <si>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</si>
  <si>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ORD-2025-10519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</si>
  <si>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</si>
  <si>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</si>
  <si>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</si>
  <si>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</si>
  <si>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</si>
  <si>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</si>
  <si>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</si>
  <si>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</si>
  <si>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</si>
  <si>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</si>
  <si>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</si>
  <si>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</si>
  <si>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</si>
  <si>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</si>
  <si>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</si>
  <si>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</si>
  <si>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</si>
  <si>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</si>
  <si>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</si>
  <si>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</si>
  <si>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</si>
  <si>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CUST-2924</t>
  </si>
  <si>
    <t xml:space="preserve">Prime Chairs 215</t>
  </si>
  <si>
    <t xml:space="preserve">ORD-2025-10527</t>
  </si>
  <si>
    <t xml:space="preserve">CUST-7198</t>
  </si>
  <si>
    <t xml:space="preserve">Elite Tables 815</t>
  </si>
  <si>
    <t xml:space="preserve">ORD-2025-10528</t>
  </si>
  <si>
    <t xml:space="preserve">CUST-3419</t>
  </si>
  <si>
    <t xml:space="preserve">Basic Paper 388</t>
  </si>
  <si>
    <t xml:space="preserve">ORD-2024-10529</t>
  </si>
  <si>
    <t xml:space="preserve">CUST-2390</t>
  </si>
  <si>
    <t xml:space="preserve">Eco Binders 855</t>
  </si>
  <si>
    <t xml:space="preserve">ORD-2024-10530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</si>
  <si>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</si>
  <si>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</si>
  <si>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</si>
  <si>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</si>
  <si>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</si>
  <si>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</si>
  <si>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</si>
  <si>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</si>
  <si>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</si>
  <si>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</si>
  <si>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</si>
  <si>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CUST-4487</t>
  </si>
  <si>
    <t xml:space="preserve">Smart Tables 659</t>
  </si>
  <si>
    <t xml:space="preserve">ORD-2025-10535</t>
  </si>
  <si>
    <t xml:space="preserve">CUST-8204</t>
  </si>
  <si>
    <t xml:space="preserve">Classic Accessories 325</t>
  </si>
  <si>
    <t xml:space="preserve">ORD-2024-10536</t>
  </si>
  <si>
    <t xml:space="preserve">CUST-1729</t>
  </si>
  <si>
    <t xml:space="preserve">Eco Copiers 243</t>
  </si>
  <si>
    <t xml:space="preserve">ORD-2025-10537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</si>
  <si>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</si>
  <si>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</si>
  <si>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</si>
  <si>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</si>
  <si>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</si>
  <si>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</si>
  <si>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</si>
  <si>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</si>
  <si>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</si>
  <si>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</si>
  <si>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mira das</t>
  </si>
  <si>
    <t xml:space="preserve">Classic Chairs 666</t>
  </si>
  <si>
    <t xml:space="preserve">ORD-2024-10541</t>
  </si>
  <si>
    <t xml:space="preserve">CUST-7563</t>
  </si>
  <si>
    <t xml:space="preserve">Basic Furnishings 350</t>
  </si>
  <si>
    <t xml:space="preserve">ORD-2025-10542</t>
  </si>
  <si>
    <t xml:space="preserve">CUST-4188</t>
  </si>
  <si>
    <t xml:space="preserve">Elite Copiers 831</t>
  </si>
  <si>
    <t xml:space="preserve">ORD-2024-10543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</si>
  <si>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</si>
  <si>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</si>
  <si>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</si>
  <si>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</si>
  <si>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</si>
  <si>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</si>
  <si>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</si>
  <si>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</si>
  <si>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</si>
  <si>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CUST-7168</t>
  </si>
  <si>
    <t xml:space="preserve">Classic Storage 755</t>
  </si>
  <si>
    <t xml:space="preserve">ORD-2025-10547</t>
  </si>
  <si>
    <t xml:space="preserve">CUST-8157</t>
  </si>
  <si>
    <t xml:space="preserve">Prime Paper 143</t>
  </si>
  <si>
    <t xml:space="preserve">ORD-2024-10548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</si>
  <si>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</si>
  <si>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</si>
  <si>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</si>
  <si>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</si>
  <si>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</si>
  <si>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</si>
  <si>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</si>
  <si>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</si>
  <si>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</si>
  <si>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</si>
  <si>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</si>
  <si>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</si>
  <si>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</si>
  <si>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</si>
  <si>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</si>
  <si>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</si>
  <si>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</si>
  <si>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</si>
  <si>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CUST-9241</t>
  </si>
  <si>
    <t xml:space="preserve">Pro Storage 128</t>
  </si>
  <si>
    <t xml:space="preserve">ORD-2024-10555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</si>
  <si>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</si>
  <si>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</si>
  <si>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</si>
  <si>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</si>
  <si>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</si>
  <si>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</si>
  <si>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</si>
  <si>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</si>
  <si>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</si>
  <si>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</si>
  <si>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</si>
  <si>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</si>
  <si>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CUST-9368</t>
  </si>
  <si>
    <t xml:space="preserve">Basic Machines 136</t>
  </si>
  <si>
    <t xml:space="preserve">ORD-2025-10560</t>
  </si>
  <si>
    <t xml:space="preserve">CUST-6797</t>
  </si>
  <si>
    <t xml:space="preserve">Basic Copiers 512</t>
  </si>
  <si>
    <t xml:space="preserve">ORD-2024-10561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</si>
  <si>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</si>
  <si>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</si>
  <si>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</si>
  <si>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</si>
  <si>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</si>
  <si>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</si>
  <si>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</si>
  <si>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</si>
  <si>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</si>
  <si>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</si>
  <si>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</si>
  <si>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</si>
  <si>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</si>
  <si>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</si>
  <si>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</si>
  <si>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</si>
  <si>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</si>
  <si>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</si>
  <si>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</si>
  <si>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</si>
  <si>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</si>
  <si>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</si>
  <si>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</si>
  <si>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</si>
  <si>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</si>
  <si>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</si>
  <si>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</si>
  <si>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</si>
  <si>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</si>
  <si>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</si>
  <si>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</si>
  <si>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</si>
  <si>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CUST-3425</t>
  </si>
  <si>
    <t xml:space="preserve">Prime Phones 895</t>
  </si>
  <si>
    <t xml:space="preserve">ORD-2024-10573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</si>
  <si>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</si>
  <si>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</si>
  <si>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</si>
  <si>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</si>
  <si>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</si>
  <si>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</si>
  <si>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</si>
  <si>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</si>
  <si>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</si>
  <si>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</si>
  <si>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</si>
  <si>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</si>
  <si>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</si>
  <si>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</si>
  <si>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</si>
  <si>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</si>
  <si>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</si>
  <si>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</si>
  <si>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</si>
  <si>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</si>
  <si>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</si>
  <si>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</si>
  <si>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</si>
  <si>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</si>
  <si>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</si>
  <si>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</si>
  <si>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</si>
  <si>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</si>
  <si>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</si>
  <si>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</si>
  <si>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</si>
  <si>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</si>
  <si>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</si>
  <si>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</si>
  <si>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</si>
  <si>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</si>
  <si>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</si>
  <si>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</si>
  <si>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</si>
  <si>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</si>
  <si>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</si>
  <si>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</si>
  <si>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</si>
  <si>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</si>
  <si>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</si>
  <si>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</si>
  <si>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CUST-3601</t>
  </si>
  <si>
    <t xml:space="preserve">Classic Accessories 458</t>
  </si>
  <si>
    <t xml:space="preserve">ORD-2024-10590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</si>
  <si>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</si>
  <si>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</si>
  <si>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</si>
  <si>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</si>
  <si>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</si>
  <si>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</si>
  <si>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</si>
  <si>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</si>
  <si>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</si>
  <si>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</si>
  <si>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</si>
  <si>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</si>
  <si>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</si>
  <si>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</si>
  <si>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</si>
  <si>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</si>
  <si>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</si>
  <si>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</si>
  <si>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</si>
  <si>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</si>
  <si>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</si>
  <si>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</si>
  <si>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</si>
  <si>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</si>
  <si>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</si>
  <si>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</si>
  <si>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</si>
  <si>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</si>
  <si>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</si>
  <si>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</si>
  <si>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</si>
  <si>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</si>
  <si>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CUST-6013</t>
  </si>
  <si>
    <t xml:space="preserve">Prime Storage 432</t>
  </si>
  <si>
    <t xml:space="preserve">ORD-2024-10602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</si>
  <si>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</si>
  <si>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</si>
  <si>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</si>
  <si>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</si>
  <si>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</si>
  <si>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</si>
  <si>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</si>
  <si>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</si>
  <si>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CUST-4526</t>
  </si>
  <si>
    <t xml:space="preserve">Max Binders 547</t>
  </si>
  <si>
    <t xml:space="preserve">ORD-2025-10606</t>
  </si>
  <si>
    <t xml:space="preserve">CUST-4447</t>
  </si>
  <si>
    <t xml:space="preserve">Pro Furnishings 267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</si>
  <si>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</si>
  <si>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</si>
  <si>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</si>
  <si>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</si>
  <si>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</si>
  <si>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</si>
  <si>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</si>
  <si>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</si>
  <si>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</si>
  <si>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</si>
  <si>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</si>
  <si>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</si>
  <si>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</si>
  <si>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</si>
  <si>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</si>
  <si>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</si>
  <si>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</si>
  <si>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</si>
  <si>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</si>
  <si>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</si>
  <si>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</si>
  <si>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</si>
  <si>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</si>
  <si>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</si>
  <si>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</si>
  <si>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ORD-2024-10616</t>
  </si>
  <si>
    <t xml:space="preserve">CUST-4462</t>
  </si>
  <si>
    <t xml:space="preserve">Basic Art 771</t>
  </si>
  <si>
    <t xml:space="preserve">ORD-2024-10617</t>
  </si>
  <si>
    <t xml:space="preserve">CUST-4660</t>
  </si>
  <si>
    <t xml:space="preserve">Prime Paper 664</t>
  </si>
  <si>
    <t xml:space="preserve">ORD-2024-10618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</si>
  <si>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</si>
  <si>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</si>
  <si>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</si>
  <si>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</si>
  <si>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</si>
  <si>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</si>
  <si>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</si>
  <si>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</si>
  <si>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</si>
  <si>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</si>
  <si>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</si>
  <si>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</si>
  <si>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</si>
  <si>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</si>
  <si>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</si>
  <si>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</si>
  <si>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</si>
  <si>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</si>
  <si>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</si>
  <si>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</si>
  <si>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</si>
  <si>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</si>
  <si>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</si>
  <si>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</si>
  <si>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</si>
  <si>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</si>
  <si>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</si>
  <si>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</si>
  <si>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</si>
  <si>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</si>
  <si>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</si>
  <si>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</si>
  <si>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</si>
  <si>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</si>
  <si>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</si>
  <si>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</si>
  <si>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</si>
  <si>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</si>
  <si>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</si>
  <si>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</si>
  <si>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</si>
  <si>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</si>
  <si>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</si>
  <si>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</si>
  <si>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</si>
  <si>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</si>
  <si>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</si>
  <si>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</si>
  <si>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CUST-5043</t>
  </si>
  <si>
    <t xml:space="preserve">Basic Accessories 729</t>
  </si>
  <si>
    <t xml:space="preserve">ORD-2025-10635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</si>
  <si>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</si>
  <si>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</si>
  <si>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</si>
  <si>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</si>
  <si>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</si>
  <si>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</si>
  <si>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</si>
  <si>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</si>
  <si>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</si>
  <si>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</si>
  <si>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</si>
  <si>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</si>
  <si>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</si>
  <si>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</si>
  <si>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</si>
  <si>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</si>
  <si>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</si>
  <si>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</si>
  <si>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CUST-5061</t>
  </si>
  <si>
    <t xml:space="preserve">Basic Storage 973</t>
  </si>
  <si>
    <t xml:space="preserve">ORD-2025-10642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</si>
  <si>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</si>
  <si>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</si>
  <si>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</si>
  <si>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</si>
  <si>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</si>
  <si>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</si>
  <si>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</si>
  <si>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</si>
  <si>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</si>
  <si>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</si>
  <si>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ORD-2024-10646</t>
  </si>
  <si>
    <t xml:space="preserve">CUST-2314</t>
  </si>
  <si>
    <t xml:space="preserve">Basic Chairs 480</t>
  </si>
  <si>
    <t xml:space="preserve">ORD-2024-10647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</si>
  <si>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</si>
  <si>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</si>
  <si>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</si>
  <si>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</si>
  <si>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Prime Art 461</t>
  </si>
  <si>
    <t xml:space="preserve">ORD-2024-10649</t>
  </si>
  <si>
    <t xml:space="preserve">CUST-1808</t>
  </si>
  <si>
    <t xml:space="preserve">Prime Art 301</t>
  </si>
  <si>
    <t xml:space="preserve">ORD-2025-10650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</si>
  <si>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</si>
  <si>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</si>
  <si>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</si>
  <si>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</si>
  <si>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</si>
  <si>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</si>
  <si>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</si>
  <si>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</si>
  <si>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</si>
  <si>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</si>
  <si>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</si>
  <si>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</si>
  <si>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</si>
  <si>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</si>
  <si>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</si>
  <si>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</si>
  <si>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</si>
  <si>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</si>
  <si>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CUST-4446</t>
  </si>
  <si>
    <t xml:space="preserve">Pro Machines 589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</si>
  <si>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</si>
  <si>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</si>
  <si>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</si>
  <si>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</si>
  <si>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</si>
  <si>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</si>
  <si>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</si>
  <si>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</si>
  <si>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</si>
  <si>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</si>
  <si>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</si>
  <si>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</si>
  <si>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</si>
  <si>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</si>
  <si>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</si>
  <si>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</si>
  <si>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</si>
  <si>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</si>
  <si>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</si>
  <si>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</si>
  <si>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</si>
  <si>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</si>
  <si>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CUST-2709</t>
  </si>
  <si>
    <t xml:space="preserve">Max Accessories 903</t>
  </si>
  <si>
    <t xml:space="preserve">ORD-2025-10666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</si>
  <si>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</si>
  <si>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</si>
  <si>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</si>
  <si>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</si>
  <si>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</si>
  <si>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</si>
  <si>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</si>
  <si>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</si>
  <si>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</si>
  <si>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</si>
  <si>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</si>
  <si>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</si>
  <si>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</si>
  <si>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</si>
  <si>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</si>
  <si>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</si>
  <si>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</si>
  <si>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</si>
  <si>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</si>
  <si>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</si>
  <si>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</si>
  <si>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</si>
  <si>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</si>
  <si>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</si>
  <si>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</si>
  <si>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</si>
  <si>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</si>
  <si>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</si>
  <si>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</si>
  <si>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</si>
  <si>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</si>
  <si>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</si>
  <si>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</si>
  <si>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</si>
  <si>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</si>
  <si>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</si>
  <si>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CUST-1674</t>
  </si>
  <si>
    <t xml:space="preserve">Prime Tables 123</t>
  </si>
  <si>
    <t xml:space="preserve">ORD-2025-10680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</si>
  <si>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</si>
  <si>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</si>
  <si>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</si>
  <si>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</si>
  <si>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</si>
  <si>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</si>
  <si>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</si>
  <si>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</si>
  <si>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</si>
  <si>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</si>
  <si>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ananya rao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</si>
  <si>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</si>
  <si>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</si>
  <si>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</si>
  <si>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</si>
  <si>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</si>
  <si>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</si>
  <si>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</si>
  <si>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ORD-2025-10686</t>
  </si>
  <si>
    <t xml:space="preserve">Classic Art 380</t>
  </si>
  <si>
    <t xml:space="preserve">ORD-2024-10687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</si>
  <si>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</si>
  <si>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</si>
  <si>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</si>
  <si>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</si>
  <si>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</si>
  <si>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</si>
  <si>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</si>
  <si>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</si>
  <si>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</si>
  <si>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CUST-4382</t>
  </si>
  <si>
    <t xml:space="preserve">Elite Tables 717</t>
  </si>
  <si>
    <t xml:space="preserve">ORD-2024-10691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</si>
  <si>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</si>
  <si>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</si>
  <si>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</si>
  <si>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</si>
  <si>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</si>
  <si>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</si>
  <si>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</si>
  <si>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</si>
  <si>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</si>
  <si>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</si>
  <si>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</si>
  <si>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</si>
  <si>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</si>
  <si>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</si>
  <si>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</si>
  <si>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</si>
  <si>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ORD-2025-10697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</si>
  <si>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</si>
  <si>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</si>
  <si>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</si>
  <si>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</si>
  <si>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</si>
  <si>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</si>
  <si>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CUST-5357</t>
  </si>
  <si>
    <t xml:space="preserve">Classic Machines 648</t>
  </si>
  <si>
    <t xml:space="preserve">ORD-2024-10700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</si>
  <si>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</si>
  <si>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</si>
  <si>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</si>
  <si>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</si>
  <si>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</si>
  <si>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</si>
  <si>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</si>
  <si>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</si>
  <si>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</si>
  <si>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</si>
  <si>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</si>
  <si>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</si>
  <si>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</si>
  <si>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</si>
  <si>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</si>
  <si>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</si>
  <si>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</si>
  <si>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ORD-2024-10706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</si>
  <si>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</si>
  <si>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</si>
  <si>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</si>
  <si>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</si>
  <si>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</si>
  <si>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ORD-2025-10708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</si>
  <si>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</si>
  <si>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</si>
  <si>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</si>
  <si>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</si>
  <si>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</si>
  <si>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</si>
  <si>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</si>
  <si>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</si>
  <si>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</si>
  <si>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</si>
  <si>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</si>
  <si>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</si>
  <si>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</si>
  <si>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</si>
  <si>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</si>
  <si>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</si>
  <si>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</si>
  <si>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</si>
  <si>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</si>
  <si>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</si>
  <si>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</si>
  <si>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</si>
  <si>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</si>
  <si>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</si>
  <si>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</si>
  <si>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</si>
  <si>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</si>
  <si>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</si>
  <si>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</si>
  <si>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</si>
  <si>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</si>
  <si>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</si>
  <si>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</si>
  <si>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</si>
  <si>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</si>
  <si>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</si>
  <si>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</si>
  <si>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</si>
  <si>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</si>
  <si>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</si>
  <si>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</si>
  <si>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</si>
  <si>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</si>
  <si>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</si>
  <si>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</si>
  <si>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</si>
  <si>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</si>
  <si>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</si>
  <si>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</si>
  <si>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</si>
  <si>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</si>
  <si>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</si>
  <si>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</si>
  <si>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</si>
  <si>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</si>
  <si>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</si>
  <si>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</si>
  <si>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</si>
  <si>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</si>
  <si>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</si>
  <si>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</si>
  <si>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</si>
  <si>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</si>
  <si>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</si>
  <si>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</si>
  <si>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</si>
  <si>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</si>
  <si>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</si>
  <si>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</si>
  <si>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</si>
  <si>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</si>
  <si>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</si>
  <si>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</si>
  <si>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</si>
  <si>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</si>
  <si>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</si>
  <si>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</si>
  <si>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</si>
  <si>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</si>
  <si>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</si>
  <si>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</si>
  <si>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</si>
  <si>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</si>
  <si>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</si>
  <si>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</si>
  <si>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</si>
  <si>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</si>
  <si>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</si>
  <si>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</si>
  <si>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</si>
  <si>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</si>
  <si>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</si>
  <si>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</si>
  <si>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</si>
  <si>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</si>
  <si>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</si>
  <si>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</si>
  <si>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</si>
  <si>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ORD-2025-10742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</si>
  <si>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</si>
  <si>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</si>
  <si>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</si>
  <si>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</si>
  <si>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</si>
  <si>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</si>
  <si>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</si>
  <si>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</si>
  <si>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</si>
  <si>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</si>
  <si>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</si>
  <si>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</si>
  <si>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</si>
  <si>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</si>
  <si>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</si>
  <si>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Pro Paper 662</t>
  </si>
  <si>
    <t xml:space="preserve">ORD-2024-10748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</si>
  <si>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</si>
  <si>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</si>
  <si>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</si>
  <si>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</si>
  <si>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</si>
  <si>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</si>
  <si>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</si>
  <si>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</si>
  <si>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</si>
  <si>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</si>
  <si>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</si>
  <si>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</si>
  <si>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</si>
  <si>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</si>
  <si>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</si>
  <si>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</si>
  <si>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</si>
  <si>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</si>
  <si>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</si>
  <si>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</si>
  <si>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</si>
  <si>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</si>
  <si>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</si>
  <si>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</si>
  <si>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</si>
  <si>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</si>
  <si>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</si>
  <si>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</si>
  <si>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</si>
  <si>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</si>
  <si>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</si>
  <si>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</si>
  <si>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</si>
  <si>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</si>
  <si>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</si>
  <si>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</si>
  <si>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</si>
  <si>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</si>
  <si>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</si>
  <si>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</si>
  <si>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</si>
  <si>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</si>
  <si>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</si>
  <si>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</si>
  <si>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</si>
  <si>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CUST-6921</t>
  </si>
  <si>
    <t xml:space="preserve">Classic Machines 122</t>
  </si>
  <si>
    <t xml:space="preserve">ORD-2025-10764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</si>
  <si>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</si>
  <si>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</si>
  <si>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</si>
  <si>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</si>
  <si>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</si>
  <si>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</si>
  <si>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</si>
  <si>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</si>
  <si>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</si>
  <si>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</si>
  <si>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</si>
  <si>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</si>
  <si>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</si>
  <si>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</si>
  <si>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</si>
  <si>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</si>
  <si>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</si>
  <si>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</si>
  <si>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</si>
  <si>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</si>
  <si>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</si>
  <si>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</si>
  <si>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</si>
  <si>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</si>
  <si>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</si>
  <si>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</si>
  <si>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</si>
  <si>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</si>
  <si>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</si>
  <si>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</si>
  <si>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</si>
  <si>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</si>
  <si>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</si>
  <si>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</si>
  <si>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</si>
  <si>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</si>
  <si>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</si>
  <si>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CUST-9690</t>
  </si>
  <si>
    <t xml:space="preserve">Eco Copiers 528</t>
  </si>
  <si>
    <t xml:space="preserve">ORD-2024-10778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</si>
  <si>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</si>
  <si>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</si>
  <si>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</si>
  <si>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</si>
  <si>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</si>
  <si>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</si>
  <si>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</si>
  <si>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</si>
  <si>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</si>
  <si>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</si>
  <si>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</si>
  <si>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</si>
  <si>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</si>
  <si>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</si>
  <si>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</si>
  <si>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</si>
  <si>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</si>
  <si>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</si>
  <si>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</si>
  <si>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</si>
  <si>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</si>
  <si>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</si>
  <si>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</si>
  <si>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ORD-2024-10786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</si>
  <si>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</si>
  <si>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</si>
  <si>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</si>
  <si>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</si>
  <si>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</si>
  <si>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</si>
  <si>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</si>
  <si>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</si>
  <si>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</si>
  <si>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</si>
  <si>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</si>
  <si>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</si>
  <si>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</si>
  <si>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</si>
  <si>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</si>
  <si>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</si>
  <si>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</si>
  <si>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</si>
  <si>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</si>
  <si>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</si>
  <si>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</si>
  <si>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</si>
  <si>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</si>
  <si>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</si>
  <si>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</si>
  <si>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</si>
  <si>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</si>
  <si>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</si>
  <si>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</si>
  <si>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</si>
  <si>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</si>
  <si>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</si>
  <si>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</si>
  <si>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</si>
  <si>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</si>
  <si>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</si>
  <si>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CUST-3991</t>
  </si>
  <si>
    <t xml:space="preserve">Elite Binders 764</t>
  </si>
  <si>
    <t xml:space="preserve">ORD-2025-10799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</si>
  <si>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</si>
  <si>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</si>
  <si>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</si>
  <si>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</si>
  <si>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</si>
  <si>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</si>
  <si>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</si>
  <si>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</si>
  <si>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</si>
  <si>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</si>
  <si>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</si>
  <si>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</si>
  <si>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</si>
  <si>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</si>
  <si>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</si>
  <si>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</si>
  <si>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</si>
  <si>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</si>
  <si>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</si>
  <si>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</si>
  <si>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</si>
  <si>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</si>
  <si>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</si>
  <si>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</si>
  <si>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</si>
  <si>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</si>
  <si>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</si>
  <si>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</si>
  <si>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</si>
  <si>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</si>
  <si>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</si>
  <si>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</si>
  <si>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</si>
  <si>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</si>
  <si>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</si>
  <si>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</si>
  <si>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</si>
  <si>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</si>
  <si>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</si>
  <si>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</si>
  <si>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</si>
  <si>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</si>
  <si>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</si>
  <si>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</si>
  <si>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</si>
  <si>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</si>
  <si>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</si>
  <si>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</si>
  <si>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</si>
  <si>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</si>
  <si>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</si>
  <si>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</si>
  <si>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</si>
  <si>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</si>
  <si>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CUST-2221</t>
  </si>
  <si>
    <t xml:space="preserve">Classic Binders 873</t>
  </si>
  <si>
    <t xml:space="preserve">ORD-2024-10819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</si>
  <si>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</si>
  <si>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</si>
  <si>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</si>
  <si>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</si>
  <si>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</si>
  <si>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</si>
  <si>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</si>
  <si>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</si>
  <si>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</si>
  <si>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CUST-4466</t>
  </si>
  <si>
    <t xml:space="preserve">Classic Accessories 471</t>
  </si>
  <si>
    <t xml:space="preserve">ORD-2024-10823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</si>
  <si>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</si>
  <si>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</si>
  <si>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</si>
  <si>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</si>
  <si>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</si>
  <si>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</si>
  <si>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</si>
  <si>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</si>
  <si>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</si>
  <si>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</si>
  <si>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</si>
  <si>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</si>
  <si>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</si>
  <si>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</si>
  <si>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</si>
  <si>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</si>
  <si>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</si>
  <si>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</si>
  <si>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</si>
  <si>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</si>
  <si>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</si>
  <si>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</si>
  <si>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</si>
  <si>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</si>
  <si>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</si>
  <si>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</si>
  <si>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</si>
  <si>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</si>
  <si>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</si>
  <si>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</si>
  <si>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</si>
  <si>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</si>
  <si>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</si>
  <si>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CUST-2689</t>
  </si>
  <si>
    <t xml:space="preserve">Basic Bookcases 499</t>
  </si>
  <si>
    <t xml:space="preserve">ORD-2024-10835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</si>
  <si>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</si>
  <si>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</si>
  <si>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</si>
  <si>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</si>
  <si>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</si>
  <si>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</si>
  <si>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</si>
  <si>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</si>
  <si>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</si>
  <si>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</si>
  <si>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</si>
  <si>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</si>
  <si>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</si>
  <si>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</si>
  <si>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</si>
  <si>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</si>
  <si>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</si>
  <si>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</si>
  <si>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</si>
  <si>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</si>
  <si>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</si>
  <si>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CUST-7558</t>
  </si>
  <si>
    <t xml:space="preserve">Max Art 339</t>
  </si>
  <si>
    <t xml:space="preserve">ORD-2024-10843</t>
  </si>
  <si>
    <t xml:space="preserve">CUST-1798</t>
  </si>
  <si>
    <t xml:space="preserve">kabir singh</t>
  </si>
  <si>
    <t xml:space="preserve">Smart Machines 581</t>
  </si>
  <si>
    <t xml:space="preserve">ORD-2025-10844</t>
  </si>
  <si>
    <t xml:space="preserve">CUST-7333</t>
  </si>
  <si>
    <t xml:space="preserve">Prime Phones 482</t>
  </si>
  <si>
    <t xml:space="preserve">ORD-2025-10845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</si>
  <si>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</si>
  <si>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</si>
  <si>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</si>
  <si>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</si>
  <si>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</si>
  <si>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</si>
  <si>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</si>
  <si>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</si>
  <si>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</si>
  <si>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</si>
  <si>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</si>
  <si>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</si>
  <si>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</si>
  <si>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ORD-2024-10850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</si>
  <si>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</si>
  <si>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</si>
  <si>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</si>
  <si>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</si>
  <si>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</si>
  <si>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</si>
  <si>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</si>
  <si>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</si>
  <si>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</si>
  <si>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</si>
  <si>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</si>
  <si>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</si>
  <si>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</si>
  <si>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</si>
  <si>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</si>
  <si>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</si>
  <si>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</si>
  <si>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</si>
  <si>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</si>
  <si>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ORD-2024-10857</t>
  </si>
  <si>
    <t xml:space="preserve">Classic Storage 918</t>
  </si>
  <si>
    <t xml:space="preserve">ORD-2024-10858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</si>
  <si>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</si>
  <si>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</si>
  <si>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</si>
  <si>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</si>
  <si>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</si>
  <si>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</si>
  <si>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</si>
  <si>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</si>
  <si>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</si>
  <si>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</si>
  <si>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</si>
  <si>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</si>
  <si>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</si>
  <si>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</si>
  <si>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</si>
  <si>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</si>
  <si>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</si>
  <si>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</si>
  <si>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</si>
  <si>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</si>
  <si>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</si>
  <si>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</si>
  <si>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</si>
  <si>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</si>
  <si>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</si>
  <si>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</si>
  <si>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</si>
  <si>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</si>
  <si>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</si>
  <si>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</si>
  <si>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</si>
  <si>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</si>
  <si>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</si>
  <si>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</si>
  <si>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</si>
  <si>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</si>
  <si>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</si>
  <si>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</si>
  <si>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</si>
  <si>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</si>
  <si>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</si>
  <si>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</si>
  <si>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</si>
  <si>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</si>
  <si>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</si>
  <si>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</si>
  <si>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</si>
  <si>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</si>
  <si>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</si>
  <si>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</si>
  <si>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</si>
  <si>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</si>
  <si>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</si>
  <si>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</si>
  <si>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</si>
  <si>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</si>
  <si>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</si>
  <si>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</si>
  <si>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</si>
  <si>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</si>
  <si>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</si>
  <si>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</si>
  <si>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</si>
  <si>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</si>
  <si>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CUST-5287</t>
  </si>
  <si>
    <t xml:space="preserve">Basic Chairs 327</t>
  </si>
  <si>
    <t xml:space="preserve">ORD-2024-10882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</si>
  <si>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</si>
  <si>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</si>
  <si>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</si>
  <si>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</si>
  <si>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</si>
  <si>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</si>
  <si>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</si>
  <si>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</si>
  <si>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</si>
  <si>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</si>
  <si>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</si>
  <si>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</si>
  <si>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</si>
  <si>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</si>
  <si>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</si>
  <si>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</si>
  <si>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</si>
  <si>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</si>
  <si>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</si>
  <si>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</si>
  <si>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</si>
  <si>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</si>
  <si>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</si>
  <si>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</si>
  <si>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</si>
  <si>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</si>
  <si>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</si>
  <si>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</si>
  <si>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</si>
  <si>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</si>
  <si>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</si>
  <si>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</si>
  <si>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</si>
  <si>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</si>
  <si>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</si>
  <si>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</si>
  <si>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</si>
  <si>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</si>
  <si>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</si>
  <si>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</si>
  <si>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</si>
  <si>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</si>
  <si>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</si>
  <si>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</si>
  <si>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</si>
  <si>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</si>
  <si>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</si>
  <si>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</si>
  <si>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</si>
  <si>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</si>
  <si>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</si>
  <si>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</si>
  <si>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CUST-3789</t>
  </si>
  <si>
    <t xml:space="preserve">Elite Chairs 971</t>
  </si>
  <si>
    <t xml:space="preserve">Column</t>
  </si>
  <si>
    <t xml:space="preserve">Description</t>
  </si>
  <si>
    <t xml:space="preserve">order_date_invalid_flag / ship_date_invalid_flag</t>
  </si>
  <si>
    <t xml:space="preserve">Yes if the raw date text could not be parsed into a valid date</t>
  </si>
  <si>
    <t xml:space="preserve">region_filled_flag / ship_mode_filled_flag</t>
  </si>
  <si>
    <t xml:space="preserve">Yes if the original value was missing and filled with "Unknown" per business rule</t>
  </si>
  <si>
    <t xml:space="preserve">Original discount value exactly as it appeared in raw_orders.xlsx (number or % text)</t>
  </si>
  <si>
    <t xml:space="preserve">Yes if discount was missing and was filled with 0 (allowed because quantity/unit_price/sales/cost/profit were all present and valid for every such row)</t>
  </si>
  <si>
    <t xml:space="preserve">Discount standardized to a decimal fraction (e.g. "70%" -&gt; 0.70)</t>
  </si>
  <si>
    <t xml:space="preserve">Invalid if cleaned_discount is negative or greater than 0.25 (25%), the observed normal maximum discount in this dataset)</t>
  </si>
  <si>
    <t xml:space="preserve">quantity * unit_price * (1 - cleaned_discount)</t>
  </si>
  <si>
    <t xml:space="preserve">Mismatch if |sales_reported - calculated_sales| &gt; Rs.1</t>
  </si>
  <si>
    <t xml:space="preserve">calculated_sales - cost</t>
  </si>
  <si>
    <t xml:space="preserve">Mismatch if |profit_reported - calculated_profit| &gt; Rs.1</t>
  </si>
  <si>
    <t xml:space="preserve">calculated_profit / calculated_sales</t>
  </si>
  <si>
    <t xml:space="preserve">Inconsistent if order_status = Completed but payment_status is not Paid</t>
  </si>
  <si>
    <t xml:space="preserve">ship_date - order_date, in days</t>
  </si>
  <si>
    <t xml:space="preserve">Invalid if shipping_delay_days is negative (shipped before ordered)</t>
  </si>
  <si>
    <t xml:space="preserve">Yes if this order_id still appears more than once after exact-duplicate rows were removed (i.e. a conflicting duplicate that needs manual review)</t>
  </si>
  <si>
    <t xml:space="preserve">Invalid = at least one hard data issue; Warning = a value was auto-filled but otherwise consistent; Clean = no issues detected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</si>
</sst>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5" min="4" style="0" width="2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9" min="8" style="0" width="11"/>
    <col collapsed="false" customWidth="true" hidden="false" outlineLevel="0" max="10" min="10" style="0" width="20"/>
    <col collapsed="false" customWidth="true" hidden="false" outlineLevel="0" max="13" min="11" style="0" width="11"/>
    <col collapsed="false" customWidth="true" hidden="false" outlineLevel="0" max="15" min="14" style="0" width="14"/>
    <col collapsed="false" customWidth="true" hidden="false" outlineLevel="0" max="16" min="16" style="0" width="11"/>
    <col collapsed="false" customWidth="true" hidden="false" outlineLevel="0" max="17" min="17" style="0" width="22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14"/>
    <col collapsed="false" customWidth="true" hidden="false" outlineLevel="0" max="21" min="21" style="0" width="22"/>
    <col collapsed="false" customWidth="true" hidden="false" outlineLevel="0" max="22" min="22" style="0" width="18"/>
    <col collapsed="false" customWidth="true" hidden="false" outlineLevel="0" max="23" min="23" style="0" width="21"/>
    <col collapsed="false" customWidth="true" hidden="false" outlineLevel="0" max="24" min="24" style="0" width="16"/>
    <col collapsed="false" customWidth="true" hidden="false" outlineLevel="0" max="25" min="25" style="0" width="18"/>
    <col collapsed="false" customWidth="true" hidden="false" outlineLevel="0" max="26" min="26" style="0" width="21"/>
    <col collapsed="false" customWidth="true" hidden="false" outlineLevel="0" max="27" min="27" style="0" width="11"/>
    <col collapsed="false" customWidth="true" hidden="false" outlineLevel="0" max="28" min="28" style="0" width="17"/>
    <col collapsed="false" customWidth="true" hidden="false" outlineLevel="0" max="29" min="29" style="0" width="19"/>
    <col collapsed="false" customWidth="true" hidden="false" outlineLevel="0" max="30" min="30" style="0" width="22"/>
    <col collapsed="false" customWidth="true" hidden="false" outlineLevel="0" max="31" min="31" style="0" width="15"/>
    <col collapsed="false" customWidth="true" hidden="false" outlineLevel="0" max="32" min="32" style="0" width="16"/>
    <col collapsed="false" customWidth="true" hidden="false" outlineLevel="0" max="33" min="33" style="0" width="14"/>
    <col collapsed="false" customWidth="true" hidden="false" outlineLevel="0" max="34" min="34" style="0" width="22"/>
    <col collapsed="false" customWidth="true" hidden="false" outlineLevel="0" max="35" min="35" style="0" width="21"/>
    <col collapsed="false" customWidth="true" hidden="false" outlineLevel="0" max="36" min="36" style="0" width="22"/>
    <col collapsed="false" customWidth="true" hidden="false" outlineLevel="0" max="37" min="37" style="0" width="13"/>
    <col collapsed="false" customWidth="true" hidden="false" outlineLevel="0" max="38" min="38" style="0" width="12"/>
    <col collapsed="false" customWidth="true" hidden="false" outlineLevel="0" max="39" min="39" style="0" width="22"/>
    <col collapsed="false" customWidth="true" hidden="false" outlineLevel="0" max="40" min="40" style="0" width="19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5" hidden="false" customHeight="false" outlineLevel="0" collapsed="false">
      <c r="A2" s="2" t="s">
        <v>40</v>
      </c>
      <c r="B2" s="3" t="n">
        <v>45494</v>
      </c>
      <c r="C2" s="3" t="n">
        <v>45500</v>
      </c>
      <c r="D2" s="2" t="s">
        <v>41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41</v>
      </c>
      <c r="K2" s="2" t="s">
        <v>46</v>
      </c>
      <c r="L2" s="2" t="s">
        <v>47</v>
      </c>
      <c r="M2" s="2" t="s">
        <v>48</v>
      </c>
      <c r="N2" s="2" t="s">
        <v>49</v>
      </c>
      <c r="O2" s="2" t="s">
        <v>50</v>
      </c>
      <c r="P2" s="2" t="s">
        <v>51</v>
      </c>
      <c r="Q2" s="2" t="s">
        <v>41</v>
      </c>
      <c r="R2" s="2" t="n">
        <v>8</v>
      </c>
      <c r="S2" s="2" t="n">
        <v>2976.45</v>
      </c>
      <c r="T2" s="2" t="n">
        <v>0.2</v>
      </c>
      <c r="U2" s="2" t="str">
        <f aca="false">IF(ISBLANK(T2),"Yes","No")</f>
        <v>No</v>
      </c>
      <c r="V2" s="2" t="n">
        <f aca="false">IF(ISBLANK(T2),0,IF(ISNUMBER(T2),T2,VALUE(LEFT(T2,LEN(T2)-1))/100))</f>
        <v>0.2</v>
      </c>
      <c r="W2" s="2" t="str">
        <f aca="false">IF(AND(V2&gt;=0,V2&lt;=0.25),"Valid","Invalid")</f>
        <v>Valid</v>
      </c>
      <c r="X2" s="2" t="n">
        <v>19049.28</v>
      </c>
      <c r="Y2" s="2" t="n">
        <f aca="false">R2*S2*(1-V2)</f>
        <v>19049.28</v>
      </c>
      <c r="Z2" s="2" t="str">
        <f aca="false">IF(ABS(X2-Y2)&gt;1,"Mismatch","OK")</f>
        <v>OK</v>
      </c>
      <c r="AA2" s="2" t="n">
        <v>15841.89</v>
      </c>
      <c r="AB2" s="2" t="n">
        <v>3207.39</v>
      </c>
      <c r="AC2" s="2" t="n">
        <f aca="false">Y2-AA2</f>
        <v>3207.39</v>
      </c>
      <c r="AD2" s="2" t="str">
        <f aca="false">IF(ABS(AB2-AC2)&gt;1,"Mismatch","OK")</f>
        <v>OK</v>
      </c>
      <c r="AE2" s="4" t="n">
        <f aca="false">IF(Y2=0,0,AC2/Y2)</f>
        <v>0.168373292848864</v>
      </c>
      <c r="AF2" s="2" t="s">
        <v>52</v>
      </c>
      <c r="AG2" s="2" t="s">
        <v>53</v>
      </c>
      <c r="AH2" s="2" t="str">
        <f aca="false">IF(AND(AG2="Completed",AF2&lt;&gt;"Paid"),"Inconsistent","OK")</f>
        <v>OK</v>
      </c>
      <c r="AI2" s="2" t="n">
        <f aca="false">IF(OR(ISBLANK(B2),ISBLANK(C2)),"",C2-B2)</f>
        <v>6</v>
      </c>
      <c r="AJ2" s="2" t="str">
        <f aca="false">IF(AI2="","Unknown",IF(AI2&lt;0,"Invalid","OK"))</f>
        <v>OK</v>
      </c>
      <c r="AK2" s="2" t="str">
        <f aca="false">IF(ISBLANK(B2),"",TEXT(B2,"mmm"))</f>
        <v>Jul</v>
      </c>
      <c r="AL2" s="2" t="n">
        <f aca="false">IF(ISBLANK(B2),"",YEAR(B2))</f>
        <v>2024</v>
      </c>
      <c r="AM2" s="2" t="s">
        <v>41</v>
      </c>
      <c r="AN2" s="2" t="str">
        <f aca="false">IF(OR(W2="Invalid",AJ2="Invalid",AH2="Inconsistent",Z2="Mismatch",AD2="Mismatch",AM2="Yes",D2="Yes",E2="Yes"),"Invalid",IF(OR(J2="Yes",Q2="Yes",U2="Yes"),"Warning","Clean"))</f>
        <v>Clean</v>
      </c>
    </row>
    <row r="3" customFormat="false" ht="15" hidden="false" customHeight="false" outlineLevel="0" collapsed="false">
      <c r="A3" s="2" t="s">
        <v>54</v>
      </c>
      <c r="B3" s="3" t="n">
        <v>45535</v>
      </c>
      <c r="C3" s="3" t="n">
        <v>45540</v>
      </c>
      <c r="D3" s="2" t="s">
        <v>41</v>
      </c>
      <c r="E3" s="2" t="s">
        <v>41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41</v>
      </c>
      <c r="K3" s="2" t="s">
        <v>59</v>
      </c>
      <c r="L3" s="2" t="s">
        <v>60</v>
      </c>
      <c r="M3" s="2" t="s">
        <v>61</v>
      </c>
      <c r="N3" s="2" t="s">
        <v>62</v>
      </c>
      <c r="O3" s="2" t="s">
        <v>63</v>
      </c>
      <c r="P3" s="2" t="s">
        <v>64</v>
      </c>
      <c r="Q3" s="2" t="s">
        <v>41</v>
      </c>
      <c r="R3" s="2" t="n">
        <v>3</v>
      </c>
      <c r="S3" s="2" t="n">
        <v>2437.5</v>
      </c>
      <c r="T3" s="2" t="n">
        <v>0</v>
      </c>
      <c r="U3" s="2" t="str">
        <f aca="false">IF(ISBLANK(T3),"Yes","No")</f>
        <v>No</v>
      </c>
      <c r="V3" s="2" t="n">
        <f aca="false">IF(ISBLANK(T3),0,IF(ISNUMBER(T3),T3,VALUE(LEFT(T3,LEN(T3)-1))/100))</f>
        <v>0</v>
      </c>
      <c r="W3" s="2" t="str">
        <f aca="false">IF(AND(V3&gt;=0,V3&lt;=0.25),"Valid","Invalid")</f>
        <v>Valid</v>
      </c>
      <c r="X3" s="2" t="n">
        <v>7312.5</v>
      </c>
      <c r="Y3" s="2" t="n">
        <f aca="false">R3*S3*(1-V3)</f>
        <v>7312.5</v>
      </c>
      <c r="Z3" s="2" t="str">
        <f aca="false">IF(ABS(X3-Y3)&gt;1,"Mismatch","OK")</f>
        <v>OK</v>
      </c>
      <c r="AA3" s="2" t="n">
        <v>4904.73</v>
      </c>
      <c r="AB3" s="2" t="n">
        <v>2407.77</v>
      </c>
      <c r="AC3" s="2" t="n">
        <f aca="false">Y3-AA3</f>
        <v>2407.77</v>
      </c>
      <c r="AD3" s="2" t="str">
        <f aca="false">IF(ABS(AB3-AC3)&gt;1,"Mismatch","OK")</f>
        <v>OK</v>
      </c>
      <c r="AE3" s="4" t="n">
        <f aca="false">IF(Y3=0,0,AC3/Y3)</f>
        <v>0.329267692307692</v>
      </c>
      <c r="AF3" s="2" t="s">
        <v>52</v>
      </c>
      <c r="AG3" s="2" t="s">
        <v>53</v>
      </c>
      <c r="AH3" s="2" t="str">
        <f aca="false">IF(AND(AG3="Completed",AF3&lt;&gt;"Paid"),"Inconsistent","OK")</f>
        <v>OK</v>
      </c>
      <c r="AI3" s="2" t="n">
        <f aca="false">IF(OR(ISBLANK(B3),ISBLANK(C3)),"",C3-B3)</f>
        <v>5</v>
      </c>
      <c r="AJ3" s="2" t="str">
        <f aca="false">IF(AI3="","Unknown",IF(AI3&lt;0,"Invalid","OK"))</f>
        <v>OK</v>
      </c>
      <c r="AK3" s="2" t="str">
        <f aca="false">IF(ISBLANK(B3),"",TEXT(B3,"mmm"))</f>
        <v>Aug</v>
      </c>
      <c r="AL3" s="2" t="n">
        <f aca="false">IF(ISBLANK(B3),"",YEAR(B3))</f>
        <v>2024</v>
      </c>
      <c r="AM3" s="2" t="s">
        <v>41</v>
      </c>
      <c r="AN3" s="2" t="str">
        <f aca="false">IF(OR(W3="Invalid",AJ3="Invalid",AH3="Inconsistent",Z3="Mismatch",AD3="Mismatch",AM3="Yes",D3="Yes",E3="Yes"),"Invalid",IF(OR(J3="Yes",Q3="Yes",U3="Yes"),"Warning","Clean"))</f>
        <v>Clean</v>
      </c>
    </row>
    <row r="4" customFormat="false" ht="15" hidden="false" customHeight="false" outlineLevel="0" collapsed="false">
      <c r="A4" s="2" t="s">
        <v>65</v>
      </c>
      <c r="B4" s="3" t="n">
        <v>45451</v>
      </c>
      <c r="C4" s="3" t="n">
        <v>45458</v>
      </c>
      <c r="D4" s="2" t="s">
        <v>41</v>
      </c>
      <c r="E4" s="2" t="s">
        <v>41</v>
      </c>
      <c r="F4" s="2" t="s">
        <v>66</v>
      </c>
      <c r="G4" s="2" t="s">
        <v>67</v>
      </c>
      <c r="H4" s="2" t="s">
        <v>44</v>
      </c>
      <c r="I4" s="2" t="s">
        <v>58</v>
      </c>
      <c r="J4" s="2" t="s">
        <v>41</v>
      </c>
      <c r="K4" s="2" t="s">
        <v>59</v>
      </c>
      <c r="L4" s="2" t="s">
        <v>60</v>
      </c>
      <c r="M4" s="2" t="s">
        <v>48</v>
      </c>
      <c r="N4" s="2" t="s">
        <v>68</v>
      </c>
      <c r="O4" s="2" t="s">
        <v>69</v>
      </c>
      <c r="P4" s="2" t="s">
        <v>70</v>
      </c>
      <c r="Q4" s="2" t="s">
        <v>41</v>
      </c>
      <c r="R4" s="2" t="n">
        <v>4</v>
      </c>
      <c r="S4" s="2" t="n">
        <v>1065.43</v>
      </c>
      <c r="T4" s="2" t="n">
        <v>0.55</v>
      </c>
      <c r="U4" s="2" t="str">
        <f aca="false">IF(ISBLANK(T4),"Yes","No")</f>
        <v>No</v>
      </c>
      <c r="V4" s="2" t="n">
        <f aca="false">IF(ISBLANK(T4),0,IF(ISNUMBER(T4),T4,VALUE(LEFT(T4,LEN(T4)-1))/100))</f>
        <v>0.55</v>
      </c>
      <c r="W4" s="2" t="str">
        <f aca="false">IF(AND(V4&gt;=0,V4&lt;=0.25),"Valid","Invalid")</f>
        <v>Invalid</v>
      </c>
      <c r="X4" s="2" t="n">
        <v>4261.72</v>
      </c>
      <c r="Y4" s="2" t="n">
        <f aca="false">R4*S4*(1-V4)</f>
        <v>1917.774</v>
      </c>
      <c r="Z4" s="2" t="str">
        <f aca="false">IF(ABS(X4-Y4)&gt;1,"Mismatch","OK")</f>
        <v>Mismatch</v>
      </c>
      <c r="AA4" s="2" t="n">
        <v>2465.69</v>
      </c>
      <c r="AB4" s="2" t="n">
        <v>1796.03</v>
      </c>
      <c r="AC4" s="2" t="n">
        <f aca="false">Y4-AA4</f>
        <v>-547.916</v>
      </c>
      <c r="AD4" s="2" t="str">
        <f aca="false">IF(ABS(AB4-AC4)&gt;1,"Mismatch","OK")</f>
        <v>Mismatch</v>
      </c>
      <c r="AE4" s="4" t="n">
        <f aca="false">IF(Y4=0,0,AC4/Y4)</f>
        <v>-0.285704154921279</v>
      </c>
      <c r="AF4" s="2" t="s">
        <v>52</v>
      </c>
      <c r="AG4" s="2" t="s">
        <v>53</v>
      </c>
      <c r="AH4" s="2" t="str">
        <f aca="false">IF(AND(AG4="Completed",AF4&lt;&gt;"Paid"),"Inconsistent","OK")</f>
        <v>OK</v>
      </c>
      <c r="AI4" s="2" t="n">
        <f aca="false">IF(OR(ISBLANK(B4),ISBLANK(C4)),"",C4-B4)</f>
        <v>7</v>
      </c>
      <c r="AJ4" s="2" t="str">
        <f aca="false">IF(AI4="","Unknown",IF(AI4&lt;0,"Invalid","OK"))</f>
        <v>OK</v>
      </c>
      <c r="AK4" s="2" t="str">
        <f aca="false">IF(ISBLANK(B4),"",TEXT(B4,"mmm"))</f>
        <v>Jun</v>
      </c>
      <c r="AL4" s="2" t="n">
        <f aca="false">IF(ISBLANK(B4),"",YEAR(B4))</f>
        <v>2024</v>
      </c>
      <c r="AM4" s="2" t="s">
        <v>41</v>
      </c>
      <c r="AN4" s="2" t="str">
        <f aca="false">IF(OR(W4="Invalid",AJ4="Invalid",AH4="Inconsistent",Z4="Mismatch",AD4="Mismatch",AM4="Yes",D4="Yes",E4="Yes"),"Invalid",IF(OR(J4="Yes",Q4="Yes",U4="Yes"),"Warning","Clean"))</f>
        <v>Invalid</v>
      </c>
    </row>
    <row r="5" customFormat="false" ht="15" hidden="false" customHeight="false" outlineLevel="0" collapsed="false">
      <c r="A5" s="2" t="s">
        <v>71</v>
      </c>
      <c r="B5" s="3" t="n">
        <v>45624</v>
      </c>
      <c r="C5" s="3" t="n">
        <v>45625</v>
      </c>
      <c r="D5" s="2" t="s">
        <v>41</v>
      </c>
      <c r="E5" s="2" t="s">
        <v>41</v>
      </c>
      <c r="F5" s="2" t="s">
        <v>72</v>
      </c>
      <c r="G5" s="2" t="s">
        <v>73</v>
      </c>
      <c r="H5" s="2" t="s">
        <v>57</v>
      </c>
      <c r="I5" s="2" t="s">
        <v>74</v>
      </c>
      <c r="J5" s="2" t="s">
        <v>41</v>
      </c>
      <c r="K5" s="2" t="s">
        <v>75</v>
      </c>
      <c r="L5" s="2" t="s">
        <v>76</v>
      </c>
      <c r="M5" s="2" t="s">
        <v>61</v>
      </c>
      <c r="N5" s="2" t="s">
        <v>77</v>
      </c>
      <c r="O5" s="2" t="s">
        <v>78</v>
      </c>
      <c r="P5" s="2" t="s">
        <v>79</v>
      </c>
      <c r="Q5" s="2" t="s">
        <v>41</v>
      </c>
      <c r="R5" s="2" t="n">
        <v>6</v>
      </c>
      <c r="S5" s="2" t="n">
        <v>1848.43</v>
      </c>
      <c r="T5" s="2" t="n">
        <v>0.25</v>
      </c>
      <c r="U5" s="2" t="str">
        <f aca="false">IF(ISBLANK(T5),"Yes","No")</f>
        <v>No</v>
      </c>
      <c r="V5" s="2" t="n">
        <f aca="false">IF(ISBLANK(T5),0,IF(ISNUMBER(T5),T5,VALUE(LEFT(T5,LEN(T5)-1))/100))</f>
        <v>0.25</v>
      </c>
      <c r="W5" s="2" t="str">
        <f aca="false">IF(AND(V5&gt;=0,V5&lt;=0.25),"Valid","Invalid")</f>
        <v>Valid</v>
      </c>
      <c r="X5" s="2" t="n">
        <v>8317.93</v>
      </c>
      <c r="Y5" s="2" t="n">
        <f aca="false">R5*S5*(1-V5)</f>
        <v>8317.935</v>
      </c>
      <c r="Z5" s="2" t="str">
        <f aca="false">IF(ABS(X5-Y5)&gt;1,"Mismatch","OK")</f>
        <v>OK</v>
      </c>
      <c r="AA5" s="2" t="n">
        <v>6796.77</v>
      </c>
      <c r="AB5" s="2" t="n">
        <v>1521.16</v>
      </c>
      <c r="AC5" s="2" t="n">
        <f aca="false">Y5-AA5</f>
        <v>1521.165</v>
      </c>
      <c r="AD5" s="2" t="str">
        <f aca="false">IF(ABS(AB5-AC5)&gt;1,"Mismatch","OK")</f>
        <v>OK</v>
      </c>
      <c r="AE5" s="4" t="n">
        <f aca="false">IF(Y5=0,0,AC5/Y5)</f>
        <v>0.182877721453702</v>
      </c>
      <c r="AF5" s="2" t="s">
        <v>52</v>
      </c>
      <c r="AG5" s="2" t="s">
        <v>53</v>
      </c>
      <c r="AH5" s="2" t="str">
        <f aca="false">IF(AND(AG5="Completed",AF5&lt;&gt;"Paid"),"Inconsistent","OK")</f>
        <v>OK</v>
      </c>
      <c r="AI5" s="2" t="n">
        <f aca="false">IF(OR(ISBLANK(B5),ISBLANK(C5)),"",C5-B5)</f>
        <v>1</v>
      </c>
      <c r="AJ5" s="2" t="str">
        <f aca="false">IF(AI5="","Unknown",IF(AI5&lt;0,"Invalid","OK"))</f>
        <v>OK</v>
      </c>
      <c r="AK5" s="2" t="str">
        <f aca="false">IF(ISBLANK(B5),"",TEXT(B5,"mmm"))</f>
        <v>Nov</v>
      </c>
      <c r="AL5" s="2" t="n">
        <f aca="false">IF(ISBLANK(B5),"",YEAR(B5))</f>
        <v>2024</v>
      </c>
      <c r="AM5" s="2" t="s">
        <v>41</v>
      </c>
      <c r="AN5" s="2" t="str">
        <f aca="false">IF(OR(W5="Invalid",AJ5="Invalid",AH5="Inconsistent",Z5="Mismatch",AD5="Mismatch",AM5="Yes",D5="Yes",E5="Yes"),"Invalid",IF(OR(J5="Yes",Q5="Yes",U5="Yes"),"Warning","Clean"))</f>
        <v>Clean</v>
      </c>
    </row>
    <row r="6" customFormat="false" ht="15" hidden="false" customHeight="false" outlineLevel="0" collapsed="false">
      <c r="A6" s="2" t="s">
        <v>80</v>
      </c>
      <c r="B6" s="3" t="n">
        <v>45898</v>
      </c>
      <c r="C6" s="3" t="n">
        <v>45901</v>
      </c>
      <c r="D6" s="2" t="s">
        <v>41</v>
      </c>
      <c r="E6" s="2" t="s">
        <v>41</v>
      </c>
      <c r="F6" s="2" t="s">
        <v>81</v>
      </c>
      <c r="G6" s="2" t="s">
        <v>82</v>
      </c>
      <c r="H6" s="2" t="s">
        <v>57</v>
      </c>
      <c r="I6" s="2" t="s">
        <v>83</v>
      </c>
      <c r="J6" s="2" t="s">
        <v>41</v>
      </c>
      <c r="K6" s="2" t="s">
        <v>84</v>
      </c>
      <c r="L6" s="2" t="s">
        <v>85</v>
      </c>
      <c r="M6" s="2" t="s">
        <v>61</v>
      </c>
      <c r="N6" s="2" t="s">
        <v>86</v>
      </c>
      <c r="O6" s="2" t="s">
        <v>87</v>
      </c>
      <c r="P6" s="2" t="s">
        <v>70</v>
      </c>
      <c r="Q6" s="2" t="s">
        <v>41</v>
      </c>
      <c r="R6" s="2" t="n">
        <v>7</v>
      </c>
      <c r="S6" s="2" t="n">
        <v>2973.76</v>
      </c>
      <c r="T6" s="2" t="n">
        <v>0</v>
      </c>
      <c r="U6" s="2" t="str">
        <f aca="false">IF(ISBLANK(T6),"Yes","No")</f>
        <v>No</v>
      </c>
      <c r="V6" s="2" t="n">
        <f aca="false">IF(ISBLANK(T6),0,IF(ISNUMBER(T6),T6,VALUE(LEFT(T6,LEN(T6)-1))/100))</f>
        <v>0</v>
      </c>
      <c r="W6" s="2" t="str">
        <f aca="false">IF(AND(V6&gt;=0,V6&lt;=0.25),"Valid","Invalid")</f>
        <v>Valid</v>
      </c>
      <c r="X6" s="2" t="n">
        <v>20816.32</v>
      </c>
      <c r="Y6" s="2" t="n">
        <f aca="false">R6*S6*(1-V6)</f>
        <v>20816.32</v>
      </c>
      <c r="Z6" s="2" t="str">
        <f aca="false">IF(ABS(X6-Y6)&gt;1,"Mismatch","OK")</f>
        <v>OK</v>
      </c>
      <c r="AA6" s="2" t="n">
        <v>17705.37</v>
      </c>
      <c r="AB6" s="2" t="n">
        <v>3110.95</v>
      </c>
      <c r="AC6" s="2" t="n">
        <f aca="false">Y6-AA6</f>
        <v>3110.95</v>
      </c>
      <c r="AD6" s="2" t="str">
        <f aca="false">IF(ABS(AB6-AC6)&gt;1,"Mismatch","OK")</f>
        <v>OK</v>
      </c>
      <c r="AE6" s="4" t="n">
        <f aca="false">IF(Y6=0,0,AC6/Y6)</f>
        <v>0.149447644924751</v>
      </c>
      <c r="AF6" s="2" t="s">
        <v>52</v>
      </c>
      <c r="AG6" s="2" t="s">
        <v>88</v>
      </c>
      <c r="AH6" s="2" t="str">
        <f aca="false">IF(AND(AG6="Completed",AF6&lt;&gt;"Paid"),"Inconsistent","OK")</f>
        <v>OK</v>
      </c>
      <c r="AI6" s="2" t="n">
        <f aca="false">IF(OR(ISBLANK(B6),ISBLANK(C6)),"",C6-B6)</f>
        <v>3</v>
      </c>
      <c r="AJ6" s="2" t="str">
        <f aca="false">IF(AI6="","Unknown",IF(AI6&lt;0,"Invalid","OK"))</f>
        <v>OK</v>
      </c>
      <c r="AK6" s="2" t="str">
        <f aca="false">IF(ISBLANK(B6),"",TEXT(B6,"mmm"))</f>
        <v>Aug</v>
      </c>
      <c r="AL6" s="2" t="n">
        <f aca="false">IF(ISBLANK(B6),"",YEAR(B6))</f>
        <v>2025</v>
      </c>
      <c r="AM6" s="2" t="s">
        <v>41</v>
      </c>
      <c r="AN6" s="2" t="str">
        <f aca="false">IF(OR(W6="Invalid",AJ6="Invalid",AH6="Inconsistent",Z6="Mismatch",AD6="Mismatch",AM6="Yes",D6="Yes",E6="Yes"),"Invalid",IF(OR(J6="Yes",Q6="Yes",U6="Yes"),"Warning","Clean"))</f>
        <v>Clean</v>
      </c>
    </row>
    <row r="7" customFormat="false" ht="15" hidden="false" customHeight="false" outlineLevel="0" collapsed="false">
      <c r="A7" s="2" t="s">
        <v>89</v>
      </c>
      <c r="B7" s="3" t="n">
        <v>45436</v>
      </c>
      <c r="C7" s="3" t="n">
        <v>45440</v>
      </c>
      <c r="D7" s="2" t="s">
        <v>41</v>
      </c>
      <c r="E7" s="2" t="s">
        <v>41</v>
      </c>
      <c r="F7" s="2" t="s">
        <v>90</v>
      </c>
      <c r="G7" s="2" t="s">
        <v>91</v>
      </c>
      <c r="H7" s="2" t="s">
        <v>57</v>
      </c>
      <c r="I7" s="2" t="s">
        <v>83</v>
      </c>
      <c r="J7" s="2" t="s">
        <v>41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96</v>
      </c>
      <c r="P7" s="2" t="s">
        <v>64</v>
      </c>
      <c r="Q7" s="2" t="s">
        <v>41</v>
      </c>
      <c r="R7" s="2" t="n">
        <v>3</v>
      </c>
      <c r="S7" s="2" t="n">
        <v>1053.11</v>
      </c>
      <c r="T7" s="2" t="n">
        <v>0.2</v>
      </c>
      <c r="U7" s="2" t="str">
        <f aca="false">IF(ISBLANK(T7),"Yes","No")</f>
        <v>No</v>
      </c>
      <c r="V7" s="2" t="n">
        <f aca="false">IF(ISBLANK(T7),0,IF(ISNUMBER(T7),T7,VALUE(LEFT(T7,LEN(T7)-1))/100))</f>
        <v>0.2</v>
      </c>
      <c r="W7" s="2" t="str">
        <f aca="false">IF(AND(V7&gt;=0,V7&lt;=0.25),"Valid","Invalid")</f>
        <v>Valid</v>
      </c>
      <c r="X7" s="2" t="n">
        <v>2527.46</v>
      </c>
      <c r="Y7" s="2" t="n">
        <f aca="false">R7*S7*(1-V7)</f>
        <v>2527.464</v>
      </c>
      <c r="Z7" s="2" t="str">
        <f aca="false">IF(ABS(X7-Y7)&gt;1,"Mismatch","OK")</f>
        <v>OK</v>
      </c>
      <c r="AA7" s="2" t="n">
        <v>1533.58</v>
      </c>
      <c r="AB7" s="2" t="n">
        <v>993.88</v>
      </c>
      <c r="AC7" s="2" t="n">
        <f aca="false">Y7-AA7</f>
        <v>993.884</v>
      </c>
      <c r="AD7" s="2" t="str">
        <f aca="false">IF(ABS(AB7-AC7)&gt;1,"Mismatch","OK")</f>
        <v>OK</v>
      </c>
      <c r="AE7" s="4" t="n">
        <f aca="false">IF(Y7=0,0,AC7/Y7)</f>
        <v>0.393233691953674</v>
      </c>
      <c r="AF7" s="2" t="s">
        <v>52</v>
      </c>
      <c r="AG7" s="2" t="s">
        <v>53</v>
      </c>
      <c r="AH7" s="2" t="str">
        <f aca="false">IF(AND(AG7="Completed",AF7&lt;&gt;"Paid"),"Inconsistent","OK")</f>
        <v>OK</v>
      </c>
      <c r="AI7" s="2" t="n">
        <f aca="false">IF(OR(ISBLANK(B7),ISBLANK(C7)),"",C7-B7)</f>
        <v>4</v>
      </c>
      <c r="AJ7" s="2" t="str">
        <f aca="false">IF(AI7="","Unknown",IF(AI7&lt;0,"Invalid","OK"))</f>
        <v>OK</v>
      </c>
      <c r="AK7" s="2" t="str">
        <f aca="false">IF(ISBLANK(B7),"",TEXT(B7,"mmm"))</f>
        <v>May</v>
      </c>
      <c r="AL7" s="2" t="n">
        <f aca="false">IF(ISBLANK(B7),"",YEAR(B7))</f>
        <v>2024</v>
      </c>
      <c r="AM7" s="2" t="s">
        <v>41</v>
      </c>
      <c r="AN7" s="2" t="str">
        <f aca="false">IF(OR(W7="Invalid",AJ7="Invalid",AH7="Inconsistent",Z7="Mismatch",AD7="Mismatch",AM7="Yes",D7="Yes",E7="Yes"),"Invalid",IF(OR(J7="Yes",Q7="Yes",U7="Yes"),"Warning","Clean"))</f>
        <v>Clean</v>
      </c>
    </row>
    <row r="8" customFormat="false" ht="15" hidden="false" customHeight="false" outlineLevel="0" collapsed="false">
      <c r="A8" s="2" t="s">
        <v>97</v>
      </c>
      <c r="B8" s="3" t="n">
        <v>45757</v>
      </c>
      <c r="C8" s="3" t="n">
        <v>45763</v>
      </c>
      <c r="D8" s="2" t="s">
        <v>41</v>
      </c>
      <c r="E8" s="2" t="s">
        <v>41</v>
      </c>
      <c r="F8" s="2" t="s">
        <v>98</v>
      </c>
      <c r="G8" s="2" t="s">
        <v>99</v>
      </c>
      <c r="H8" s="2" t="s">
        <v>44</v>
      </c>
      <c r="I8" s="2" t="s">
        <v>58</v>
      </c>
      <c r="J8" s="2" t="s">
        <v>41</v>
      </c>
      <c r="K8" s="2" t="s">
        <v>59</v>
      </c>
      <c r="L8" s="2" t="s">
        <v>60</v>
      </c>
      <c r="M8" s="2" t="s">
        <v>94</v>
      </c>
      <c r="N8" s="2" t="s">
        <v>100</v>
      </c>
      <c r="O8" s="2" t="s">
        <v>101</v>
      </c>
      <c r="P8" s="2" t="s">
        <v>79</v>
      </c>
      <c r="Q8" s="2" t="s">
        <v>41</v>
      </c>
      <c r="R8" s="2" t="n">
        <v>4</v>
      </c>
      <c r="S8" s="2" t="n">
        <v>1719.87</v>
      </c>
      <c r="T8" s="2" t="n">
        <v>0.15</v>
      </c>
      <c r="U8" s="2" t="str">
        <f aca="false">IF(ISBLANK(T8),"Yes","No")</f>
        <v>No</v>
      </c>
      <c r="V8" s="2" t="n">
        <f aca="false">IF(ISBLANK(T8),0,IF(ISNUMBER(T8),T8,VALUE(LEFT(T8,LEN(T8)-1))/100))</f>
        <v>0.15</v>
      </c>
      <c r="W8" s="2" t="str">
        <f aca="false">IF(AND(V8&gt;=0,V8&lt;=0.25),"Valid","Invalid")</f>
        <v>Valid</v>
      </c>
      <c r="X8" s="2" t="n">
        <v>5847.56</v>
      </c>
      <c r="Y8" s="2" t="n">
        <f aca="false">R8*S8*(1-V8)</f>
        <v>5847.558</v>
      </c>
      <c r="Z8" s="2" t="str">
        <f aca="false">IF(ABS(X8-Y8)&gt;1,"Mismatch","OK")</f>
        <v>OK</v>
      </c>
      <c r="AA8" s="2" t="n">
        <v>4727.25</v>
      </c>
      <c r="AB8" s="2" t="n">
        <v>1120.31</v>
      </c>
      <c r="AC8" s="2" t="n">
        <f aca="false">Y8-AA8</f>
        <v>1120.308</v>
      </c>
      <c r="AD8" s="2" t="str">
        <f aca="false">IF(ABS(AB8-AC8)&gt;1,"Mismatch","OK")</f>
        <v>OK</v>
      </c>
      <c r="AE8" s="4" t="n">
        <f aca="false">IF(Y8=0,0,AC8/Y8)</f>
        <v>0.191585615739083</v>
      </c>
      <c r="AF8" s="2" t="s">
        <v>52</v>
      </c>
      <c r="AG8" s="2" t="s">
        <v>53</v>
      </c>
      <c r="AH8" s="2" t="str">
        <f aca="false">IF(AND(AG8="Completed",AF8&lt;&gt;"Paid"),"Inconsistent","OK")</f>
        <v>OK</v>
      </c>
      <c r="AI8" s="2" t="n">
        <f aca="false">IF(OR(ISBLANK(B8),ISBLANK(C8)),"",C8-B8)</f>
        <v>6</v>
      </c>
      <c r="AJ8" s="2" t="str">
        <f aca="false">IF(AI8="","Unknown",IF(AI8&lt;0,"Invalid","OK"))</f>
        <v>OK</v>
      </c>
      <c r="AK8" s="2" t="str">
        <f aca="false">IF(ISBLANK(B8),"",TEXT(B8,"mmm"))</f>
        <v>Apr</v>
      </c>
      <c r="AL8" s="2" t="n">
        <f aca="false">IF(ISBLANK(B8),"",YEAR(B8))</f>
        <v>2025</v>
      </c>
      <c r="AM8" s="2" t="s">
        <v>41</v>
      </c>
      <c r="AN8" s="2" t="str">
        <f aca="false">IF(OR(W8="Invalid",AJ8="Invalid",AH8="Inconsistent",Z8="Mismatch",AD8="Mismatch",AM8="Yes",D8="Yes",E8="Yes"),"Invalid",IF(OR(J8="Yes",Q8="Yes",U8="Yes"),"Warning","Clean"))</f>
        <v>Clean</v>
      </c>
    </row>
    <row r="9" customFormat="false" ht="15" hidden="false" customHeight="false" outlineLevel="0" collapsed="false">
      <c r="A9" s="2" t="s">
        <v>102</v>
      </c>
      <c r="B9" s="3" t="n">
        <v>45711</v>
      </c>
      <c r="C9" s="3" t="n">
        <v>45714</v>
      </c>
      <c r="D9" s="2" t="s">
        <v>41</v>
      </c>
      <c r="E9" s="2" t="s">
        <v>41</v>
      </c>
      <c r="F9" s="2" t="s">
        <v>103</v>
      </c>
      <c r="G9" s="2" t="s">
        <v>67</v>
      </c>
      <c r="H9" s="2" t="s">
        <v>57</v>
      </c>
      <c r="I9" s="2" t="s">
        <v>74</v>
      </c>
      <c r="J9" s="2" t="s">
        <v>41</v>
      </c>
      <c r="K9" s="2" t="s">
        <v>104</v>
      </c>
      <c r="L9" s="2" t="s">
        <v>105</v>
      </c>
      <c r="M9" s="2" t="s">
        <v>48</v>
      </c>
      <c r="N9" s="2" t="s">
        <v>68</v>
      </c>
      <c r="O9" s="2" t="s">
        <v>106</v>
      </c>
      <c r="P9" s="2" t="s">
        <v>70</v>
      </c>
      <c r="Q9" s="2" t="s">
        <v>41</v>
      </c>
      <c r="R9" s="2" t="n">
        <v>1</v>
      </c>
      <c r="S9" s="2" t="n">
        <v>2980.71</v>
      </c>
      <c r="T9" s="2" t="n">
        <v>0</v>
      </c>
      <c r="U9" s="2" t="str">
        <f aca="false">IF(ISBLANK(T9),"Yes","No")</f>
        <v>No</v>
      </c>
      <c r="V9" s="2" t="n">
        <f aca="false">IF(ISBLANK(T9),0,IF(ISNUMBER(T9),T9,VALUE(LEFT(T9,LEN(T9)-1))/100))</f>
        <v>0</v>
      </c>
      <c r="W9" s="2" t="str">
        <f aca="false">IF(AND(V9&gt;=0,V9&lt;=0.25),"Valid","Invalid")</f>
        <v>Valid</v>
      </c>
      <c r="X9" s="2" t="n">
        <v>2980.71</v>
      </c>
      <c r="Y9" s="2" t="n">
        <f aca="false">R9*S9*(1-V9)</f>
        <v>2980.71</v>
      </c>
      <c r="Z9" s="2" t="str">
        <f aca="false">IF(ABS(X9-Y9)&gt;1,"Mismatch","OK")</f>
        <v>OK</v>
      </c>
      <c r="AA9" s="2" t="n">
        <v>2357.22</v>
      </c>
      <c r="AB9" s="2" t="n">
        <v>623.49</v>
      </c>
      <c r="AC9" s="2" t="n">
        <f aca="false">Y9-AA9</f>
        <v>623.49</v>
      </c>
      <c r="AD9" s="2" t="str">
        <f aca="false">IF(ABS(AB9-AC9)&gt;1,"Mismatch","OK")</f>
        <v>OK</v>
      </c>
      <c r="AE9" s="4" t="n">
        <f aca="false">IF(Y9=0,0,AC9/Y9)</f>
        <v>0.20917499521926</v>
      </c>
      <c r="AF9" s="2" t="s">
        <v>52</v>
      </c>
      <c r="AG9" s="2" t="s">
        <v>53</v>
      </c>
      <c r="AH9" s="2" t="str">
        <f aca="false">IF(AND(AG9="Completed",AF9&lt;&gt;"Paid"),"Inconsistent","OK")</f>
        <v>OK</v>
      </c>
      <c r="AI9" s="2" t="n">
        <f aca="false">IF(OR(ISBLANK(B9),ISBLANK(C9)),"",C9-B9)</f>
        <v>3</v>
      </c>
      <c r="AJ9" s="2" t="str">
        <f aca="false">IF(AI9="","Unknown",IF(AI9&lt;0,"Invalid","OK"))</f>
        <v>OK</v>
      </c>
      <c r="AK9" s="2" t="str">
        <f aca="false">IF(ISBLANK(B9),"",TEXT(B9,"mmm"))</f>
        <v>Feb</v>
      </c>
      <c r="AL9" s="2" t="n">
        <f aca="false">IF(ISBLANK(B9),"",YEAR(B9))</f>
        <v>2025</v>
      </c>
      <c r="AM9" s="2" t="s">
        <v>41</v>
      </c>
      <c r="AN9" s="2" t="str">
        <f aca="false">IF(OR(W9="Invalid",AJ9="Invalid",AH9="Inconsistent",Z9="Mismatch",AD9="Mismatch",AM9="Yes",D9="Yes",E9="Yes"),"Invalid",IF(OR(J9="Yes",Q9="Yes",U9="Yes"),"Warning","Clean"))</f>
        <v>Clean</v>
      </c>
    </row>
    <row r="10" customFormat="false" ht="15" hidden="false" customHeight="false" outlineLevel="0" collapsed="false">
      <c r="A10" s="2" t="s">
        <v>107</v>
      </c>
      <c r="B10" s="3" t="n">
        <v>45601</v>
      </c>
      <c r="C10" s="3" t="n">
        <v>45606</v>
      </c>
      <c r="D10" s="2" t="s">
        <v>41</v>
      </c>
      <c r="E10" s="2" t="s">
        <v>41</v>
      </c>
      <c r="F10" s="2" t="s">
        <v>108</v>
      </c>
      <c r="G10" s="2" t="s">
        <v>109</v>
      </c>
      <c r="H10" s="2" t="s">
        <v>110</v>
      </c>
      <c r="I10" s="2" t="s">
        <v>74</v>
      </c>
      <c r="J10" s="2" t="s">
        <v>41</v>
      </c>
      <c r="K10" s="2" t="s">
        <v>75</v>
      </c>
      <c r="L10" s="2" t="s">
        <v>76</v>
      </c>
      <c r="M10" s="2" t="s">
        <v>48</v>
      </c>
      <c r="N10" s="2" t="s">
        <v>111</v>
      </c>
      <c r="O10" s="2" t="s">
        <v>112</v>
      </c>
      <c r="P10" s="2" t="s">
        <v>70</v>
      </c>
      <c r="Q10" s="2" t="s">
        <v>41</v>
      </c>
      <c r="R10" s="2" t="n">
        <v>8</v>
      </c>
      <c r="S10" s="2" t="n">
        <v>3134.2</v>
      </c>
      <c r="T10" s="2" t="n">
        <v>0</v>
      </c>
      <c r="U10" s="2" t="str">
        <f aca="false">IF(ISBLANK(T10),"Yes","No")</f>
        <v>No</v>
      </c>
      <c r="V10" s="2" t="n">
        <f aca="false">IF(ISBLANK(T10),0,IF(ISNUMBER(T10),T10,VALUE(LEFT(T10,LEN(T10)-1))/100))</f>
        <v>0</v>
      </c>
      <c r="W10" s="2" t="str">
        <f aca="false">IF(AND(V10&gt;=0,V10&lt;=0.25),"Valid","Invalid")</f>
        <v>Valid</v>
      </c>
      <c r="X10" s="2" t="n">
        <v>25073.6</v>
      </c>
      <c r="Y10" s="2" t="n">
        <f aca="false">R10*S10*(1-V10)</f>
        <v>25073.6</v>
      </c>
      <c r="Z10" s="2" t="str">
        <f aca="false">IF(ABS(X10-Y10)&gt;1,"Mismatch","OK")</f>
        <v>OK</v>
      </c>
      <c r="AA10" s="2" t="n">
        <v>17347.23</v>
      </c>
      <c r="AB10" s="2" t="n">
        <v>7726.37</v>
      </c>
      <c r="AC10" s="2" t="n">
        <f aca="false">Y10-AA10</f>
        <v>7726.37</v>
      </c>
      <c r="AD10" s="2" t="str">
        <f aca="false">IF(ABS(AB10-AC10)&gt;1,"Mismatch","OK")</f>
        <v>OK</v>
      </c>
      <c r="AE10" s="4" t="n">
        <f aca="false">IF(Y10=0,0,AC10/Y10)</f>
        <v>0.308147613426074</v>
      </c>
      <c r="AF10" s="2" t="s">
        <v>52</v>
      </c>
      <c r="AG10" s="2" t="s">
        <v>53</v>
      </c>
      <c r="AH10" s="2" t="str">
        <f aca="false">IF(AND(AG10="Completed",AF10&lt;&gt;"Paid"),"Inconsistent","OK")</f>
        <v>OK</v>
      </c>
      <c r="AI10" s="2" t="n">
        <f aca="false">IF(OR(ISBLANK(B10),ISBLANK(C10)),"",C10-B10)</f>
        <v>5</v>
      </c>
      <c r="AJ10" s="2" t="str">
        <f aca="false">IF(AI10="","Unknown",IF(AI10&lt;0,"Invalid","OK"))</f>
        <v>OK</v>
      </c>
      <c r="AK10" s="2" t="str">
        <f aca="false">IF(ISBLANK(B10),"",TEXT(B10,"mmm"))</f>
        <v>Nov</v>
      </c>
      <c r="AL10" s="2" t="n">
        <f aca="false">IF(ISBLANK(B10),"",YEAR(B10))</f>
        <v>2024</v>
      </c>
      <c r="AM10" s="2" t="s">
        <v>41</v>
      </c>
      <c r="AN10" s="2" t="str">
        <f aca="false">IF(OR(W10="Invalid",AJ10="Invalid",AH10="Inconsistent",Z10="Mismatch",AD10="Mismatch",AM10="Yes",D10="Yes",E10="Yes"),"Invalid",IF(OR(J10="Yes",Q10="Yes",U10="Yes"),"Warning","Clean"))</f>
        <v>Clean</v>
      </c>
    </row>
    <row r="11" customFormat="false" ht="15" hidden="false" customHeight="false" outlineLevel="0" collapsed="false">
      <c r="A11" s="2" t="s">
        <v>113</v>
      </c>
      <c r="B11" s="3" t="n">
        <v>45907</v>
      </c>
      <c r="C11" s="3" t="n">
        <v>45912</v>
      </c>
      <c r="D11" s="2" t="s">
        <v>41</v>
      </c>
      <c r="E11" s="2" t="s">
        <v>41</v>
      </c>
      <c r="F11" s="2" t="s">
        <v>114</v>
      </c>
      <c r="G11" s="2" t="s">
        <v>56</v>
      </c>
      <c r="H11" s="2" t="s">
        <v>115</v>
      </c>
      <c r="I11" s="2" t="s">
        <v>74</v>
      </c>
      <c r="J11" s="2" t="s">
        <v>41</v>
      </c>
      <c r="K11" s="2" t="s">
        <v>75</v>
      </c>
      <c r="L11" s="2" t="s">
        <v>76</v>
      </c>
      <c r="M11" s="2" t="s">
        <v>48</v>
      </c>
      <c r="N11" s="2" t="s">
        <v>49</v>
      </c>
      <c r="O11" s="2" t="s">
        <v>116</v>
      </c>
      <c r="P11" s="2" t="s">
        <v>51</v>
      </c>
      <c r="Q11" s="2" t="s">
        <v>41</v>
      </c>
      <c r="R11" s="2" t="n">
        <v>9</v>
      </c>
      <c r="S11" s="2" t="n">
        <v>852.04</v>
      </c>
      <c r="T11" s="2" t="n">
        <v>0.2</v>
      </c>
      <c r="U11" s="2" t="str">
        <f aca="false">IF(ISBLANK(T11),"Yes","No")</f>
        <v>No</v>
      </c>
      <c r="V11" s="2" t="n">
        <f aca="false">IF(ISBLANK(T11),0,IF(ISNUMBER(T11),T11,VALUE(LEFT(T11,LEN(T11)-1))/100))</f>
        <v>0.2</v>
      </c>
      <c r="W11" s="2" t="str">
        <f aca="false">IF(AND(V11&gt;=0,V11&lt;=0.25),"Valid","Invalid")</f>
        <v>Valid</v>
      </c>
      <c r="X11" s="2" t="n">
        <v>6134.69</v>
      </c>
      <c r="Y11" s="2" t="n">
        <f aca="false">R11*S11*(1-V11)</f>
        <v>6134.688</v>
      </c>
      <c r="Z11" s="2" t="str">
        <f aca="false">IF(ABS(X11-Y11)&gt;1,"Mismatch","OK")</f>
        <v>OK</v>
      </c>
      <c r="AA11" s="2" t="n">
        <v>3800.19</v>
      </c>
      <c r="AB11" s="2" t="n">
        <v>2334.5</v>
      </c>
      <c r="AC11" s="2" t="n">
        <f aca="false">Y11-AA11</f>
        <v>2334.498</v>
      </c>
      <c r="AD11" s="2" t="str">
        <f aca="false">IF(ABS(AB11-AC11)&gt;1,"Mismatch","OK")</f>
        <v>OK</v>
      </c>
      <c r="AE11" s="4" t="n">
        <f aca="false">IF(Y11=0,0,AC11/Y11)</f>
        <v>0.380540624070857</v>
      </c>
      <c r="AF11" s="2" t="s">
        <v>52</v>
      </c>
      <c r="AG11" s="2" t="s">
        <v>53</v>
      </c>
      <c r="AH11" s="2" t="str">
        <f aca="false">IF(AND(AG11="Completed",AF11&lt;&gt;"Paid"),"Inconsistent","OK")</f>
        <v>OK</v>
      </c>
      <c r="AI11" s="2" t="n">
        <f aca="false">IF(OR(ISBLANK(B11),ISBLANK(C11)),"",C11-B11)</f>
        <v>5</v>
      </c>
      <c r="AJ11" s="2" t="str">
        <f aca="false">IF(AI11="","Unknown",IF(AI11&lt;0,"Invalid","OK"))</f>
        <v>OK</v>
      </c>
      <c r="AK11" s="2" t="str">
        <f aca="false">IF(ISBLANK(B11),"",TEXT(B11,"mmm"))</f>
        <v>Sep</v>
      </c>
      <c r="AL11" s="2" t="n">
        <f aca="false">IF(ISBLANK(B11),"",YEAR(B11))</f>
        <v>2025</v>
      </c>
      <c r="AM11" s="2" t="s">
        <v>41</v>
      </c>
      <c r="AN11" s="2" t="str">
        <f aca="false">IF(OR(W11="Invalid",AJ11="Invalid",AH11="Inconsistent",Z11="Mismatch",AD11="Mismatch",AM11="Yes",D11="Yes",E11="Yes"),"Invalid",IF(OR(J11="Yes",Q11="Yes",U11="Yes"),"Warning","Clean"))</f>
        <v>Clean</v>
      </c>
    </row>
    <row r="12" customFormat="false" ht="15" hidden="false" customHeight="false" outlineLevel="0" collapsed="false">
      <c r="A12" s="2" t="s">
        <v>117</v>
      </c>
      <c r="B12" s="3" t="n">
        <v>45797</v>
      </c>
      <c r="C12" s="3" t="n">
        <v>45797</v>
      </c>
      <c r="D12" s="2" t="s">
        <v>41</v>
      </c>
      <c r="E12" s="2" t="s">
        <v>41</v>
      </c>
      <c r="F12" s="2" t="s">
        <v>118</v>
      </c>
      <c r="G12" s="2" t="s">
        <v>82</v>
      </c>
      <c r="H12" s="2" t="s">
        <v>110</v>
      </c>
      <c r="I12" s="2" t="s">
        <v>58</v>
      </c>
      <c r="J12" s="2" t="s">
        <v>41</v>
      </c>
      <c r="K12" s="2" t="s">
        <v>119</v>
      </c>
      <c r="L12" s="2" t="s">
        <v>120</v>
      </c>
      <c r="M12" s="2" t="s">
        <v>48</v>
      </c>
      <c r="N12" s="2" t="s">
        <v>111</v>
      </c>
      <c r="O12" s="2" t="s">
        <v>121</v>
      </c>
      <c r="P12" s="2" t="s">
        <v>51</v>
      </c>
      <c r="Q12" s="2" t="s">
        <v>41</v>
      </c>
      <c r="R12" s="2" t="n">
        <v>3</v>
      </c>
      <c r="S12" s="2" t="n">
        <v>3534.83</v>
      </c>
      <c r="T12" s="2" t="n">
        <v>0.05</v>
      </c>
      <c r="U12" s="2" t="str">
        <f aca="false">IF(ISBLANK(T12),"Yes","No")</f>
        <v>No</v>
      </c>
      <c r="V12" s="2" t="n">
        <f aca="false">IF(ISBLANK(T12),0,IF(ISNUMBER(T12),T12,VALUE(LEFT(T12,LEN(T12)-1))/100))</f>
        <v>0.05</v>
      </c>
      <c r="W12" s="2" t="str">
        <f aca="false">IF(AND(V12&gt;=0,V12&lt;=0.25),"Valid","Invalid")</f>
        <v>Valid</v>
      </c>
      <c r="X12" s="2" t="n">
        <v>10074.27</v>
      </c>
      <c r="Y12" s="2" t="n">
        <f aca="false">R12*S12*(1-V12)</f>
        <v>10074.2655</v>
      </c>
      <c r="Z12" s="2" t="str">
        <f aca="false">IF(ABS(X12-Y12)&gt;1,"Mismatch","OK")</f>
        <v>OK</v>
      </c>
      <c r="AA12" s="2" t="n">
        <v>6048.27</v>
      </c>
      <c r="AB12" s="2" t="n">
        <v>4026</v>
      </c>
      <c r="AC12" s="2" t="n">
        <f aca="false">Y12-AA12</f>
        <v>4025.9955</v>
      </c>
      <c r="AD12" s="2" t="str">
        <f aca="false">IF(ABS(AB12-AC12)&gt;1,"Mismatch","OK")</f>
        <v>OK</v>
      </c>
      <c r="AE12" s="4" t="n">
        <f aca="false">IF(Y12=0,0,AC12/Y12)</f>
        <v>0.399631665454916</v>
      </c>
      <c r="AF12" s="2" t="s">
        <v>122</v>
      </c>
      <c r="AG12" s="2" t="s">
        <v>123</v>
      </c>
      <c r="AH12" s="2" t="str">
        <f aca="false">IF(AND(AG12="Completed",AF12&lt;&gt;"Paid"),"Inconsistent","OK")</f>
        <v>OK</v>
      </c>
      <c r="AI12" s="2" t="n">
        <f aca="false">IF(OR(ISBLANK(B12),ISBLANK(C12)),"",C12-B12)</f>
        <v>0</v>
      </c>
      <c r="AJ12" s="2" t="str">
        <f aca="false">IF(AI12="","Unknown",IF(AI12&lt;0,"Invalid","OK"))</f>
        <v>OK</v>
      </c>
      <c r="AK12" s="2" t="str">
        <f aca="false">IF(ISBLANK(B12),"",TEXT(B12,"mmm"))</f>
        <v>May</v>
      </c>
      <c r="AL12" s="2" t="n">
        <f aca="false">IF(ISBLANK(B12),"",YEAR(B12))</f>
        <v>2025</v>
      </c>
      <c r="AM12" s="2" t="s">
        <v>41</v>
      </c>
      <c r="AN12" s="2" t="str">
        <f aca="false">IF(OR(W12="Invalid",AJ12="Invalid",AH12="Inconsistent",Z12="Mismatch",AD12="Mismatch",AM12="Yes",D12="Yes",E12="Yes"),"Invalid",IF(OR(J12="Yes",Q12="Yes",U12="Yes"),"Warning","Clean"))</f>
        <v>Clean</v>
      </c>
    </row>
    <row r="13" customFormat="false" ht="15" hidden="false" customHeight="false" outlineLevel="0" collapsed="false">
      <c r="A13" s="2" t="s">
        <v>124</v>
      </c>
      <c r="B13" s="3" t="n">
        <v>45495</v>
      </c>
      <c r="C13" s="3" t="n">
        <v>45496</v>
      </c>
      <c r="D13" s="2" t="s">
        <v>41</v>
      </c>
      <c r="E13" s="2" t="s">
        <v>41</v>
      </c>
      <c r="F13" s="2" t="s">
        <v>125</v>
      </c>
      <c r="G13" s="2" t="s">
        <v>91</v>
      </c>
      <c r="H13" s="2" t="s">
        <v>57</v>
      </c>
      <c r="I13" s="2" t="s">
        <v>58</v>
      </c>
      <c r="J13" s="2" t="s">
        <v>41</v>
      </c>
      <c r="K13" s="2" t="s">
        <v>59</v>
      </c>
      <c r="L13" s="2" t="s">
        <v>60</v>
      </c>
      <c r="M13" s="2" t="s">
        <v>94</v>
      </c>
      <c r="N13" s="2" t="s">
        <v>95</v>
      </c>
      <c r="O13" s="2" t="s">
        <v>126</v>
      </c>
      <c r="P13" s="2" t="s">
        <v>64</v>
      </c>
      <c r="Q13" s="2" t="s">
        <v>41</v>
      </c>
      <c r="R13" s="2" t="n">
        <v>6</v>
      </c>
      <c r="S13" s="2" t="n">
        <v>2005.95</v>
      </c>
      <c r="T13" s="2" t="n">
        <v>0.2</v>
      </c>
      <c r="U13" s="2" t="str">
        <f aca="false">IF(ISBLANK(T13),"Yes","No")</f>
        <v>No</v>
      </c>
      <c r="V13" s="2" t="n">
        <f aca="false">IF(ISBLANK(T13),0,IF(ISNUMBER(T13),T13,VALUE(LEFT(T13,LEN(T13)-1))/100))</f>
        <v>0.2</v>
      </c>
      <c r="W13" s="2" t="str">
        <f aca="false">IF(AND(V13&gt;=0,V13&lt;=0.25),"Valid","Invalid")</f>
        <v>Valid</v>
      </c>
      <c r="X13" s="2" t="n">
        <v>9628.56</v>
      </c>
      <c r="Y13" s="2" t="n">
        <f aca="false">R13*S13*(1-V13)</f>
        <v>9628.56</v>
      </c>
      <c r="Z13" s="2" t="str">
        <f aca="false">IF(ABS(X13-Y13)&gt;1,"Mismatch","OK")</f>
        <v>OK</v>
      </c>
      <c r="AA13" s="2" t="n">
        <v>8038.59</v>
      </c>
      <c r="AB13" s="2" t="n">
        <v>1589.97</v>
      </c>
      <c r="AC13" s="2" t="n">
        <f aca="false">Y13-AA13</f>
        <v>1589.97</v>
      </c>
      <c r="AD13" s="2" t="str">
        <f aca="false">IF(ABS(AB13-AC13)&gt;1,"Mismatch","OK")</f>
        <v>OK</v>
      </c>
      <c r="AE13" s="4" t="n">
        <f aca="false">IF(Y13=0,0,AC13/Y13)</f>
        <v>0.165130611430993</v>
      </c>
      <c r="AF13" s="2" t="s">
        <v>52</v>
      </c>
      <c r="AG13" s="2" t="s">
        <v>53</v>
      </c>
      <c r="AH13" s="2" t="str">
        <f aca="false">IF(AND(AG13="Completed",AF13&lt;&gt;"Paid"),"Inconsistent","OK")</f>
        <v>OK</v>
      </c>
      <c r="AI13" s="2" t="n">
        <f aca="false">IF(OR(ISBLANK(B13),ISBLANK(C13)),"",C13-B13)</f>
        <v>1</v>
      </c>
      <c r="AJ13" s="2" t="str">
        <f aca="false">IF(AI13="","Unknown",IF(AI13&lt;0,"Invalid","OK"))</f>
        <v>OK</v>
      </c>
      <c r="AK13" s="2" t="str">
        <f aca="false">IF(ISBLANK(B13),"",TEXT(B13,"mmm"))</f>
        <v>Jul</v>
      </c>
      <c r="AL13" s="2" t="n">
        <f aca="false">IF(ISBLANK(B13),"",YEAR(B13))</f>
        <v>2024</v>
      </c>
      <c r="AM13" s="2" t="s">
        <v>41</v>
      </c>
      <c r="AN13" s="2" t="str">
        <f aca="false">IF(OR(W13="Invalid",AJ13="Invalid",AH13="Inconsistent",Z13="Mismatch",AD13="Mismatch",AM13="Yes",D13="Yes",E13="Yes"),"Invalid",IF(OR(J13="Yes",Q13="Yes",U13="Yes"),"Warning","Clean"))</f>
        <v>Clean</v>
      </c>
    </row>
    <row r="14" customFormat="false" ht="15" hidden="false" customHeight="false" outlineLevel="0" collapsed="false">
      <c r="A14" s="2" t="s">
        <v>127</v>
      </c>
      <c r="B14" s="3" t="n">
        <v>45646</v>
      </c>
      <c r="C14" s="3" t="n">
        <v>45647</v>
      </c>
      <c r="D14" s="2" t="s">
        <v>41</v>
      </c>
      <c r="E14" s="2" t="s">
        <v>41</v>
      </c>
      <c r="F14" s="2" t="s">
        <v>128</v>
      </c>
      <c r="G14" s="2" t="s">
        <v>82</v>
      </c>
      <c r="H14" s="2" t="s">
        <v>110</v>
      </c>
      <c r="I14" s="2" t="s">
        <v>83</v>
      </c>
      <c r="J14" s="2" t="s">
        <v>41</v>
      </c>
      <c r="K14" s="2" t="s">
        <v>46</v>
      </c>
      <c r="L14" s="2" t="s">
        <v>129</v>
      </c>
      <c r="M14" s="2" t="s">
        <v>48</v>
      </c>
      <c r="N14" s="2" t="s">
        <v>49</v>
      </c>
      <c r="O14" s="2" t="s">
        <v>130</v>
      </c>
      <c r="P14" s="2" t="s">
        <v>70</v>
      </c>
      <c r="Q14" s="2" t="s">
        <v>41</v>
      </c>
      <c r="R14" s="2" t="n">
        <v>1</v>
      </c>
      <c r="S14" s="2" t="n">
        <v>702.14</v>
      </c>
      <c r="T14" s="2" t="n">
        <v>0.15</v>
      </c>
      <c r="U14" s="2" t="str">
        <f aca="false">IF(ISBLANK(T14),"Yes","No")</f>
        <v>No</v>
      </c>
      <c r="V14" s="2" t="n">
        <f aca="false">IF(ISBLANK(T14),0,IF(ISNUMBER(T14),T14,VALUE(LEFT(T14,LEN(T14)-1))/100))</f>
        <v>0.15</v>
      </c>
      <c r="W14" s="2" t="str">
        <f aca="false">IF(AND(V14&gt;=0,V14&lt;=0.25),"Valid","Invalid")</f>
        <v>Valid</v>
      </c>
      <c r="X14" s="2" t="n">
        <v>596.82</v>
      </c>
      <c r="Y14" s="2" t="n">
        <f aca="false">R14*S14*(1-V14)</f>
        <v>596.819</v>
      </c>
      <c r="Z14" s="2" t="str">
        <f aca="false">IF(ABS(X14-Y14)&gt;1,"Mismatch","OK")</f>
        <v>OK</v>
      </c>
      <c r="AA14" s="2" t="n">
        <v>380.25</v>
      </c>
      <c r="AB14" s="2" t="n">
        <v>216.57</v>
      </c>
      <c r="AC14" s="2" t="n">
        <f aca="false">Y14-AA14</f>
        <v>216.569</v>
      </c>
      <c r="AD14" s="2" t="str">
        <f aca="false">IF(ABS(AB14-AC14)&gt;1,"Mismatch","OK")</f>
        <v>OK</v>
      </c>
      <c r="AE14" s="4" t="n">
        <f aca="false">IF(Y14=0,0,AC14/Y14)</f>
        <v>0.362872160571295</v>
      </c>
      <c r="AF14" s="2" t="s">
        <v>131</v>
      </c>
      <c r="AG14" s="2" t="s">
        <v>123</v>
      </c>
      <c r="AH14" s="2" t="str">
        <f aca="false">IF(AND(AG14="Completed",AF14&lt;&gt;"Paid"),"Inconsistent","OK")</f>
        <v>OK</v>
      </c>
      <c r="AI14" s="2" t="n">
        <f aca="false">IF(OR(ISBLANK(B14),ISBLANK(C14)),"",C14-B14)</f>
        <v>1</v>
      </c>
      <c r="AJ14" s="2" t="str">
        <f aca="false">IF(AI14="","Unknown",IF(AI14&lt;0,"Invalid","OK"))</f>
        <v>OK</v>
      </c>
      <c r="AK14" s="2" t="str">
        <f aca="false">IF(ISBLANK(B14),"",TEXT(B14,"mmm"))</f>
        <v>Dec</v>
      </c>
      <c r="AL14" s="2" t="n">
        <f aca="false">IF(ISBLANK(B14),"",YEAR(B14))</f>
        <v>2024</v>
      </c>
      <c r="AM14" s="2" t="s">
        <v>41</v>
      </c>
      <c r="AN14" s="2" t="str">
        <f aca="false">IF(OR(W14="Invalid",AJ14="Invalid",AH14="Inconsistent",Z14="Mismatch",AD14="Mismatch",AM14="Yes",D14="Yes",E14="Yes"),"Invalid",IF(OR(J14="Yes",Q14="Yes",U14="Yes"),"Warning","Clean"))</f>
        <v>Clean</v>
      </c>
    </row>
    <row r="15" customFormat="false" ht="15" hidden="false" customHeight="false" outlineLevel="0" collapsed="false">
      <c r="A15" s="2" t="s">
        <v>132</v>
      </c>
      <c r="B15" s="3" t="n">
        <v>45942</v>
      </c>
      <c r="C15" s="3" t="n">
        <v>45946</v>
      </c>
      <c r="D15" s="2" t="s">
        <v>41</v>
      </c>
      <c r="E15" s="2" t="s">
        <v>41</v>
      </c>
      <c r="F15" s="2" t="s">
        <v>133</v>
      </c>
      <c r="G15" s="2" t="s">
        <v>134</v>
      </c>
      <c r="H15" s="2" t="s">
        <v>57</v>
      </c>
      <c r="I15" s="2" t="s">
        <v>83</v>
      </c>
      <c r="J15" s="2" t="s">
        <v>41</v>
      </c>
      <c r="K15" s="2" t="s">
        <v>84</v>
      </c>
      <c r="L15" s="2" t="s">
        <v>85</v>
      </c>
      <c r="M15" s="2" t="s">
        <v>48</v>
      </c>
      <c r="N15" s="2" t="s">
        <v>68</v>
      </c>
      <c r="O15" s="2" t="s">
        <v>135</v>
      </c>
      <c r="P15" s="2" t="s">
        <v>51</v>
      </c>
      <c r="Q15" s="2" t="s">
        <v>41</v>
      </c>
      <c r="R15" s="2" t="n">
        <v>7</v>
      </c>
      <c r="S15" s="2" t="n">
        <v>3964.72</v>
      </c>
      <c r="T15" s="2" t="n">
        <v>0.05</v>
      </c>
      <c r="U15" s="2" t="str">
        <f aca="false">IF(ISBLANK(T15),"Yes","No")</f>
        <v>No</v>
      </c>
      <c r="V15" s="2" t="n">
        <f aca="false">IF(ISBLANK(T15),0,IF(ISNUMBER(T15),T15,VALUE(LEFT(T15,LEN(T15)-1))/100))</f>
        <v>0.05</v>
      </c>
      <c r="W15" s="2" t="str">
        <f aca="false">IF(AND(V15&gt;=0,V15&lt;=0.25),"Valid","Invalid")</f>
        <v>Valid</v>
      </c>
      <c r="X15" s="2" t="n">
        <v>26365.39</v>
      </c>
      <c r="Y15" s="2" t="n">
        <f aca="false">R15*S15*(1-V15)</f>
        <v>26365.388</v>
      </c>
      <c r="Z15" s="2" t="str">
        <f aca="false">IF(ABS(X15-Y15)&gt;1,"Mismatch","OK")</f>
        <v>OK</v>
      </c>
      <c r="AA15" s="2" t="n">
        <v>22306.24</v>
      </c>
      <c r="AB15" s="2" t="n">
        <v>4059.15</v>
      </c>
      <c r="AC15" s="2" t="n">
        <f aca="false">Y15-AA15</f>
        <v>4059.14799999999</v>
      </c>
      <c r="AD15" s="2" t="str">
        <f aca="false">IF(ABS(AB15-AC15)&gt;1,"Mismatch","OK")</f>
        <v>OK</v>
      </c>
      <c r="AE15" s="4" t="n">
        <f aca="false">IF(Y15=0,0,AC15/Y15)</f>
        <v>0.153957453613047</v>
      </c>
      <c r="AF15" s="2" t="s">
        <v>52</v>
      </c>
      <c r="AG15" s="2" t="s">
        <v>53</v>
      </c>
      <c r="AH15" s="2" t="str">
        <f aca="false">IF(AND(AG15="Completed",AF15&lt;&gt;"Paid"),"Inconsistent","OK")</f>
        <v>OK</v>
      </c>
      <c r="AI15" s="2" t="n">
        <f aca="false">IF(OR(ISBLANK(B15),ISBLANK(C15)),"",C15-B15)</f>
        <v>4</v>
      </c>
      <c r="AJ15" s="2" t="str">
        <f aca="false">IF(AI15="","Unknown",IF(AI15&lt;0,"Invalid","OK"))</f>
        <v>OK</v>
      </c>
      <c r="AK15" s="2" t="str">
        <f aca="false">IF(ISBLANK(B15),"",TEXT(B15,"mmm"))</f>
        <v>Oct</v>
      </c>
      <c r="AL15" s="2" t="n">
        <f aca="false">IF(ISBLANK(B15),"",YEAR(B15))</f>
        <v>2025</v>
      </c>
      <c r="AM15" s="2" t="s">
        <v>41</v>
      </c>
      <c r="AN15" s="2" t="str">
        <f aca="false">IF(OR(W15="Invalid",AJ15="Invalid",AH15="Inconsistent",Z15="Mismatch",AD15="Mismatch",AM15="Yes",D15="Yes",E15="Yes"),"Invalid",IF(OR(J15="Yes",Q15="Yes",U15="Yes"),"Warning","Clean"))</f>
        <v>Clean</v>
      </c>
    </row>
    <row r="16" customFormat="false" ht="15" hidden="false" customHeight="false" outlineLevel="0" collapsed="false">
      <c r="A16" s="2" t="s">
        <v>136</v>
      </c>
      <c r="B16" s="3" t="n">
        <v>45653</v>
      </c>
      <c r="C16" s="3" t="n">
        <v>45654</v>
      </c>
      <c r="D16" s="2" t="s">
        <v>41</v>
      </c>
      <c r="E16" s="2" t="s">
        <v>41</v>
      </c>
      <c r="F16" s="2" t="s">
        <v>137</v>
      </c>
      <c r="G16" s="2" t="s">
        <v>138</v>
      </c>
      <c r="H16" s="2" t="s">
        <v>44</v>
      </c>
      <c r="I16" s="2" t="s">
        <v>83</v>
      </c>
      <c r="J16" s="2" t="s">
        <v>41</v>
      </c>
      <c r="K16" s="2" t="s">
        <v>46</v>
      </c>
      <c r="L16" s="2" t="s">
        <v>129</v>
      </c>
      <c r="M16" s="2" t="s">
        <v>94</v>
      </c>
      <c r="N16" s="2" t="s">
        <v>100</v>
      </c>
      <c r="O16" s="2" t="s">
        <v>139</v>
      </c>
      <c r="P16" s="2" t="s">
        <v>79</v>
      </c>
      <c r="Q16" s="2" t="s">
        <v>41</v>
      </c>
      <c r="R16" s="2" t="n">
        <v>2</v>
      </c>
      <c r="S16" s="2" t="n">
        <v>2737.83</v>
      </c>
      <c r="T16" s="2" t="n">
        <v>0.25</v>
      </c>
      <c r="U16" s="2" t="str">
        <f aca="false">IF(ISBLANK(T16),"Yes","No")</f>
        <v>No</v>
      </c>
      <c r="V16" s="2" t="n">
        <f aca="false">IF(ISBLANK(T16),0,IF(ISNUMBER(T16),T16,VALUE(LEFT(T16,LEN(T16)-1))/100))</f>
        <v>0.25</v>
      </c>
      <c r="W16" s="2" t="str">
        <f aca="false">IF(AND(V16&gt;=0,V16&lt;=0.25),"Valid","Invalid")</f>
        <v>Valid</v>
      </c>
      <c r="X16" s="2" t="n">
        <v>4106.74</v>
      </c>
      <c r="Y16" s="2" t="n">
        <f aca="false">R16*S16*(1-V16)</f>
        <v>4106.745</v>
      </c>
      <c r="Z16" s="2" t="str">
        <f aca="false">IF(ABS(X16-Y16)&gt;1,"Mismatch","OK")</f>
        <v>OK</v>
      </c>
      <c r="AA16" s="2" t="n">
        <v>2666.3</v>
      </c>
      <c r="AB16" s="2" t="n">
        <v>1440.44</v>
      </c>
      <c r="AC16" s="2" t="n">
        <f aca="false">Y16-AA16</f>
        <v>1440.445</v>
      </c>
      <c r="AD16" s="2" t="str">
        <f aca="false">IF(ABS(AB16-AC16)&gt;1,"Mismatch","OK")</f>
        <v>OK</v>
      </c>
      <c r="AE16" s="4" t="n">
        <f aca="false">IF(Y16=0,0,AC16/Y16)</f>
        <v>0.350751020577124</v>
      </c>
      <c r="AF16" s="2" t="s">
        <v>52</v>
      </c>
      <c r="AG16" s="2" t="s">
        <v>53</v>
      </c>
      <c r="AH16" s="2" t="str">
        <f aca="false">IF(AND(AG16="Completed",AF16&lt;&gt;"Paid"),"Inconsistent","OK")</f>
        <v>OK</v>
      </c>
      <c r="AI16" s="2" t="n">
        <f aca="false">IF(OR(ISBLANK(B16),ISBLANK(C16)),"",C16-B16)</f>
        <v>1</v>
      </c>
      <c r="AJ16" s="2" t="str">
        <f aca="false">IF(AI16="","Unknown",IF(AI16&lt;0,"Invalid","OK"))</f>
        <v>OK</v>
      </c>
      <c r="AK16" s="2" t="str">
        <f aca="false">IF(ISBLANK(B16),"",TEXT(B16,"mmm"))</f>
        <v>Dec</v>
      </c>
      <c r="AL16" s="2" t="n">
        <f aca="false">IF(ISBLANK(B16),"",YEAR(B16))</f>
        <v>2024</v>
      </c>
      <c r="AM16" s="2" t="s">
        <v>41</v>
      </c>
      <c r="AN16" s="2" t="str">
        <f aca="false">IF(OR(W16="Invalid",AJ16="Invalid",AH16="Inconsistent",Z16="Mismatch",AD16="Mismatch",AM16="Yes",D16="Yes",E16="Yes"),"Invalid",IF(OR(J16="Yes",Q16="Yes",U16="Yes"),"Warning","Clean"))</f>
        <v>Clean</v>
      </c>
    </row>
    <row r="17" customFormat="false" ht="15" hidden="false" customHeight="false" outlineLevel="0" collapsed="false">
      <c r="A17" s="2" t="s">
        <v>140</v>
      </c>
      <c r="B17" s="3" t="n">
        <v>45482</v>
      </c>
      <c r="C17" s="3" t="n">
        <v>45482</v>
      </c>
      <c r="D17" s="2" t="s">
        <v>41</v>
      </c>
      <c r="E17" s="2" t="s">
        <v>41</v>
      </c>
      <c r="F17" s="2" t="s">
        <v>141</v>
      </c>
      <c r="G17" s="2" t="s">
        <v>43</v>
      </c>
      <c r="H17" s="2" t="s">
        <v>57</v>
      </c>
      <c r="I17" s="2" t="s">
        <v>45</v>
      </c>
      <c r="J17" s="2" t="s">
        <v>41</v>
      </c>
      <c r="K17" s="2" t="s">
        <v>142</v>
      </c>
      <c r="L17" s="2" t="s">
        <v>143</v>
      </c>
      <c r="M17" s="2" t="s">
        <v>48</v>
      </c>
      <c r="N17" s="2" t="s">
        <v>144</v>
      </c>
      <c r="O17" s="2" t="s">
        <v>145</v>
      </c>
      <c r="P17" s="2" t="s">
        <v>51</v>
      </c>
      <c r="Q17" s="2" t="s">
        <v>41</v>
      </c>
      <c r="R17" s="2" t="n">
        <v>6</v>
      </c>
      <c r="S17" s="2" t="n">
        <v>3965.76</v>
      </c>
      <c r="T17" s="2" t="n">
        <v>0</v>
      </c>
      <c r="U17" s="2" t="str">
        <f aca="false">IF(ISBLANK(T17),"Yes","No")</f>
        <v>No</v>
      </c>
      <c r="V17" s="2" t="n">
        <f aca="false">IF(ISBLANK(T17),0,IF(ISNUMBER(T17),T17,VALUE(LEFT(T17,LEN(T17)-1))/100))</f>
        <v>0</v>
      </c>
      <c r="W17" s="2" t="str">
        <f aca="false">IF(AND(V17&gt;=0,V17&lt;=0.25),"Valid","Invalid")</f>
        <v>Valid</v>
      </c>
      <c r="X17" s="2" t="n">
        <v>23794.56</v>
      </c>
      <c r="Y17" s="2" t="n">
        <f aca="false">R17*S17*(1-V17)</f>
        <v>23794.56</v>
      </c>
      <c r="Z17" s="2" t="str">
        <f aca="false">IF(ABS(X17-Y17)&gt;1,"Mismatch","OK")</f>
        <v>OK</v>
      </c>
      <c r="AA17" s="2" t="n">
        <v>15698.47</v>
      </c>
      <c r="AB17" s="2" t="n">
        <v>8096.09</v>
      </c>
      <c r="AC17" s="2" t="n">
        <f aca="false">Y17-AA17</f>
        <v>8096.09</v>
      </c>
      <c r="AD17" s="2" t="str">
        <f aca="false">IF(ABS(AB17-AC17)&gt;1,"Mismatch","OK")</f>
        <v>OK</v>
      </c>
      <c r="AE17" s="4" t="n">
        <f aca="false">IF(Y17=0,0,AC17/Y17)</f>
        <v>0.340249620081229</v>
      </c>
      <c r="AF17" s="2" t="s">
        <v>52</v>
      </c>
      <c r="AG17" s="2" t="s">
        <v>53</v>
      </c>
      <c r="AH17" s="2" t="str">
        <f aca="false">IF(AND(AG17="Completed",AF17&lt;&gt;"Paid"),"Inconsistent","OK")</f>
        <v>OK</v>
      </c>
      <c r="AI17" s="2" t="n">
        <f aca="false">IF(OR(ISBLANK(B17),ISBLANK(C17)),"",C17-B17)</f>
        <v>0</v>
      </c>
      <c r="AJ17" s="2" t="str">
        <f aca="false">IF(AI17="","Unknown",IF(AI17&lt;0,"Invalid","OK"))</f>
        <v>OK</v>
      </c>
      <c r="AK17" s="2" t="str">
        <f aca="false">IF(ISBLANK(B17),"",TEXT(B17,"mmm"))</f>
        <v>Jul</v>
      </c>
      <c r="AL17" s="2" t="n">
        <f aca="false">IF(ISBLANK(B17),"",YEAR(B17))</f>
        <v>2024</v>
      </c>
      <c r="AM17" s="2" t="s">
        <v>41</v>
      </c>
      <c r="AN17" s="2" t="str">
        <f aca="false">IF(OR(W17="Invalid",AJ17="Invalid",AH17="Inconsistent",Z17="Mismatch",AD17="Mismatch",AM17="Yes",D17="Yes",E17="Yes"),"Invalid",IF(OR(J17="Yes",Q17="Yes",U17="Yes"),"Warning","Clean"))</f>
        <v>Clean</v>
      </c>
    </row>
    <row r="18" customFormat="false" ht="15" hidden="false" customHeight="false" outlineLevel="0" collapsed="false">
      <c r="A18" s="2" t="s">
        <v>146</v>
      </c>
      <c r="B18" s="3" t="n">
        <v>45420</v>
      </c>
      <c r="C18" s="3" t="n">
        <v>45427</v>
      </c>
      <c r="D18" s="2" t="s">
        <v>41</v>
      </c>
      <c r="E18" s="2" t="s">
        <v>41</v>
      </c>
      <c r="F18" s="2" t="s">
        <v>147</v>
      </c>
      <c r="G18" s="2" t="s">
        <v>148</v>
      </c>
      <c r="H18" s="2" t="s">
        <v>44</v>
      </c>
      <c r="I18" s="2" t="s">
        <v>74</v>
      </c>
      <c r="J18" s="2" t="s">
        <v>41</v>
      </c>
      <c r="K18" s="2" t="s">
        <v>75</v>
      </c>
      <c r="L18" s="2" t="s">
        <v>76</v>
      </c>
      <c r="M18" s="2" t="s">
        <v>48</v>
      </c>
      <c r="N18" s="2" t="s">
        <v>68</v>
      </c>
      <c r="O18" s="2" t="s">
        <v>149</v>
      </c>
      <c r="P18" s="2" t="s">
        <v>70</v>
      </c>
      <c r="Q18" s="2" t="s">
        <v>41</v>
      </c>
      <c r="R18" s="2" t="n">
        <v>4</v>
      </c>
      <c r="S18" s="2" t="n">
        <v>3323.51</v>
      </c>
      <c r="T18" s="2" t="n">
        <v>0.25</v>
      </c>
      <c r="U18" s="2" t="str">
        <f aca="false">IF(ISBLANK(T18),"Yes","No")</f>
        <v>No</v>
      </c>
      <c r="V18" s="2" t="n">
        <f aca="false">IF(ISBLANK(T18),0,IF(ISNUMBER(T18),T18,VALUE(LEFT(T18,LEN(T18)-1))/100))</f>
        <v>0.25</v>
      </c>
      <c r="W18" s="2" t="str">
        <f aca="false">IF(AND(V18&gt;=0,V18&lt;=0.25),"Valid","Invalid")</f>
        <v>Valid</v>
      </c>
      <c r="X18" s="2" t="n">
        <v>9970.53</v>
      </c>
      <c r="Y18" s="2" t="n">
        <f aca="false">R18*S18*(1-V18)</f>
        <v>9970.53</v>
      </c>
      <c r="Z18" s="2" t="str">
        <f aca="false">IF(ABS(X18-Y18)&gt;1,"Mismatch","OK")</f>
        <v>OK</v>
      </c>
      <c r="AA18" s="2" t="n">
        <v>5668.17</v>
      </c>
      <c r="AB18" s="2" t="n">
        <v>4302.36</v>
      </c>
      <c r="AC18" s="2" t="n">
        <f aca="false">Y18-AA18</f>
        <v>4302.36</v>
      </c>
      <c r="AD18" s="2" t="str">
        <f aca="false">IF(ABS(AB18-AC18)&gt;1,"Mismatch","OK")</f>
        <v>OK</v>
      </c>
      <c r="AE18" s="4" t="n">
        <f aca="false">IF(Y18=0,0,AC18/Y18)</f>
        <v>0.431507653053549</v>
      </c>
      <c r="AF18" s="2" t="s">
        <v>52</v>
      </c>
      <c r="AG18" s="2" t="s">
        <v>53</v>
      </c>
      <c r="AH18" s="2" t="str">
        <f aca="false">IF(AND(AG18="Completed",AF18&lt;&gt;"Paid"),"Inconsistent","OK")</f>
        <v>OK</v>
      </c>
      <c r="AI18" s="2" t="n">
        <f aca="false">IF(OR(ISBLANK(B18),ISBLANK(C18)),"",C18-B18)</f>
        <v>7</v>
      </c>
      <c r="AJ18" s="2" t="str">
        <f aca="false">IF(AI18="","Unknown",IF(AI18&lt;0,"Invalid","OK"))</f>
        <v>OK</v>
      </c>
      <c r="AK18" s="2" t="str">
        <f aca="false">IF(ISBLANK(B18),"",TEXT(B18,"mmm"))</f>
        <v>May</v>
      </c>
      <c r="AL18" s="2" t="n">
        <f aca="false">IF(ISBLANK(B18),"",YEAR(B18))</f>
        <v>2024</v>
      </c>
      <c r="AM18" s="2" t="s">
        <v>41</v>
      </c>
      <c r="AN18" s="2" t="str">
        <f aca="false">IF(OR(W18="Invalid",AJ18="Invalid",AH18="Inconsistent",Z18="Mismatch",AD18="Mismatch",AM18="Yes",D18="Yes",E18="Yes"),"Invalid",IF(OR(J18="Yes",Q18="Yes",U18="Yes"),"Warning","Clean"))</f>
        <v>Clean</v>
      </c>
    </row>
    <row r="19" customFormat="false" ht="15" hidden="false" customHeight="false" outlineLevel="0" collapsed="false">
      <c r="A19" s="2" t="s">
        <v>150</v>
      </c>
      <c r="B19" s="3" t="n">
        <v>45298</v>
      </c>
      <c r="C19" s="3" t="n">
        <v>45299</v>
      </c>
      <c r="D19" s="2" t="s">
        <v>41</v>
      </c>
      <c r="E19" s="2" t="s">
        <v>41</v>
      </c>
      <c r="F19" s="2" t="s">
        <v>151</v>
      </c>
      <c r="G19" s="2" t="s">
        <v>152</v>
      </c>
      <c r="H19" s="2" t="s">
        <v>57</v>
      </c>
      <c r="I19" s="2" t="s">
        <v>45</v>
      </c>
      <c r="J19" s="2" t="s">
        <v>41</v>
      </c>
      <c r="K19" s="2" t="s">
        <v>46</v>
      </c>
      <c r="L19" s="2" t="s">
        <v>47</v>
      </c>
      <c r="M19" s="2" t="s">
        <v>61</v>
      </c>
      <c r="N19" s="2" t="s">
        <v>77</v>
      </c>
      <c r="O19" s="2" t="s">
        <v>153</v>
      </c>
      <c r="P19" s="2" t="s">
        <v>64</v>
      </c>
      <c r="Q19" s="2" t="s">
        <v>41</v>
      </c>
      <c r="R19" s="2" t="n">
        <v>5</v>
      </c>
      <c r="S19" s="2" t="n">
        <v>1526.78</v>
      </c>
      <c r="T19" s="2" t="n">
        <v>0</v>
      </c>
      <c r="U19" s="2" t="str">
        <f aca="false">IF(ISBLANK(T19),"Yes","No")</f>
        <v>No</v>
      </c>
      <c r="V19" s="2" t="n">
        <f aca="false">IF(ISBLANK(T19),0,IF(ISNUMBER(T19),T19,VALUE(LEFT(T19,LEN(T19)-1))/100))</f>
        <v>0</v>
      </c>
      <c r="W19" s="2" t="str">
        <f aca="false">IF(AND(V19&gt;=0,V19&lt;=0.25),"Valid","Invalid")</f>
        <v>Valid</v>
      </c>
      <c r="X19" s="2" t="n">
        <v>7633.9</v>
      </c>
      <c r="Y19" s="2" t="n">
        <f aca="false">R19*S19*(1-V19)</f>
        <v>7633.9</v>
      </c>
      <c r="Z19" s="2" t="str">
        <f aca="false">IF(ABS(X19-Y19)&gt;1,"Mismatch","OK")</f>
        <v>OK</v>
      </c>
      <c r="AA19" s="2" t="n">
        <v>4706.91</v>
      </c>
      <c r="AB19" s="2" t="n">
        <v>2926.99</v>
      </c>
      <c r="AC19" s="2" t="n">
        <f aca="false">Y19-AA19</f>
        <v>2926.99</v>
      </c>
      <c r="AD19" s="2" t="str">
        <f aca="false">IF(ABS(AB19-AC19)&gt;1,"Mismatch","OK")</f>
        <v>OK</v>
      </c>
      <c r="AE19" s="4" t="n">
        <f aca="false">IF(Y19=0,0,AC19/Y19)</f>
        <v>0.383420008121668</v>
      </c>
      <c r="AF19" s="2" t="s">
        <v>52</v>
      </c>
      <c r="AG19" s="2" t="s">
        <v>53</v>
      </c>
      <c r="AH19" s="2" t="str">
        <f aca="false">IF(AND(AG19="Completed",AF19&lt;&gt;"Paid"),"Inconsistent","OK")</f>
        <v>OK</v>
      </c>
      <c r="AI19" s="2" t="n">
        <f aca="false">IF(OR(ISBLANK(B19),ISBLANK(C19)),"",C19-B19)</f>
        <v>1</v>
      </c>
      <c r="AJ19" s="2" t="str">
        <f aca="false">IF(AI19="","Unknown",IF(AI19&lt;0,"Invalid","OK"))</f>
        <v>OK</v>
      </c>
      <c r="AK19" s="2" t="str">
        <f aca="false">IF(ISBLANK(B19),"",TEXT(B19,"mmm"))</f>
        <v>Jan</v>
      </c>
      <c r="AL19" s="2" t="n">
        <f aca="false">IF(ISBLANK(B19),"",YEAR(B19))</f>
        <v>2024</v>
      </c>
      <c r="AM19" s="2" t="s">
        <v>41</v>
      </c>
      <c r="AN19" s="2" t="str">
        <f aca="false">IF(OR(W19="Invalid",AJ19="Invalid",AH19="Inconsistent",Z19="Mismatch",AD19="Mismatch",AM19="Yes",D19="Yes",E19="Yes"),"Invalid",IF(OR(J19="Yes",Q19="Yes",U19="Yes"),"Warning","Clean"))</f>
        <v>Clean</v>
      </c>
    </row>
    <row r="20" customFormat="false" ht="15" hidden="false" customHeight="false" outlineLevel="0" collapsed="false">
      <c r="A20" s="2" t="s">
        <v>154</v>
      </c>
      <c r="B20" s="3" t="n">
        <v>45853</v>
      </c>
      <c r="C20" s="3" t="n">
        <v>45855</v>
      </c>
      <c r="D20" s="2" t="s">
        <v>41</v>
      </c>
      <c r="E20" s="2" t="s">
        <v>41</v>
      </c>
      <c r="F20" s="2" t="s">
        <v>155</v>
      </c>
      <c r="G20" s="2" t="s">
        <v>148</v>
      </c>
      <c r="H20" s="2" t="s">
        <v>115</v>
      </c>
      <c r="I20" s="2" t="s">
        <v>45</v>
      </c>
      <c r="J20" s="2" t="s">
        <v>41</v>
      </c>
      <c r="K20" s="2" t="s">
        <v>156</v>
      </c>
      <c r="L20" s="2" t="s">
        <v>157</v>
      </c>
      <c r="M20" s="2" t="s">
        <v>94</v>
      </c>
      <c r="N20" s="2" t="s">
        <v>100</v>
      </c>
      <c r="O20" s="2" t="s">
        <v>158</v>
      </c>
      <c r="P20" s="2" t="s">
        <v>70</v>
      </c>
      <c r="Q20" s="2" t="s">
        <v>41</v>
      </c>
      <c r="R20" s="2" t="n">
        <v>2</v>
      </c>
      <c r="S20" s="2" t="n">
        <v>1997.99</v>
      </c>
      <c r="T20" s="2" t="n">
        <v>0</v>
      </c>
      <c r="U20" s="2" t="str">
        <f aca="false">IF(ISBLANK(T20),"Yes","No")</f>
        <v>No</v>
      </c>
      <c r="V20" s="2" t="n">
        <f aca="false">IF(ISBLANK(T20),0,IF(ISNUMBER(T20),T20,VALUE(LEFT(T20,LEN(T20)-1))/100))</f>
        <v>0</v>
      </c>
      <c r="W20" s="2" t="str">
        <f aca="false">IF(AND(V20&gt;=0,V20&lt;=0.25),"Valid","Invalid")</f>
        <v>Valid</v>
      </c>
      <c r="X20" s="2" t="n">
        <v>3995.98</v>
      </c>
      <c r="Y20" s="2" t="n">
        <f aca="false">R20*S20*(1-V20)</f>
        <v>3995.98</v>
      </c>
      <c r="Z20" s="2" t="str">
        <f aca="false">IF(ABS(X20-Y20)&gt;1,"Mismatch","OK")</f>
        <v>OK</v>
      </c>
      <c r="AA20" s="2" t="n">
        <v>2633.2</v>
      </c>
      <c r="AB20" s="2" t="n">
        <v>1362.78</v>
      </c>
      <c r="AC20" s="2" t="n">
        <f aca="false">Y20-AA20</f>
        <v>1362.78</v>
      </c>
      <c r="AD20" s="2" t="str">
        <f aca="false">IF(ABS(AB20-AC20)&gt;1,"Mismatch","OK")</f>
        <v>OK</v>
      </c>
      <c r="AE20" s="4" t="n">
        <f aca="false">IF(Y20=0,0,AC20/Y20)</f>
        <v>0.341037742931646</v>
      </c>
      <c r="AF20" s="2" t="s">
        <v>122</v>
      </c>
      <c r="AG20" s="2" t="s">
        <v>88</v>
      </c>
      <c r="AH20" s="2" t="str">
        <f aca="false">IF(AND(AG20="Completed",AF20&lt;&gt;"Paid"),"Inconsistent","OK")</f>
        <v>OK</v>
      </c>
      <c r="AI20" s="2" t="n">
        <f aca="false">IF(OR(ISBLANK(B20),ISBLANK(C20)),"",C20-B20)</f>
        <v>2</v>
      </c>
      <c r="AJ20" s="2" t="str">
        <f aca="false">IF(AI20="","Unknown",IF(AI20&lt;0,"Invalid","OK"))</f>
        <v>OK</v>
      </c>
      <c r="AK20" s="2" t="str">
        <f aca="false">IF(ISBLANK(B20),"",TEXT(B20,"mmm"))</f>
        <v>Jul</v>
      </c>
      <c r="AL20" s="2" t="n">
        <f aca="false">IF(ISBLANK(B20),"",YEAR(B20))</f>
        <v>2025</v>
      </c>
      <c r="AM20" s="2" t="s">
        <v>41</v>
      </c>
      <c r="AN20" s="2" t="str">
        <f aca="false">IF(OR(W20="Invalid",AJ20="Invalid",AH20="Inconsistent",Z20="Mismatch",AD20="Mismatch",AM20="Yes",D20="Yes",E20="Yes"),"Invalid",IF(OR(J20="Yes",Q20="Yes",U20="Yes"),"Warning","Clean"))</f>
        <v>Clean</v>
      </c>
    </row>
    <row r="21" customFormat="false" ht="15" hidden="false" customHeight="false" outlineLevel="0" collapsed="false">
      <c r="A21" s="2" t="s">
        <v>159</v>
      </c>
      <c r="B21" s="3" t="n">
        <v>45500</v>
      </c>
      <c r="C21" s="3" t="n">
        <v>45504</v>
      </c>
      <c r="D21" s="2" t="s">
        <v>41</v>
      </c>
      <c r="E21" s="2" t="s">
        <v>41</v>
      </c>
      <c r="F21" s="2" t="s">
        <v>160</v>
      </c>
      <c r="G21" s="2" t="s">
        <v>161</v>
      </c>
      <c r="H21" s="2" t="s">
        <v>115</v>
      </c>
      <c r="I21" s="2" t="s">
        <v>83</v>
      </c>
      <c r="J21" s="2" t="s">
        <v>41</v>
      </c>
      <c r="K21" s="2" t="s">
        <v>92</v>
      </c>
      <c r="L21" s="2" t="s">
        <v>93</v>
      </c>
      <c r="M21" s="2" t="s">
        <v>48</v>
      </c>
      <c r="N21" s="2" t="s">
        <v>144</v>
      </c>
      <c r="O21" s="2" t="s">
        <v>162</v>
      </c>
      <c r="P21" s="2" t="s">
        <v>51</v>
      </c>
      <c r="Q21" s="2" t="s">
        <v>41</v>
      </c>
      <c r="R21" s="2" t="n">
        <v>3</v>
      </c>
      <c r="S21" s="2" t="n">
        <v>3887.94</v>
      </c>
      <c r="T21" s="2" t="n">
        <v>-0.19</v>
      </c>
      <c r="U21" s="2" t="str">
        <f aca="false">IF(ISBLANK(T21),"Yes","No")</f>
        <v>No</v>
      </c>
      <c r="V21" s="2" t="n">
        <f aca="false">IF(ISBLANK(T21),0,IF(ISNUMBER(T21),T21,VALUE(LEFT(T21,LEN(T21)-1))/100))</f>
        <v>-0.19</v>
      </c>
      <c r="W21" s="2" t="str">
        <f aca="false">IF(AND(V21&gt;=0,V21&lt;=0.25),"Valid","Invalid")</f>
        <v>Invalid</v>
      </c>
      <c r="X21" s="2" t="n">
        <v>9331.06</v>
      </c>
      <c r="Y21" s="2" t="n">
        <f aca="false">R21*S21*(1-V21)</f>
        <v>13879.9458</v>
      </c>
      <c r="Z21" s="2" t="str">
        <f aca="false">IF(ABS(X21-Y21)&gt;1,"Mismatch","OK")</f>
        <v>Mismatch</v>
      </c>
      <c r="AA21" s="2" t="n">
        <v>7529.31</v>
      </c>
      <c r="AB21" s="2" t="n">
        <v>1801.75</v>
      </c>
      <c r="AC21" s="2" t="n">
        <f aca="false">Y21-AA21</f>
        <v>6350.6358</v>
      </c>
      <c r="AD21" s="2" t="str">
        <f aca="false">IF(ABS(AB21-AC21)&gt;1,"Mismatch","OK")</f>
        <v>Mismatch</v>
      </c>
      <c r="AE21" s="4" t="n">
        <f aca="false">IF(Y21=0,0,AC21/Y21)</f>
        <v>0.457540388954545</v>
      </c>
      <c r="AF21" s="2" t="s">
        <v>52</v>
      </c>
      <c r="AG21" s="2" t="s">
        <v>53</v>
      </c>
      <c r="AH21" s="2" t="str">
        <f aca="false">IF(AND(AG21="Completed",AF21&lt;&gt;"Paid"),"Inconsistent","OK")</f>
        <v>OK</v>
      </c>
      <c r="AI21" s="2" t="n">
        <f aca="false">IF(OR(ISBLANK(B21),ISBLANK(C21)),"",C21-B21)</f>
        <v>4</v>
      </c>
      <c r="AJ21" s="2" t="str">
        <f aca="false">IF(AI21="","Unknown",IF(AI21&lt;0,"Invalid","OK"))</f>
        <v>OK</v>
      </c>
      <c r="AK21" s="2" t="str">
        <f aca="false">IF(ISBLANK(B21),"",TEXT(B21,"mmm"))</f>
        <v>Jul</v>
      </c>
      <c r="AL21" s="2" t="n">
        <f aca="false">IF(ISBLANK(B21),"",YEAR(B21))</f>
        <v>2024</v>
      </c>
      <c r="AM21" s="2" t="s">
        <v>41</v>
      </c>
      <c r="AN21" s="2" t="str">
        <f aca="false">IF(OR(W21="Invalid",AJ21="Invalid",AH21="Inconsistent",Z21="Mismatch",AD21="Mismatch",AM21="Yes",D21="Yes",E21="Yes"),"Invalid",IF(OR(J21="Yes",Q21="Yes",U21="Yes"),"Warning","Clean"))</f>
        <v>Invalid</v>
      </c>
    </row>
    <row r="22" customFormat="false" ht="15" hidden="false" customHeight="false" outlineLevel="0" collapsed="false">
      <c r="A22" s="2" t="s">
        <v>163</v>
      </c>
      <c r="B22" s="3" t="n">
        <v>45678</v>
      </c>
      <c r="C22" s="3" t="n">
        <v>45680</v>
      </c>
      <c r="D22" s="2" t="s">
        <v>41</v>
      </c>
      <c r="E22" s="2" t="s">
        <v>41</v>
      </c>
      <c r="F22" s="2" t="s">
        <v>164</v>
      </c>
      <c r="G22" s="2" t="s">
        <v>109</v>
      </c>
      <c r="H22" s="2" t="s">
        <v>115</v>
      </c>
      <c r="I22" s="2" t="s">
        <v>58</v>
      </c>
      <c r="J22" s="2" t="s">
        <v>41</v>
      </c>
      <c r="K22" s="2" t="s">
        <v>165</v>
      </c>
      <c r="L22" s="2" t="s">
        <v>166</v>
      </c>
      <c r="M22" s="2" t="s">
        <v>94</v>
      </c>
      <c r="N22" s="2" t="s">
        <v>100</v>
      </c>
      <c r="O22" s="2" t="s">
        <v>167</v>
      </c>
      <c r="P22" s="2" t="s">
        <v>70</v>
      </c>
      <c r="Q22" s="2" t="s">
        <v>41</v>
      </c>
      <c r="R22" s="2" t="n">
        <v>5</v>
      </c>
      <c r="S22" s="2" t="n">
        <v>4373.06</v>
      </c>
      <c r="T22" s="2" t="n">
        <v>0.25</v>
      </c>
      <c r="U22" s="2" t="str">
        <f aca="false">IF(ISBLANK(T22),"Yes","No")</f>
        <v>No</v>
      </c>
      <c r="V22" s="2" t="n">
        <f aca="false">IF(ISBLANK(T22),0,IF(ISNUMBER(T22),T22,VALUE(LEFT(T22,LEN(T22)-1))/100))</f>
        <v>0.25</v>
      </c>
      <c r="W22" s="2" t="str">
        <f aca="false">IF(AND(V22&gt;=0,V22&lt;=0.25),"Valid","Invalid")</f>
        <v>Valid</v>
      </c>
      <c r="X22" s="2" t="n">
        <v>16398.98</v>
      </c>
      <c r="Y22" s="2" t="n">
        <f aca="false">R22*S22*(1-V22)</f>
        <v>16398.975</v>
      </c>
      <c r="Z22" s="2" t="str">
        <f aca="false">IF(ABS(X22-Y22)&gt;1,"Mismatch","OK")</f>
        <v>OK</v>
      </c>
      <c r="AA22" s="2" t="n">
        <v>9556.52</v>
      </c>
      <c r="AB22" s="2" t="n">
        <v>6842.46</v>
      </c>
      <c r="AC22" s="2" t="n">
        <f aca="false">Y22-AA22</f>
        <v>6842.455</v>
      </c>
      <c r="AD22" s="2" t="str">
        <f aca="false">IF(ABS(AB22-AC22)&gt;1,"Mismatch","OK")</f>
        <v>OK</v>
      </c>
      <c r="AE22" s="4" t="n">
        <f aca="false">IF(Y22=0,0,AC22/Y22)</f>
        <v>0.417248943912653</v>
      </c>
      <c r="AF22" s="2" t="s">
        <v>52</v>
      </c>
      <c r="AG22" s="2" t="s">
        <v>53</v>
      </c>
      <c r="AH22" s="2" t="str">
        <f aca="false">IF(AND(AG22="Completed",AF22&lt;&gt;"Paid"),"Inconsistent","OK")</f>
        <v>OK</v>
      </c>
      <c r="AI22" s="2" t="n">
        <f aca="false">IF(OR(ISBLANK(B22),ISBLANK(C22)),"",C22-B22)</f>
        <v>2</v>
      </c>
      <c r="AJ22" s="2" t="str">
        <f aca="false">IF(AI22="","Unknown",IF(AI22&lt;0,"Invalid","OK"))</f>
        <v>OK</v>
      </c>
      <c r="AK22" s="2" t="str">
        <f aca="false">IF(ISBLANK(B22),"",TEXT(B22,"mmm"))</f>
        <v>Jan</v>
      </c>
      <c r="AL22" s="2" t="n">
        <f aca="false">IF(ISBLANK(B22),"",YEAR(B22))</f>
        <v>2025</v>
      </c>
      <c r="AM22" s="2" t="s">
        <v>41</v>
      </c>
      <c r="AN22" s="2" t="str">
        <f aca="false">IF(OR(W22="Invalid",AJ22="Invalid",AH22="Inconsistent",Z22="Mismatch",AD22="Mismatch",AM22="Yes",D22="Yes",E22="Yes"),"Invalid",IF(OR(J22="Yes",Q22="Yes",U22="Yes"),"Warning","Clean"))</f>
        <v>Clean</v>
      </c>
    </row>
    <row r="23" customFormat="false" ht="15" hidden="false" customHeight="false" outlineLevel="0" collapsed="false">
      <c r="A23" s="2" t="s">
        <v>168</v>
      </c>
      <c r="B23" s="3" t="n">
        <v>45681</v>
      </c>
      <c r="C23" s="3" t="n">
        <v>45687</v>
      </c>
      <c r="D23" s="2" t="s">
        <v>41</v>
      </c>
      <c r="E23" s="2" t="s">
        <v>41</v>
      </c>
      <c r="F23" s="2" t="s">
        <v>169</v>
      </c>
      <c r="G23" s="2" t="s">
        <v>152</v>
      </c>
      <c r="H23" s="2" t="s">
        <v>44</v>
      </c>
      <c r="I23" s="2" t="s">
        <v>83</v>
      </c>
      <c r="J23" s="2" t="s">
        <v>41</v>
      </c>
      <c r="K23" s="2" t="s">
        <v>92</v>
      </c>
      <c r="L23" s="2" t="s">
        <v>93</v>
      </c>
      <c r="M23" s="2" t="s">
        <v>61</v>
      </c>
      <c r="N23" s="2" t="s">
        <v>77</v>
      </c>
      <c r="O23" s="2" t="s">
        <v>170</v>
      </c>
      <c r="P23" s="2" t="s">
        <v>51</v>
      </c>
      <c r="Q23" s="2" t="s">
        <v>41</v>
      </c>
      <c r="R23" s="2" t="n">
        <v>4</v>
      </c>
      <c r="S23" s="2" t="n">
        <v>697.69</v>
      </c>
      <c r="T23" s="2" t="n">
        <v>-0.23</v>
      </c>
      <c r="U23" s="2" t="str">
        <f aca="false">IF(ISBLANK(T23),"Yes","No")</f>
        <v>No</v>
      </c>
      <c r="V23" s="2" t="n">
        <f aca="false">IF(ISBLANK(T23),0,IF(ISNUMBER(T23),T23,VALUE(LEFT(T23,LEN(T23)-1))/100))</f>
        <v>-0.23</v>
      </c>
      <c r="W23" s="2" t="str">
        <f aca="false">IF(AND(V23&gt;=0,V23&lt;=0.25),"Valid","Invalid")</f>
        <v>Invalid</v>
      </c>
      <c r="X23" s="2" t="n">
        <v>2790.76</v>
      </c>
      <c r="Y23" s="2" t="n">
        <f aca="false">R23*S23*(1-V23)</f>
        <v>3432.6348</v>
      </c>
      <c r="Z23" s="2" t="str">
        <f aca="false">IF(ABS(X23-Y23)&gt;1,"Mismatch","OK")</f>
        <v>Mismatch</v>
      </c>
      <c r="AA23" s="2" t="n">
        <v>2037.71</v>
      </c>
      <c r="AB23" s="2" t="n">
        <v>753.05</v>
      </c>
      <c r="AC23" s="2" t="n">
        <f aca="false">Y23-AA23</f>
        <v>1394.9248</v>
      </c>
      <c r="AD23" s="2" t="str">
        <f aca="false">IF(ABS(AB23-AC23)&gt;1,"Mismatch","OK")</f>
        <v>Mismatch</v>
      </c>
      <c r="AE23" s="4" t="n">
        <f aca="false">IF(Y23=0,0,AC23/Y23)</f>
        <v>0.406371455536138</v>
      </c>
      <c r="AF23" s="2" t="s">
        <v>52</v>
      </c>
      <c r="AG23" s="2" t="s">
        <v>53</v>
      </c>
      <c r="AH23" s="2" t="str">
        <f aca="false">IF(AND(AG23="Completed",AF23&lt;&gt;"Paid"),"Inconsistent","OK")</f>
        <v>OK</v>
      </c>
      <c r="AI23" s="2" t="n">
        <f aca="false">IF(OR(ISBLANK(B23),ISBLANK(C23)),"",C23-B23)</f>
        <v>6</v>
      </c>
      <c r="AJ23" s="2" t="str">
        <f aca="false">IF(AI23="","Unknown",IF(AI23&lt;0,"Invalid","OK"))</f>
        <v>OK</v>
      </c>
      <c r="AK23" s="2" t="str">
        <f aca="false">IF(ISBLANK(B23),"",TEXT(B23,"mmm"))</f>
        <v>Jan</v>
      </c>
      <c r="AL23" s="2" t="n">
        <f aca="false">IF(ISBLANK(B23),"",YEAR(B23))</f>
        <v>2025</v>
      </c>
      <c r="AM23" s="2" t="s">
        <v>41</v>
      </c>
      <c r="AN23" s="2" t="str">
        <f aca="false">IF(OR(W23="Invalid",AJ23="Invalid",AH23="Inconsistent",Z23="Mismatch",AD23="Mismatch",AM23="Yes",D23="Yes",E23="Yes"),"Invalid",IF(OR(J23="Yes",Q23="Yes",U23="Yes"),"Warning","Clean"))</f>
        <v>Invalid</v>
      </c>
    </row>
    <row r="24" customFormat="false" ht="15" hidden="false" customHeight="false" outlineLevel="0" collapsed="false">
      <c r="A24" s="2" t="s">
        <v>171</v>
      </c>
      <c r="B24" s="3" t="n">
        <v>45676</v>
      </c>
      <c r="C24" s="3" t="n">
        <v>45678</v>
      </c>
      <c r="D24" s="2" t="s">
        <v>41</v>
      </c>
      <c r="E24" s="2" t="s">
        <v>41</v>
      </c>
      <c r="F24" s="2" t="s">
        <v>172</v>
      </c>
      <c r="G24" s="2" t="s">
        <v>56</v>
      </c>
      <c r="H24" s="2" t="s">
        <v>44</v>
      </c>
      <c r="I24" s="2" t="s">
        <v>74</v>
      </c>
      <c r="J24" s="2" t="s">
        <v>41</v>
      </c>
      <c r="K24" s="2" t="s">
        <v>75</v>
      </c>
      <c r="L24" s="2" t="s">
        <v>76</v>
      </c>
      <c r="M24" s="2" t="s">
        <v>48</v>
      </c>
      <c r="N24" s="2" t="s">
        <v>173</v>
      </c>
      <c r="O24" s="2" t="s">
        <v>174</v>
      </c>
      <c r="P24" s="2" t="s">
        <v>79</v>
      </c>
      <c r="Q24" s="2" t="s">
        <v>41</v>
      </c>
      <c r="R24" s="2" t="n">
        <v>8</v>
      </c>
      <c r="S24" s="2" t="n">
        <v>1219.34</v>
      </c>
      <c r="T24" s="2" t="n">
        <v>0.15</v>
      </c>
      <c r="U24" s="2" t="str">
        <f aca="false">IF(ISBLANK(T24),"Yes","No")</f>
        <v>No</v>
      </c>
      <c r="V24" s="2" t="n">
        <f aca="false">IF(ISBLANK(T24),0,IF(ISNUMBER(T24),T24,VALUE(LEFT(T24,LEN(T24)-1))/100))</f>
        <v>0.15</v>
      </c>
      <c r="W24" s="2" t="str">
        <f aca="false">IF(AND(V24&gt;=0,V24&lt;=0.25),"Valid","Invalid")</f>
        <v>Valid</v>
      </c>
      <c r="X24" s="2" t="n">
        <v>8291.51</v>
      </c>
      <c r="Y24" s="2" t="n">
        <f aca="false">R24*S24*(1-V24)</f>
        <v>8291.512</v>
      </c>
      <c r="Z24" s="2" t="str">
        <f aca="false">IF(ABS(X24-Y24)&gt;1,"Mismatch","OK")</f>
        <v>OK</v>
      </c>
      <c r="AA24" s="2" t="n">
        <v>6685.03</v>
      </c>
      <c r="AB24" s="2" t="n">
        <v>1606.48</v>
      </c>
      <c r="AC24" s="2" t="n">
        <f aca="false">Y24-AA24</f>
        <v>1606.482</v>
      </c>
      <c r="AD24" s="2" t="str">
        <f aca="false">IF(ABS(AB24-AC24)&gt;1,"Mismatch","OK")</f>
        <v>OK</v>
      </c>
      <c r="AE24" s="4" t="n">
        <f aca="false">IF(Y24=0,0,AC24/Y24)</f>
        <v>0.19375018693816</v>
      </c>
      <c r="AF24" s="2" t="s">
        <v>175</v>
      </c>
      <c r="AG24" s="2" t="s">
        <v>123</v>
      </c>
      <c r="AH24" s="2" t="str">
        <f aca="false">IF(AND(AG24="Completed",AF24&lt;&gt;"Paid"),"Inconsistent","OK")</f>
        <v>OK</v>
      </c>
      <c r="AI24" s="2" t="n">
        <f aca="false">IF(OR(ISBLANK(B24),ISBLANK(C24)),"",C24-B24)</f>
        <v>2</v>
      </c>
      <c r="AJ24" s="2" t="str">
        <f aca="false">IF(AI24="","Unknown",IF(AI24&lt;0,"Invalid","OK"))</f>
        <v>OK</v>
      </c>
      <c r="AK24" s="2" t="str">
        <f aca="false">IF(ISBLANK(B24),"",TEXT(B24,"mmm"))</f>
        <v>Jan</v>
      </c>
      <c r="AL24" s="2" t="n">
        <f aca="false">IF(ISBLANK(B24),"",YEAR(B24))</f>
        <v>2025</v>
      </c>
      <c r="AM24" s="2" t="s">
        <v>41</v>
      </c>
      <c r="AN24" s="2" t="str">
        <f aca="false">IF(OR(W24="Invalid",AJ24="Invalid",AH24="Inconsistent",Z24="Mismatch",AD24="Mismatch",AM24="Yes",D24="Yes",E24="Yes"),"Invalid",IF(OR(J24="Yes",Q24="Yes",U24="Yes"),"Warning","Clean"))</f>
        <v>Clean</v>
      </c>
    </row>
    <row r="25" customFormat="false" ht="15" hidden="false" customHeight="false" outlineLevel="0" collapsed="false">
      <c r="A25" s="2" t="s">
        <v>176</v>
      </c>
      <c r="B25" s="3" t="n">
        <v>45898</v>
      </c>
      <c r="C25" s="3" t="n">
        <v>45900</v>
      </c>
      <c r="D25" s="2" t="s">
        <v>41</v>
      </c>
      <c r="E25" s="2" t="s">
        <v>41</v>
      </c>
      <c r="F25" s="2" t="s">
        <v>177</v>
      </c>
      <c r="G25" s="2" t="s">
        <v>138</v>
      </c>
      <c r="H25" s="2" t="s">
        <v>115</v>
      </c>
      <c r="I25" s="2" t="s">
        <v>58</v>
      </c>
      <c r="J25" s="2" t="s">
        <v>41</v>
      </c>
      <c r="K25" s="2" t="s">
        <v>165</v>
      </c>
      <c r="L25" s="2" t="s">
        <v>166</v>
      </c>
      <c r="M25" s="2" t="s">
        <v>61</v>
      </c>
      <c r="N25" s="2" t="s">
        <v>178</v>
      </c>
      <c r="O25" s="2" t="s">
        <v>179</v>
      </c>
      <c r="P25" s="2" t="s">
        <v>70</v>
      </c>
      <c r="Q25" s="2" t="s">
        <v>41</v>
      </c>
      <c r="R25" s="2" t="n">
        <v>4</v>
      </c>
      <c r="S25" s="2" t="n">
        <v>1958.01</v>
      </c>
      <c r="T25" s="2" t="n">
        <v>0.2</v>
      </c>
      <c r="U25" s="2" t="str">
        <f aca="false">IF(ISBLANK(T25),"Yes","No")</f>
        <v>No</v>
      </c>
      <c r="V25" s="2" t="n">
        <f aca="false">IF(ISBLANK(T25),0,IF(ISNUMBER(T25),T25,VALUE(LEFT(T25,LEN(T25)-1))/100))</f>
        <v>0.2</v>
      </c>
      <c r="W25" s="2" t="str">
        <f aca="false">IF(AND(V25&gt;=0,V25&lt;=0.25),"Valid","Invalid")</f>
        <v>Valid</v>
      </c>
      <c r="X25" s="2" t="n">
        <v>6265.63</v>
      </c>
      <c r="Y25" s="2" t="n">
        <f aca="false">R25*S25*(1-V25)</f>
        <v>6265.632</v>
      </c>
      <c r="Z25" s="2" t="str">
        <f aca="false">IF(ABS(X25-Y25)&gt;1,"Mismatch","OK")</f>
        <v>OK</v>
      </c>
      <c r="AA25" s="2" t="n">
        <v>4321.86</v>
      </c>
      <c r="AB25" s="2" t="n">
        <v>1943.77</v>
      </c>
      <c r="AC25" s="2" t="n">
        <f aca="false">Y25-AA25</f>
        <v>1943.772</v>
      </c>
      <c r="AD25" s="2" t="str">
        <f aca="false">IF(ABS(AB25-AC25)&gt;1,"Mismatch","OK")</f>
        <v>OK</v>
      </c>
      <c r="AE25" s="4" t="n">
        <f aca="false">IF(Y25=0,0,AC25/Y25)</f>
        <v>0.310227603536244</v>
      </c>
      <c r="AF25" s="2" t="s">
        <v>52</v>
      </c>
      <c r="AG25" s="2" t="s">
        <v>53</v>
      </c>
      <c r="AH25" s="2" t="str">
        <f aca="false">IF(AND(AG25="Completed",AF25&lt;&gt;"Paid"),"Inconsistent","OK")</f>
        <v>OK</v>
      </c>
      <c r="AI25" s="2" t="n">
        <f aca="false">IF(OR(ISBLANK(B25),ISBLANK(C25)),"",C25-B25)</f>
        <v>2</v>
      </c>
      <c r="AJ25" s="2" t="str">
        <f aca="false">IF(AI25="","Unknown",IF(AI25&lt;0,"Invalid","OK"))</f>
        <v>OK</v>
      </c>
      <c r="AK25" s="2" t="str">
        <f aca="false">IF(ISBLANK(B25),"",TEXT(B25,"mmm"))</f>
        <v>Aug</v>
      </c>
      <c r="AL25" s="2" t="n">
        <f aca="false">IF(ISBLANK(B25),"",YEAR(B25))</f>
        <v>2025</v>
      </c>
      <c r="AM25" s="2" t="s">
        <v>41</v>
      </c>
      <c r="AN25" s="2" t="str">
        <f aca="false">IF(OR(W25="Invalid",AJ25="Invalid",AH25="Inconsistent",Z25="Mismatch",AD25="Mismatch",AM25="Yes",D25="Yes",E25="Yes"),"Invalid",IF(OR(J25="Yes",Q25="Yes",U25="Yes"),"Warning","Clean"))</f>
        <v>Clean</v>
      </c>
    </row>
    <row r="26" customFormat="false" ht="15" hidden="false" customHeight="false" outlineLevel="0" collapsed="false">
      <c r="A26" s="2" t="s">
        <v>180</v>
      </c>
      <c r="B26" s="3" t="n">
        <v>45355</v>
      </c>
      <c r="C26" s="3" t="n">
        <v>45352</v>
      </c>
      <c r="D26" s="2" t="s">
        <v>41</v>
      </c>
      <c r="E26" s="2" t="s">
        <v>41</v>
      </c>
      <c r="F26" s="2" t="s">
        <v>181</v>
      </c>
      <c r="G26" s="2" t="s">
        <v>182</v>
      </c>
      <c r="H26" s="2" t="s">
        <v>44</v>
      </c>
      <c r="I26" s="2" t="s">
        <v>45</v>
      </c>
      <c r="J26" s="2" t="s">
        <v>41</v>
      </c>
      <c r="K26" s="2" t="s">
        <v>142</v>
      </c>
      <c r="L26" s="2" t="s">
        <v>143</v>
      </c>
      <c r="M26" s="2" t="s">
        <v>48</v>
      </c>
      <c r="N26" s="2" t="s">
        <v>68</v>
      </c>
      <c r="O26" s="2" t="s">
        <v>183</v>
      </c>
      <c r="P26" s="2" t="s">
        <v>79</v>
      </c>
      <c r="Q26" s="2" t="s">
        <v>41</v>
      </c>
      <c r="R26" s="2" t="n">
        <v>4</v>
      </c>
      <c r="S26" s="2" t="n">
        <v>4492.94</v>
      </c>
      <c r="T26" s="2" t="n">
        <v>0.25</v>
      </c>
      <c r="U26" s="2" t="str">
        <f aca="false">IF(ISBLANK(T26),"Yes","No")</f>
        <v>No</v>
      </c>
      <c r="V26" s="2" t="n">
        <f aca="false">IF(ISBLANK(T26),0,IF(ISNUMBER(T26),T26,VALUE(LEFT(T26,LEN(T26)-1))/100))</f>
        <v>0.25</v>
      </c>
      <c r="W26" s="2" t="str">
        <f aca="false">IF(AND(V26&gt;=0,V26&lt;=0.25),"Valid","Invalid")</f>
        <v>Valid</v>
      </c>
      <c r="X26" s="2" t="n">
        <v>13478.82</v>
      </c>
      <c r="Y26" s="2" t="n">
        <f aca="false">R26*S26*(1-V26)</f>
        <v>13478.82</v>
      </c>
      <c r="Z26" s="2" t="str">
        <f aca="false">IF(ABS(X26-Y26)&gt;1,"Mismatch","OK")</f>
        <v>OK</v>
      </c>
      <c r="AA26" s="2" t="n">
        <v>10937.35</v>
      </c>
      <c r="AB26" s="2" t="n">
        <v>2541.47</v>
      </c>
      <c r="AC26" s="2" t="n">
        <f aca="false">Y26-AA26</f>
        <v>2541.47</v>
      </c>
      <c r="AD26" s="2" t="str">
        <f aca="false">IF(ABS(AB26-AC26)&gt;1,"Mismatch","OK")</f>
        <v>OK</v>
      </c>
      <c r="AE26" s="4" t="n">
        <f aca="false">IF(Y26=0,0,AC26/Y26)</f>
        <v>0.188552855517026</v>
      </c>
      <c r="AF26" s="2" t="s">
        <v>131</v>
      </c>
      <c r="AG26" s="2" t="s">
        <v>88</v>
      </c>
      <c r="AH26" s="2" t="str">
        <f aca="false">IF(AND(AG26="Completed",AF26&lt;&gt;"Paid"),"Inconsistent","OK")</f>
        <v>OK</v>
      </c>
      <c r="AI26" s="2" t="n">
        <f aca="false">IF(OR(ISBLANK(B26),ISBLANK(C26)),"",C26-B26)</f>
        <v>-3</v>
      </c>
      <c r="AJ26" s="2" t="str">
        <f aca="false">IF(AI26="","Unknown",IF(AI26&lt;0,"Invalid","OK"))</f>
        <v>Invalid</v>
      </c>
      <c r="AK26" s="2" t="str">
        <f aca="false">IF(ISBLANK(B26),"",TEXT(B26,"mmm"))</f>
        <v>Mar</v>
      </c>
      <c r="AL26" s="2" t="n">
        <f aca="false">IF(ISBLANK(B26),"",YEAR(B26))</f>
        <v>2024</v>
      </c>
      <c r="AM26" s="2" t="s">
        <v>41</v>
      </c>
      <c r="AN26" s="2" t="str">
        <f aca="false">IF(OR(W26="Invalid",AJ26="Invalid",AH26="Inconsistent",Z26="Mismatch",AD26="Mismatch",AM26="Yes",D26="Yes",E26="Yes"),"Invalid",IF(OR(J26="Yes",Q26="Yes",U26="Yes"),"Warning","Clean"))</f>
        <v>Invalid</v>
      </c>
    </row>
    <row r="27" customFormat="false" ht="15" hidden="false" customHeight="false" outlineLevel="0" collapsed="false">
      <c r="A27" s="2" t="s">
        <v>184</v>
      </c>
      <c r="B27" s="3" t="n">
        <v>45576</v>
      </c>
      <c r="C27" s="3" t="n">
        <v>45584</v>
      </c>
      <c r="D27" s="2" t="s">
        <v>41</v>
      </c>
      <c r="E27" s="2" t="s">
        <v>41</v>
      </c>
      <c r="F27" s="2" t="s">
        <v>185</v>
      </c>
      <c r="G27" s="2" t="s">
        <v>73</v>
      </c>
      <c r="H27" s="2" t="s">
        <v>110</v>
      </c>
      <c r="I27" s="2" t="s">
        <v>58</v>
      </c>
      <c r="J27" s="2" t="s">
        <v>41</v>
      </c>
      <c r="K27" s="2" t="s">
        <v>186</v>
      </c>
      <c r="L27" s="2" t="s">
        <v>187</v>
      </c>
      <c r="M27" s="2" t="s">
        <v>94</v>
      </c>
      <c r="N27" s="2" t="s">
        <v>95</v>
      </c>
      <c r="O27" s="2" t="s">
        <v>188</v>
      </c>
      <c r="P27" s="2" t="s">
        <v>70</v>
      </c>
      <c r="Q27" s="2" t="s">
        <v>41</v>
      </c>
      <c r="R27" s="2" t="n">
        <v>2</v>
      </c>
      <c r="S27" s="2" t="n">
        <v>4315.2</v>
      </c>
      <c r="T27" s="2" t="n">
        <v>0.15</v>
      </c>
      <c r="U27" s="2" t="str">
        <f aca="false">IF(ISBLANK(T27),"Yes","No")</f>
        <v>No</v>
      </c>
      <c r="V27" s="2" t="n">
        <f aca="false">IF(ISBLANK(T27),0,IF(ISNUMBER(T27),T27,VALUE(LEFT(T27,LEN(T27)-1))/100))</f>
        <v>0.15</v>
      </c>
      <c r="W27" s="2" t="str">
        <f aca="false">IF(AND(V27&gt;=0,V27&lt;=0.25),"Valid","Invalid")</f>
        <v>Valid</v>
      </c>
      <c r="X27" s="2" t="n">
        <v>7335.84</v>
      </c>
      <c r="Y27" s="2" t="n">
        <f aca="false">R27*S27*(1-V27)</f>
        <v>7335.84</v>
      </c>
      <c r="Z27" s="2" t="str">
        <f aca="false">IF(ABS(X27-Y27)&gt;1,"Mismatch","OK")</f>
        <v>OK</v>
      </c>
      <c r="AA27" s="2" t="n">
        <v>4968.41</v>
      </c>
      <c r="AB27" s="2" t="n">
        <v>2367.43</v>
      </c>
      <c r="AC27" s="2" t="n">
        <f aca="false">Y27-AA27</f>
        <v>2367.43</v>
      </c>
      <c r="AD27" s="2" t="str">
        <f aca="false">IF(ABS(AB27-AC27)&gt;1,"Mismatch","OK")</f>
        <v>OK</v>
      </c>
      <c r="AE27" s="4" t="n">
        <f aca="false">IF(Y27=0,0,AC27/Y27)</f>
        <v>0.322721051713233</v>
      </c>
      <c r="AF27" s="2" t="s">
        <v>52</v>
      </c>
      <c r="AG27" s="2" t="s">
        <v>53</v>
      </c>
      <c r="AH27" s="2" t="str">
        <f aca="false">IF(AND(AG27="Completed",AF27&lt;&gt;"Paid"),"Inconsistent","OK")</f>
        <v>OK</v>
      </c>
      <c r="AI27" s="2" t="n">
        <f aca="false">IF(OR(ISBLANK(B27),ISBLANK(C27)),"",C27-B27)</f>
        <v>8</v>
      </c>
      <c r="AJ27" s="2" t="str">
        <f aca="false">IF(AI27="","Unknown",IF(AI27&lt;0,"Invalid","OK"))</f>
        <v>OK</v>
      </c>
      <c r="AK27" s="2" t="str">
        <f aca="false">IF(ISBLANK(B27),"",TEXT(B27,"mmm"))</f>
        <v>Oct</v>
      </c>
      <c r="AL27" s="2" t="n">
        <f aca="false">IF(ISBLANK(B27),"",YEAR(B27))</f>
        <v>2024</v>
      </c>
      <c r="AM27" s="2" t="s">
        <v>41</v>
      </c>
      <c r="AN27" s="2" t="str">
        <f aca="false">IF(OR(W27="Invalid",AJ27="Invalid",AH27="Inconsistent",Z27="Mismatch",AD27="Mismatch",AM27="Yes",D27="Yes",E27="Yes"),"Invalid",IF(OR(J27="Yes",Q27="Yes",U27="Yes"),"Warning","Clean"))</f>
        <v>Clean</v>
      </c>
    </row>
    <row r="28" customFormat="false" ht="15" hidden="false" customHeight="false" outlineLevel="0" collapsed="false">
      <c r="A28" s="2" t="s">
        <v>189</v>
      </c>
      <c r="B28" s="3" t="n">
        <v>45619</v>
      </c>
      <c r="C28" s="3" t="n">
        <v>45619</v>
      </c>
      <c r="D28" s="2" t="s">
        <v>41</v>
      </c>
      <c r="E28" s="2" t="s">
        <v>41</v>
      </c>
      <c r="F28" s="2" t="s">
        <v>190</v>
      </c>
      <c r="G28" s="2" t="s">
        <v>182</v>
      </c>
      <c r="H28" s="2" t="s">
        <v>110</v>
      </c>
      <c r="I28" s="2" t="s">
        <v>45</v>
      </c>
      <c r="J28" s="2" t="s">
        <v>41</v>
      </c>
      <c r="K28" s="2" t="s">
        <v>156</v>
      </c>
      <c r="L28" s="2" t="s">
        <v>157</v>
      </c>
      <c r="M28" s="2" t="s">
        <v>94</v>
      </c>
      <c r="N28" s="2" t="s">
        <v>191</v>
      </c>
      <c r="O28" s="2" t="s">
        <v>192</v>
      </c>
      <c r="P28" s="2" t="s">
        <v>79</v>
      </c>
      <c r="Q28" s="2" t="s">
        <v>41</v>
      </c>
      <c r="R28" s="2" t="n">
        <v>4</v>
      </c>
      <c r="S28" s="2" t="n">
        <v>716.13</v>
      </c>
      <c r="T28" s="2" t="n">
        <v>0.1</v>
      </c>
      <c r="U28" s="2" t="str">
        <f aca="false">IF(ISBLANK(T28),"Yes","No")</f>
        <v>No</v>
      </c>
      <c r="V28" s="2" t="n">
        <f aca="false">IF(ISBLANK(T28),0,IF(ISNUMBER(T28),T28,VALUE(LEFT(T28,LEN(T28)-1))/100))</f>
        <v>0.1</v>
      </c>
      <c r="W28" s="2" t="str">
        <f aca="false">IF(AND(V28&gt;=0,V28&lt;=0.25),"Valid","Invalid")</f>
        <v>Valid</v>
      </c>
      <c r="X28" s="2" t="n">
        <v>2578.07</v>
      </c>
      <c r="Y28" s="2" t="n">
        <f aca="false">R28*S28*(1-V28)</f>
        <v>2578.068</v>
      </c>
      <c r="Z28" s="2" t="str">
        <f aca="false">IF(ABS(X28-Y28)&gt;1,"Mismatch","OK")</f>
        <v>OK</v>
      </c>
      <c r="AA28" s="2" t="n">
        <v>1527.55</v>
      </c>
      <c r="AB28" s="2" t="n">
        <v>1050.52</v>
      </c>
      <c r="AC28" s="2" t="n">
        <f aca="false">Y28-AA28</f>
        <v>1050.518</v>
      </c>
      <c r="AD28" s="2" t="str">
        <f aca="false">IF(ABS(AB28-AC28)&gt;1,"Mismatch","OK")</f>
        <v>OK</v>
      </c>
      <c r="AE28" s="4" t="n">
        <f aca="false">IF(Y28=0,0,AC28/Y28)</f>
        <v>0.407482657555968</v>
      </c>
      <c r="AF28" s="2" t="s">
        <v>52</v>
      </c>
      <c r="AG28" s="2" t="s">
        <v>123</v>
      </c>
      <c r="AH28" s="2" t="str">
        <f aca="false">IF(AND(AG28="Completed",AF28&lt;&gt;"Paid"),"Inconsistent","OK")</f>
        <v>OK</v>
      </c>
      <c r="AI28" s="2" t="n">
        <f aca="false">IF(OR(ISBLANK(B28),ISBLANK(C28)),"",C28-B28)</f>
        <v>0</v>
      </c>
      <c r="AJ28" s="2" t="str">
        <f aca="false">IF(AI28="","Unknown",IF(AI28&lt;0,"Invalid","OK"))</f>
        <v>OK</v>
      </c>
      <c r="AK28" s="2" t="str">
        <f aca="false">IF(ISBLANK(B28),"",TEXT(B28,"mmm"))</f>
        <v>Nov</v>
      </c>
      <c r="AL28" s="2" t="n">
        <f aca="false">IF(ISBLANK(B28),"",YEAR(B28))</f>
        <v>2024</v>
      </c>
      <c r="AM28" s="2" t="s">
        <v>41</v>
      </c>
      <c r="AN28" s="2" t="str">
        <f aca="false">IF(OR(W28="Invalid",AJ28="Invalid",AH28="Inconsistent",Z28="Mismatch",AD28="Mismatch",AM28="Yes",D28="Yes",E28="Yes"),"Invalid",IF(OR(J28="Yes",Q28="Yes",U28="Yes"),"Warning","Clean"))</f>
        <v>Clean</v>
      </c>
    </row>
    <row r="29" customFormat="false" ht="15" hidden="false" customHeight="false" outlineLevel="0" collapsed="false">
      <c r="A29" s="2" t="s">
        <v>193</v>
      </c>
      <c r="B29" s="3" t="n">
        <v>45929</v>
      </c>
      <c r="C29" s="3" t="n">
        <v>45935</v>
      </c>
      <c r="D29" s="2" t="s">
        <v>41</v>
      </c>
      <c r="E29" s="2" t="s">
        <v>41</v>
      </c>
      <c r="F29" s="2" t="s">
        <v>194</v>
      </c>
      <c r="G29" s="2" t="s">
        <v>73</v>
      </c>
      <c r="H29" s="2" t="s">
        <v>57</v>
      </c>
      <c r="I29" s="2" t="s">
        <v>74</v>
      </c>
      <c r="J29" s="2" t="s">
        <v>41</v>
      </c>
      <c r="K29" s="2" t="s">
        <v>195</v>
      </c>
      <c r="L29" s="2" t="s">
        <v>196</v>
      </c>
      <c r="M29" s="2" t="s">
        <v>48</v>
      </c>
      <c r="N29" s="2" t="s">
        <v>49</v>
      </c>
      <c r="O29" s="2" t="s">
        <v>197</v>
      </c>
      <c r="P29" s="2" t="s">
        <v>51</v>
      </c>
      <c r="Q29" s="2" t="s">
        <v>41</v>
      </c>
      <c r="R29" s="2" t="n">
        <v>5</v>
      </c>
      <c r="S29" s="2" t="n">
        <v>1806.51</v>
      </c>
      <c r="T29" s="2" t="n">
        <v>0.25</v>
      </c>
      <c r="U29" s="2" t="str">
        <f aca="false">IF(ISBLANK(T29),"Yes","No")</f>
        <v>No</v>
      </c>
      <c r="V29" s="2" t="n">
        <f aca="false">IF(ISBLANK(T29),0,IF(ISNUMBER(T29),T29,VALUE(LEFT(T29,LEN(T29)-1))/100))</f>
        <v>0.25</v>
      </c>
      <c r="W29" s="2" t="str">
        <f aca="false">IF(AND(V29&gt;=0,V29&lt;=0.25),"Valid","Invalid")</f>
        <v>Valid</v>
      </c>
      <c r="X29" s="2" t="n">
        <v>6774.41</v>
      </c>
      <c r="Y29" s="2" t="n">
        <f aca="false">R29*S29*(1-V29)</f>
        <v>6774.4125</v>
      </c>
      <c r="Z29" s="2" t="str">
        <f aca="false">IF(ABS(X29-Y29)&gt;1,"Mismatch","OK")</f>
        <v>OK</v>
      </c>
      <c r="AA29" s="2" t="n">
        <v>4710.36</v>
      </c>
      <c r="AB29" s="2" t="n">
        <v>2064.05</v>
      </c>
      <c r="AC29" s="2" t="n">
        <f aca="false">Y29-AA29</f>
        <v>2064.0525</v>
      </c>
      <c r="AD29" s="2" t="str">
        <f aca="false">IF(ABS(AB29-AC29)&gt;1,"Mismatch","OK")</f>
        <v>OK</v>
      </c>
      <c r="AE29" s="4" t="n">
        <f aca="false">IF(Y29=0,0,AC29/Y29)</f>
        <v>0.304683616475968</v>
      </c>
      <c r="AF29" s="2" t="s">
        <v>175</v>
      </c>
      <c r="AG29" s="2" t="s">
        <v>123</v>
      </c>
      <c r="AH29" s="2" t="str">
        <f aca="false">IF(AND(AG29="Completed",AF29&lt;&gt;"Paid"),"Inconsistent","OK")</f>
        <v>OK</v>
      </c>
      <c r="AI29" s="2" t="n">
        <f aca="false">IF(OR(ISBLANK(B29),ISBLANK(C29)),"",C29-B29)</f>
        <v>6</v>
      </c>
      <c r="AJ29" s="2" t="str">
        <f aca="false">IF(AI29="","Unknown",IF(AI29&lt;0,"Invalid","OK"))</f>
        <v>OK</v>
      </c>
      <c r="AK29" s="2" t="str">
        <f aca="false">IF(ISBLANK(B29),"",TEXT(B29,"mmm"))</f>
        <v>Sep</v>
      </c>
      <c r="AL29" s="2" t="n">
        <f aca="false">IF(ISBLANK(B29),"",YEAR(B29))</f>
        <v>2025</v>
      </c>
      <c r="AM29" s="2" t="s">
        <v>41</v>
      </c>
      <c r="AN29" s="2" t="str">
        <f aca="false">IF(OR(W29="Invalid",AJ29="Invalid",AH29="Inconsistent",Z29="Mismatch",AD29="Mismatch",AM29="Yes",D29="Yes",E29="Yes"),"Invalid",IF(OR(J29="Yes",Q29="Yes",U29="Yes"),"Warning","Clean"))</f>
        <v>Clean</v>
      </c>
    </row>
    <row r="30" customFormat="false" ht="15" hidden="false" customHeight="false" outlineLevel="0" collapsed="false">
      <c r="A30" s="2" t="s">
        <v>198</v>
      </c>
      <c r="B30" s="3" t="n">
        <v>45576</v>
      </c>
      <c r="C30" s="3" t="n">
        <v>45583</v>
      </c>
      <c r="D30" s="2" t="s">
        <v>41</v>
      </c>
      <c r="E30" s="2" t="s">
        <v>41</v>
      </c>
      <c r="F30" s="2" t="s">
        <v>199</v>
      </c>
      <c r="G30" s="2" t="s">
        <v>82</v>
      </c>
      <c r="H30" s="2" t="s">
        <v>115</v>
      </c>
      <c r="I30" s="2" t="s">
        <v>83</v>
      </c>
      <c r="J30" s="2" t="s">
        <v>41</v>
      </c>
      <c r="K30" s="2" t="s">
        <v>200</v>
      </c>
      <c r="L30" s="2" t="s">
        <v>201</v>
      </c>
      <c r="M30" s="2" t="s">
        <v>94</v>
      </c>
      <c r="N30" s="2" t="s">
        <v>191</v>
      </c>
      <c r="O30" s="2" t="s">
        <v>202</v>
      </c>
      <c r="P30" s="2" t="s">
        <v>51</v>
      </c>
      <c r="Q30" s="2" t="s">
        <v>41</v>
      </c>
      <c r="R30" s="2" t="n">
        <v>2</v>
      </c>
      <c r="S30" s="2" t="n">
        <v>1942.22</v>
      </c>
      <c r="T30" s="2" t="n">
        <v>0.25</v>
      </c>
      <c r="U30" s="2" t="str">
        <f aca="false">IF(ISBLANK(T30),"Yes","No")</f>
        <v>No</v>
      </c>
      <c r="V30" s="2" t="n">
        <f aca="false">IF(ISBLANK(T30),0,IF(ISNUMBER(T30),T30,VALUE(LEFT(T30,LEN(T30)-1))/100))</f>
        <v>0.25</v>
      </c>
      <c r="W30" s="2" t="str">
        <f aca="false">IF(AND(V30&gt;=0,V30&lt;=0.25),"Valid","Invalid")</f>
        <v>Valid</v>
      </c>
      <c r="X30" s="2" t="n">
        <v>2913.33</v>
      </c>
      <c r="Y30" s="2" t="n">
        <f aca="false">R30*S30*(1-V30)</f>
        <v>2913.33</v>
      </c>
      <c r="Z30" s="2" t="str">
        <f aca="false">IF(ABS(X30-Y30)&gt;1,"Mismatch","OK")</f>
        <v>OK</v>
      </c>
      <c r="AA30" s="2" t="n">
        <v>2122.33</v>
      </c>
      <c r="AB30" s="2" t="n">
        <v>791</v>
      </c>
      <c r="AC30" s="2" t="n">
        <f aca="false">Y30-AA30</f>
        <v>791</v>
      </c>
      <c r="AD30" s="2" t="str">
        <f aca="false">IF(ABS(AB30-AC30)&gt;1,"Mismatch","OK")</f>
        <v>OK</v>
      </c>
      <c r="AE30" s="4" t="n">
        <f aca="false">IF(Y30=0,0,AC30/Y30)</f>
        <v>0.271510608135707</v>
      </c>
      <c r="AF30" s="2" t="s">
        <v>122</v>
      </c>
      <c r="AG30" s="2" t="s">
        <v>88</v>
      </c>
      <c r="AH30" s="2" t="str">
        <f aca="false">IF(AND(AG30="Completed",AF30&lt;&gt;"Paid"),"Inconsistent","OK")</f>
        <v>OK</v>
      </c>
      <c r="AI30" s="2" t="n">
        <f aca="false">IF(OR(ISBLANK(B30),ISBLANK(C30)),"",C30-B30)</f>
        <v>7</v>
      </c>
      <c r="AJ30" s="2" t="str">
        <f aca="false">IF(AI30="","Unknown",IF(AI30&lt;0,"Invalid","OK"))</f>
        <v>OK</v>
      </c>
      <c r="AK30" s="2" t="str">
        <f aca="false">IF(ISBLANK(B30),"",TEXT(B30,"mmm"))</f>
        <v>Oct</v>
      </c>
      <c r="AL30" s="2" t="n">
        <f aca="false">IF(ISBLANK(B30),"",YEAR(B30))</f>
        <v>2024</v>
      </c>
      <c r="AM30" s="2" t="s">
        <v>41</v>
      </c>
      <c r="AN30" s="2" t="str">
        <f aca="false">IF(OR(W30="Invalid",AJ30="Invalid",AH30="Inconsistent",Z30="Mismatch",AD30="Mismatch",AM30="Yes",D30="Yes",E30="Yes"),"Invalid",IF(OR(J30="Yes",Q30="Yes",U30="Yes"),"Warning","Clean"))</f>
        <v>Clean</v>
      </c>
    </row>
    <row r="31" customFormat="false" ht="15" hidden="false" customHeight="false" outlineLevel="0" collapsed="false">
      <c r="A31" s="2" t="s">
        <v>203</v>
      </c>
      <c r="B31" s="3" t="n">
        <v>45882</v>
      </c>
      <c r="C31" s="3" t="n">
        <v>45882</v>
      </c>
      <c r="D31" s="2" t="s">
        <v>41</v>
      </c>
      <c r="E31" s="2" t="s">
        <v>41</v>
      </c>
      <c r="F31" s="2" t="s">
        <v>204</v>
      </c>
      <c r="G31" s="2" t="s">
        <v>161</v>
      </c>
      <c r="H31" s="2" t="s">
        <v>115</v>
      </c>
      <c r="I31" s="2" t="s">
        <v>74</v>
      </c>
      <c r="J31" s="2" t="s">
        <v>41</v>
      </c>
      <c r="K31" s="2" t="s">
        <v>205</v>
      </c>
      <c r="L31" s="2" t="s">
        <v>206</v>
      </c>
      <c r="M31" s="2" t="s">
        <v>94</v>
      </c>
      <c r="N31" s="2" t="s">
        <v>191</v>
      </c>
      <c r="O31" s="2" t="s">
        <v>207</v>
      </c>
      <c r="P31" s="2" t="s">
        <v>79</v>
      </c>
      <c r="Q31" s="2" t="s">
        <v>41</v>
      </c>
      <c r="R31" s="2" t="n">
        <v>1</v>
      </c>
      <c r="S31" s="2" t="n">
        <v>256.01</v>
      </c>
      <c r="T31" s="2" t="n">
        <v>0.15</v>
      </c>
      <c r="U31" s="2" t="str">
        <f aca="false">IF(ISBLANK(T31),"Yes","No")</f>
        <v>No</v>
      </c>
      <c r="V31" s="2" t="n">
        <f aca="false">IF(ISBLANK(T31),0,IF(ISNUMBER(T31),T31,VALUE(LEFT(T31,LEN(T31)-1))/100))</f>
        <v>0.15</v>
      </c>
      <c r="W31" s="2" t="str">
        <f aca="false">IF(AND(V31&gt;=0,V31&lt;=0.25),"Valid","Invalid")</f>
        <v>Valid</v>
      </c>
      <c r="X31" s="2" t="n">
        <v>217.61</v>
      </c>
      <c r="Y31" s="2" t="n">
        <f aca="false">R31*S31*(1-V31)</f>
        <v>217.6085</v>
      </c>
      <c r="Z31" s="2" t="str">
        <f aca="false">IF(ABS(X31-Y31)&gt;1,"Mismatch","OK")</f>
        <v>OK</v>
      </c>
      <c r="AA31" s="2" t="n">
        <v>119.77</v>
      </c>
      <c r="AB31" s="2" t="n">
        <v>97.84</v>
      </c>
      <c r="AC31" s="2" t="n">
        <f aca="false">Y31-AA31</f>
        <v>97.8385</v>
      </c>
      <c r="AD31" s="2" t="str">
        <f aca="false">IF(ABS(AB31-AC31)&gt;1,"Mismatch","OK")</f>
        <v>OK</v>
      </c>
      <c r="AE31" s="4" t="n">
        <f aca="false">IF(Y31=0,0,AC31/Y31)</f>
        <v>0.449607896750357</v>
      </c>
      <c r="AF31" s="2" t="s">
        <v>52</v>
      </c>
      <c r="AG31" s="2" t="s">
        <v>53</v>
      </c>
      <c r="AH31" s="2" t="str">
        <f aca="false">IF(AND(AG31="Completed",AF31&lt;&gt;"Paid"),"Inconsistent","OK")</f>
        <v>OK</v>
      </c>
      <c r="AI31" s="2" t="n">
        <f aca="false">IF(OR(ISBLANK(B31),ISBLANK(C31)),"",C31-B31)</f>
        <v>0</v>
      </c>
      <c r="AJ31" s="2" t="str">
        <f aca="false">IF(AI31="","Unknown",IF(AI31&lt;0,"Invalid","OK"))</f>
        <v>OK</v>
      </c>
      <c r="AK31" s="2" t="str">
        <f aca="false">IF(ISBLANK(B31),"",TEXT(B31,"mmm"))</f>
        <v>Aug</v>
      </c>
      <c r="AL31" s="2" t="n">
        <f aca="false">IF(ISBLANK(B31),"",YEAR(B31))</f>
        <v>2025</v>
      </c>
      <c r="AM31" s="2" t="s">
        <v>41</v>
      </c>
      <c r="AN31" s="2" t="str">
        <f aca="false">IF(OR(W31="Invalid",AJ31="Invalid",AH31="Inconsistent",Z31="Mismatch",AD31="Mismatch",AM31="Yes",D31="Yes",E31="Yes"),"Invalid",IF(OR(J31="Yes",Q31="Yes",U31="Yes"),"Warning","Clean"))</f>
        <v>Clean</v>
      </c>
    </row>
    <row r="32" customFormat="false" ht="15" hidden="false" customHeight="false" outlineLevel="0" collapsed="false">
      <c r="A32" s="2" t="s">
        <v>208</v>
      </c>
      <c r="B32" s="3" t="n">
        <v>45331</v>
      </c>
      <c r="C32" s="3" t="n">
        <v>45334</v>
      </c>
      <c r="D32" s="2" t="s">
        <v>41</v>
      </c>
      <c r="E32" s="2" t="s">
        <v>41</v>
      </c>
      <c r="F32" s="2" t="s">
        <v>209</v>
      </c>
      <c r="G32" s="2" t="s">
        <v>82</v>
      </c>
      <c r="H32" s="2" t="s">
        <v>110</v>
      </c>
      <c r="I32" s="2" t="s">
        <v>83</v>
      </c>
      <c r="J32" s="2" t="s">
        <v>41</v>
      </c>
      <c r="K32" s="2" t="s">
        <v>210</v>
      </c>
      <c r="L32" s="2" t="s">
        <v>211</v>
      </c>
      <c r="M32" s="2" t="s">
        <v>48</v>
      </c>
      <c r="N32" s="2" t="s">
        <v>111</v>
      </c>
      <c r="O32" s="2" t="s">
        <v>212</v>
      </c>
      <c r="P32" s="2" t="s">
        <v>70</v>
      </c>
      <c r="Q32" s="2" t="s">
        <v>41</v>
      </c>
      <c r="R32" s="2" t="n">
        <v>1</v>
      </c>
      <c r="S32" s="2" t="n">
        <v>3421.77</v>
      </c>
      <c r="T32" s="2" t="n">
        <v>0.1</v>
      </c>
      <c r="U32" s="2" t="str">
        <f aca="false">IF(ISBLANK(T32),"Yes","No")</f>
        <v>No</v>
      </c>
      <c r="V32" s="2" t="n">
        <f aca="false">IF(ISBLANK(T32),0,IF(ISNUMBER(T32),T32,VALUE(LEFT(T32,LEN(T32)-1))/100))</f>
        <v>0.1</v>
      </c>
      <c r="W32" s="2" t="str">
        <f aca="false">IF(AND(V32&gt;=0,V32&lt;=0.25),"Valid","Invalid")</f>
        <v>Valid</v>
      </c>
      <c r="X32" s="2" t="n">
        <v>3079.59</v>
      </c>
      <c r="Y32" s="2" t="n">
        <f aca="false">R32*S32*(1-V32)</f>
        <v>3079.593</v>
      </c>
      <c r="Z32" s="2" t="str">
        <f aca="false">IF(ABS(X32-Y32)&gt;1,"Mismatch","OK")</f>
        <v>OK</v>
      </c>
      <c r="AA32" s="2" t="n">
        <v>2001.89</v>
      </c>
      <c r="AB32" s="2" t="n">
        <v>1077.7</v>
      </c>
      <c r="AC32" s="2" t="n">
        <f aca="false">Y32-AA32</f>
        <v>1077.703</v>
      </c>
      <c r="AD32" s="2" t="str">
        <f aca="false">IF(ABS(AB32-AC32)&gt;1,"Mismatch","OK")</f>
        <v>OK</v>
      </c>
      <c r="AE32" s="4" t="n">
        <f aca="false">IF(Y32=0,0,AC32/Y32)</f>
        <v>0.349949814796955</v>
      </c>
      <c r="AF32" s="2" t="s">
        <v>52</v>
      </c>
      <c r="AG32" s="2" t="s">
        <v>53</v>
      </c>
      <c r="AH32" s="2" t="str">
        <f aca="false">IF(AND(AG32="Completed",AF32&lt;&gt;"Paid"),"Inconsistent","OK")</f>
        <v>OK</v>
      </c>
      <c r="AI32" s="2" t="n">
        <f aca="false">IF(OR(ISBLANK(B32),ISBLANK(C32)),"",C32-B32)</f>
        <v>3</v>
      </c>
      <c r="AJ32" s="2" t="str">
        <f aca="false">IF(AI32="","Unknown",IF(AI32&lt;0,"Invalid","OK"))</f>
        <v>OK</v>
      </c>
      <c r="AK32" s="2" t="str">
        <f aca="false">IF(ISBLANK(B32),"",TEXT(B32,"mmm"))</f>
        <v>Feb</v>
      </c>
      <c r="AL32" s="2" t="n">
        <f aca="false">IF(ISBLANK(B32),"",YEAR(B32))</f>
        <v>2024</v>
      </c>
      <c r="AM32" s="2" t="s">
        <v>41</v>
      </c>
      <c r="AN32" s="2" t="str">
        <f aca="false">IF(OR(W32="Invalid",AJ32="Invalid",AH32="Inconsistent",Z32="Mismatch",AD32="Mismatch",AM32="Yes",D32="Yes",E32="Yes"),"Invalid",IF(OR(J32="Yes",Q32="Yes",U32="Yes"),"Warning","Clean"))</f>
        <v>Clean</v>
      </c>
    </row>
    <row r="33" customFormat="false" ht="15" hidden="false" customHeight="false" outlineLevel="0" collapsed="false">
      <c r="A33" s="2" t="s">
        <v>213</v>
      </c>
      <c r="B33" s="3" t="n">
        <v>45823</v>
      </c>
      <c r="C33" s="3" t="n">
        <v>45827</v>
      </c>
      <c r="D33" s="2" t="s">
        <v>41</v>
      </c>
      <c r="E33" s="2" t="s">
        <v>41</v>
      </c>
      <c r="F33" s="2" t="s">
        <v>214</v>
      </c>
      <c r="G33" s="2" t="s">
        <v>43</v>
      </c>
      <c r="H33" s="2" t="s">
        <v>57</v>
      </c>
      <c r="I33" s="2" t="s">
        <v>83</v>
      </c>
      <c r="J33" s="2" t="s">
        <v>41</v>
      </c>
      <c r="K33" s="2" t="s">
        <v>92</v>
      </c>
      <c r="L33" s="2" t="s">
        <v>93</v>
      </c>
      <c r="M33" s="2" t="s">
        <v>48</v>
      </c>
      <c r="N33" s="2" t="s">
        <v>49</v>
      </c>
      <c r="O33" s="2" t="s">
        <v>215</v>
      </c>
      <c r="P33" s="2" t="s">
        <v>51</v>
      </c>
      <c r="Q33" s="2" t="s">
        <v>41</v>
      </c>
      <c r="R33" s="2" t="n">
        <v>9</v>
      </c>
      <c r="S33" s="2" t="n">
        <v>3092.55</v>
      </c>
      <c r="T33" s="2" t="n">
        <v>0</v>
      </c>
      <c r="U33" s="2" t="str">
        <f aca="false">IF(ISBLANK(T33),"Yes","No")</f>
        <v>No</v>
      </c>
      <c r="V33" s="2" t="n">
        <f aca="false">IF(ISBLANK(T33),0,IF(ISNUMBER(T33),T33,VALUE(LEFT(T33,LEN(T33)-1))/100))</f>
        <v>0</v>
      </c>
      <c r="W33" s="2" t="str">
        <f aca="false">IF(AND(V33&gt;=0,V33&lt;=0.25),"Valid","Invalid")</f>
        <v>Valid</v>
      </c>
      <c r="X33" s="2" t="n">
        <v>27832.95</v>
      </c>
      <c r="Y33" s="2" t="n">
        <f aca="false">R33*S33*(1-V33)</f>
        <v>27832.95</v>
      </c>
      <c r="Z33" s="2" t="str">
        <f aca="false">IF(ABS(X33-Y33)&gt;1,"Mismatch","OK")</f>
        <v>OK</v>
      </c>
      <c r="AA33" s="2" t="n">
        <v>17769.75</v>
      </c>
      <c r="AB33" s="2" t="n">
        <v>10063.2</v>
      </c>
      <c r="AC33" s="2" t="n">
        <f aca="false">Y33-AA33</f>
        <v>10063.2</v>
      </c>
      <c r="AD33" s="2" t="str">
        <f aca="false">IF(ABS(AB33-AC33)&gt;1,"Mismatch","OK")</f>
        <v>OK</v>
      </c>
      <c r="AE33" s="4" t="n">
        <f aca="false">IF(Y33=0,0,AC33/Y33)</f>
        <v>0.361557075336966</v>
      </c>
      <c r="AF33" s="2" t="s">
        <v>175</v>
      </c>
      <c r="AG33" s="2" t="s">
        <v>123</v>
      </c>
      <c r="AH33" s="2" t="str">
        <f aca="false">IF(AND(AG33="Completed",AF33&lt;&gt;"Paid"),"Inconsistent","OK")</f>
        <v>OK</v>
      </c>
      <c r="AI33" s="2" t="n">
        <f aca="false">IF(OR(ISBLANK(B33),ISBLANK(C33)),"",C33-B33)</f>
        <v>4</v>
      </c>
      <c r="AJ33" s="2" t="str">
        <f aca="false">IF(AI33="","Unknown",IF(AI33&lt;0,"Invalid","OK"))</f>
        <v>OK</v>
      </c>
      <c r="AK33" s="2" t="str">
        <f aca="false">IF(ISBLANK(B33),"",TEXT(B33,"mmm"))</f>
        <v>Jun</v>
      </c>
      <c r="AL33" s="2" t="n">
        <f aca="false">IF(ISBLANK(B33),"",YEAR(B33))</f>
        <v>2025</v>
      </c>
      <c r="AM33" s="2" t="s">
        <v>41</v>
      </c>
      <c r="AN33" s="2" t="str">
        <f aca="false">IF(OR(W33="Invalid",AJ33="Invalid",AH33="Inconsistent",Z33="Mismatch",AD33="Mismatch",AM33="Yes",D33="Yes",E33="Yes"),"Invalid",IF(OR(J33="Yes",Q33="Yes",U33="Yes"),"Warning","Clean"))</f>
        <v>Clean</v>
      </c>
    </row>
    <row r="34" customFormat="false" ht="15" hidden="false" customHeight="false" outlineLevel="0" collapsed="false">
      <c r="A34" s="2" t="s">
        <v>216</v>
      </c>
      <c r="B34" s="3" t="n">
        <v>45618</v>
      </c>
      <c r="C34" s="3" t="n">
        <v>45622</v>
      </c>
      <c r="D34" s="2" t="s">
        <v>41</v>
      </c>
      <c r="E34" s="2" t="s">
        <v>41</v>
      </c>
      <c r="F34" s="2" t="s">
        <v>217</v>
      </c>
      <c r="G34" s="2" t="s">
        <v>148</v>
      </c>
      <c r="H34" s="2" t="s">
        <v>110</v>
      </c>
      <c r="I34" s="2" t="s">
        <v>74</v>
      </c>
      <c r="J34" s="2" t="s">
        <v>41</v>
      </c>
      <c r="K34" s="2" t="s">
        <v>104</v>
      </c>
      <c r="L34" s="2" t="s">
        <v>105</v>
      </c>
      <c r="M34" s="2" t="s">
        <v>94</v>
      </c>
      <c r="N34" s="2" t="s">
        <v>191</v>
      </c>
      <c r="O34" s="2" t="s">
        <v>218</v>
      </c>
      <c r="P34" s="2" t="s">
        <v>51</v>
      </c>
      <c r="Q34" s="2" t="s">
        <v>41</v>
      </c>
      <c r="R34" s="2" t="n">
        <v>3</v>
      </c>
      <c r="S34" s="2" t="n">
        <v>4001.25</v>
      </c>
      <c r="T34" s="2"/>
      <c r="U34" s="2" t="str">
        <f aca="false">IF(ISBLANK(T34),"Yes","No")</f>
        <v>Yes</v>
      </c>
      <c r="V34" s="2" t="n">
        <f aca="false">IF(ISBLANK(T34),0,IF(ISNUMBER(T34),T34,VALUE(LEFT(T34,LEN(T34)-1))/100))</f>
        <v>0</v>
      </c>
      <c r="W34" s="2" t="str">
        <f aca="false">IF(AND(V34&gt;=0,V34&lt;=0.25),"Valid","Invalid")</f>
        <v>Valid</v>
      </c>
      <c r="X34" s="2" t="n">
        <v>9002.81</v>
      </c>
      <c r="Y34" s="2" t="n">
        <f aca="false">R34*S34*(1-V34)</f>
        <v>12003.75</v>
      </c>
      <c r="Z34" s="2" t="str">
        <f aca="false">IF(ABS(X34-Y34)&gt;1,"Mismatch","OK")</f>
        <v>Mismatch</v>
      </c>
      <c r="AA34" s="2" t="n">
        <v>7529.92</v>
      </c>
      <c r="AB34" s="2" t="n">
        <v>1472.89</v>
      </c>
      <c r="AC34" s="2" t="n">
        <f aca="false">Y34-AA34</f>
        <v>4473.83</v>
      </c>
      <c r="AD34" s="2" t="str">
        <f aca="false">IF(ABS(AB34-AC34)&gt;1,"Mismatch","OK")</f>
        <v>Mismatch</v>
      </c>
      <c r="AE34" s="4" t="n">
        <f aca="false">IF(Y34=0,0,AC34/Y34)</f>
        <v>0.372702697073831</v>
      </c>
      <c r="AF34" s="2" t="s">
        <v>52</v>
      </c>
      <c r="AG34" s="2" t="s">
        <v>53</v>
      </c>
      <c r="AH34" s="2" t="str">
        <f aca="false">IF(AND(AG34="Completed",AF34&lt;&gt;"Paid"),"Inconsistent","OK")</f>
        <v>OK</v>
      </c>
      <c r="AI34" s="2" t="n">
        <f aca="false">IF(OR(ISBLANK(B34),ISBLANK(C34)),"",C34-B34)</f>
        <v>4</v>
      </c>
      <c r="AJ34" s="2" t="str">
        <f aca="false">IF(AI34="","Unknown",IF(AI34&lt;0,"Invalid","OK"))</f>
        <v>OK</v>
      </c>
      <c r="AK34" s="2" t="str">
        <f aca="false">IF(ISBLANK(B34),"",TEXT(B34,"mmm"))</f>
        <v>Nov</v>
      </c>
      <c r="AL34" s="2" t="n">
        <f aca="false">IF(ISBLANK(B34),"",YEAR(B34))</f>
        <v>2024</v>
      </c>
      <c r="AM34" s="2" t="s">
        <v>41</v>
      </c>
      <c r="AN34" s="2" t="str">
        <f aca="false">IF(OR(W34="Invalid",AJ34="Invalid",AH34="Inconsistent",Z34="Mismatch",AD34="Mismatch",AM34="Yes",D34="Yes",E34="Yes"),"Invalid",IF(OR(J34="Yes",Q34="Yes",U34="Yes"),"Warning","Clean"))</f>
        <v>Invalid</v>
      </c>
    </row>
    <row r="35" customFormat="false" ht="15" hidden="false" customHeight="false" outlineLevel="0" collapsed="false">
      <c r="A35" s="2" t="s">
        <v>219</v>
      </c>
      <c r="B35" s="3" t="n">
        <v>45495</v>
      </c>
      <c r="C35" s="3" t="n">
        <v>45500</v>
      </c>
      <c r="D35" s="2" t="s">
        <v>41</v>
      </c>
      <c r="E35" s="2" t="s">
        <v>41</v>
      </c>
      <c r="F35" s="2" t="s">
        <v>220</v>
      </c>
      <c r="G35" s="2" t="s">
        <v>134</v>
      </c>
      <c r="H35" s="2" t="s">
        <v>115</v>
      </c>
      <c r="I35" s="2" t="s">
        <v>83</v>
      </c>
      <c r="J35" s="2" t="s">
        <v>41</v>
      </c>
      <c r="K35" s="2" t="s">
        <v>210</v>
      </c>
      <c r="L35" s="2" t="s">
        <v>211</v>
      </c>
      <c r="M35" s="2" t="s">
        <v>61</v>
      </c>
      <c r="N35" s="2" t="s">
        <v>62</v>
      </c>
      <c r="O35" s="2" t="s">
        <v>221</v>
      </c>
      <c r="P35" s="2" t="s">
        <v>64</v>
      </c>
      <c r="Q35" s="2" t="s">
        <v>41</v>
      </c>
      <c r="R35" s="2" t="n">
        <v>7</v>
      </c>
      <c r="S35" s="2" t="n">
        <v>492.41</v>
      </c>
      <c r="T35" s="2" t="n">
        <v>0.25</v>
      </c>
      <c r="U35" s="2" t="str">
        <f aca="false">IF(ISBLANK(T35),"Yes","No")</f>
        <v>No</v>
      </c>
      <c r="V35" s="2" t="n">
        <f aca="false">IF(ISBLANK(T35),0,IF(ISNUMBER(T35),T35,VALUE(LEFT(T35,LEN(T35)-1))/100))</f>
        <v>0.25</v>
      </c>
      <c r="W35" s="2" t="str">
        <f aca="false">IF(AND(V35&gt;=0,V35&lt;=0.25),"Valid","Invalid")</f>
        <v>Valid</v>
      </c>
      <c r="X35" s="2" t="n">
        <v>2585.15</v>
      </c>
      <c r="Y35" s="2" t="n">
        <f aca="false">R35*S35*(1-V35)</f>
        <v>2585.1525</v>
      </c>
      <c r="Z35" s="2" t="str">
        <f aca="false">IF(ABS(X35-Y35)&gt;1,"Mismatch","OK")</f>
        <v>OK</v>
      </c>
      <c r="AA35" s="2" t="n">
        <v>2070.73</v>
      </c>
      <c r="AB35" s="2" t="n">
        <v>514.42</v>
      </c>
      <c r="AC35" s="2" t="n">
        <f aca="false">Y35-AA35</f>
        <v>514.4225</v>
      </c>
      <c r="AD35" s="2" t="str">
        <f aca="false">IF(ABS(AB35-AC35)&gt;1,"Mismatch","OK")</f>
        <v>OK</v>
      </c>
      <c r="AE35" s="4" t="n">
        <f aca="false">IF(Y35=0,0,AC35/Y35)</f>
        <v>0.198991162030093</v>
      </c>
      <c r="AF35" s="2" t="s">
        <v>52</v>
      </c>
      <c r="AG35" s="2" t="s">
        <v>53</v>
      </c>
      <c r="AH35" s="2" t="str">
        <f aca="false">IF(AND(AG35="Completed",AF35&lt;&gt;"Paid"),"Inconsistent","OK")</f>
        <v>OK</v>
      </c>
      <c r="AI35" s="2" t="n">
        <f aca="false">IF(OR(ISBLANK(B35),ISBLANK(C35)),"",C35-B35)</f>
        <v>5</v>
      </c>
      <c r="AJ35" s="2" t="str">
        <f aca="false">IF(AI35="","Unknown",IF(AI35&lt;0,"Invalid","OK"))</f>
        <v>OK</v>
      </c>
      <c r="AK35" s="2" t="str">
        <f aca="false">IF(ISBLANK(B35),"",TEXT(B35,"mmm"))</f>
        <v>Jul</v>
      </c>
      <c r="AL35" s="2" t="n">
        <f aca="false">IF(ISBLANK(B35),"",YEAR(B35))</f>
        <v>2024</v>
      </c>
      <c r="AM35" s="2" t="s">
        <v>41</v>
      </c>
      <c r="AN35" s="2" t="str">
        <f aca="false">IF(OR(W35="Invalid",AJ35="Invalid",AH35="Inconsistent",Z35="Mismatch",AD35="Mismatch",AM35="Yes",D35="Yes",E35="Yes"),"Invalid",IF(OR(J35="Yes",Q35="Yes",U35="Yes"),"Warning","Clean"))</f>
        <v>Clean</v>
      </c>
    </row>
    <row r="36" customFormat="false" ht="15" hidden="false" customHeight="false" outlineLevel="0" collapsed="false">
      <c r="A36" s="2" t="s">
        <v>222</v>
      </c>
      <c r="B36" s="3" t="n">
        <v>45688</v>
      </c>
      <c r="C36" s="3" t="n">
        <v>45693</v>
      </c>
      <c r="D36" s="2" t="s">
        <v>41</v>
      </c>
      <c r="E36" s="2" t="s">
        <v>41</v>
      </c>
      <c r="F36" s="2" t="s">
        <v>223</v>
      </c>
      <c r="G36" s="2" t="s">
        <v>134</v>
      </c>
      <c r="H36" s="2" t="s">
        <v>115</v>
      </c>
      <c r="I36" s="2" t="s">
        <v>58</v>
      </c>
      <c r="J36" s="2" t="s">
        <v>41</v>
      </c>
      <c r="K36" s="2" t="s">
        <v>119</v>
      </c>
      <c r="L36" s="2" t="s">
        <v>120</v>
      </c>
      <c r="M36" s="2" t="s">
        <v>61</v>
      </c>
      <c r="N36" s="2" t="s">
        <v>86</v>
      </c>
      <c r="O36" s="2" t="s">
        <v>224</v>
      </c>
      <c r="P36" s="2" t="s">
        <v>225</v>
      </c>
      <c r="Q36" s="2" t="s">
        <v>226</v>
      </c>
      <c r="R36" s="2" t="n">
        <v>2</v>
      </c>
      <c r="S36" s="2" t="n">
        <v>4159.69</v>
      </c>
      <c r="T36" s="2" t="n">
        <v>0.2</v>
      </c>
      <c r="U36" s="2" t="str">
        <f aca="false">IF(ISBLANK(T36),"Yes","No")</f>
        <v>No</v>
      </c>
      <c r="V36" s="2" t="n">
        <f aca="false">IF(ISBLANK(T36),0,IF(ISNUMBER(T36),T36,VALUE(LEFT(T36,LEN(T36)-1))/100))</f>
        <v>0.2</v>
      </c>
      <c r="W36" s="2" t="str">
        <f aca="false">IF(AND(V36&gt;=0,V36&lt;=0.25),"Valid","Invalid")</f>
        <v>Valid</v>
      </c>
      <c r="X36" s="2" t="n">
        <v>6655.5</v>
      </c>
      <c r="Y36" s="2" t="n">
        <f aca="false">R36*S36*(1-V36)</f>
        <v>6655.504</v>
      </c>
      <c r="Z36" s="2" t="str">
        <f aca="false">IF(ABS(X36-Y36)&gt;1,"Mismatch","OK")</f>
        <v>OK</v>
      </c>
      <c r="AA36" s="2" t="n">
        <v>4340.21</v>
      </c>
      <c r="AB36" s="2" t="n">
        <v>2607.32</v>
      </c>
      <c r="AC36" s="2" t="n">
        <f aca="false">Y36-AA36</f>
        <v>2315.294</v>
      </c>
      <c r="AD36" s="2" t="str">
        <f aca="false">IF(ABS(AB36-AC36)&gt;1,"Mismatch","OK")</f>
        <v>Mismatch</v>
      </c>
      <c r="AE36" s="4" t="n">
        <f aca="false">IF(Y36=0,0,AC36/Y36)</f>
        <v>0.347876584553176</v>
      </c>
      <c r="AF36" s="2" t="s">
        <v>52</v>
      </c>
      <c r="AG36" s="2" t="s">
        <v>53</v>
      </c>
      <c r="AH36" s="2" t="str">
        <f aca="false">IF(AND(AG36="Completed",AF36&lt;&gt;"Paid"),"Inconsistent","OK")</f>
        <v>OK</v>
      </c>
      <c r="AI36" s="2" t="n">
        <f aca="false">IF(OR(ISBLANK(B36),ISBLANK(C36)),"",C36-B36)</f>
        <v>5</v>
      </c>
      <c r="AJ36" s="2" t="str">
        <f aca="false">IF(AI36="","Unknown",IF(AI36&lt;0,"Invalid","OK"))</f>
        <v>OK</v>
      </c>
      <c r="AK36" s="2" t="str">
        <f aca="false">IF(ISBLANK(B36),"",TEXT(B36,"mmm"))</f>
        <v>Jan</v>
      </c>
      <c r="AL36" s="2" t="n">
        <f aca="false">IF(ISBLANK(B36),"",YEAR(B36))</f>
        <v>2025</v>
      </c>
      <c r="AM36" s="2" t="s">
        <v>41</v>
      </c>
      <c r="AN36" s="2" t="str">
        <f aca="false">IF(OR(W36="Invalid",AJ36="Invalid",AH36="Inconsistent",Z36="Mismatch",AD36="Mismatch",AM36="Yes",D36="Yes",E36="Yes"),"Invalid",IF(OR(J36="Yes",Q36="Yes",U36="Yes"),"Warning","Clean"))</f>
        <v>Invalid</v>
      </c>
    </row>
    <row r="37" customFormat="false" ht="15" hidden="false" customHeight="false" outlineLevel="0" collapsed="false">
      <c r="A37" s="2" t="s">
        <v>227</v>
      </c>
      <c r="B37" s="3" t="n">
        <v>45441</v>
      </c>
      <c r="C37" s="3" t="n">
        <v>45441</v>
      </c>
      <c r="D37" s="2" t="s">
        <v>41</v>
      </c>
      <c r="E37" s="2" t="s">
        <v>41</v>
      </c>
      <c r="F37" s="2" t="s">
        <v>228</v>
      </c>
      <c r="G37" s="2" t="s">
        <v>152</v>
      </c>
      <c r="H37" s="2" t="s">
        <v>57</v>
      </c>
      <c r="I37" s="2" t="s">
        <v>83</v>
      </c>
      <c r="J37" s="2" t="s">
        <v>41</v>
      </c>
      <c r="K37" s="2" t="s">
        <v>200</v>
      </c>
      <c r="L37" s="2" t="s">
        <v>201</v>
      </c>
      <c r="M37" s="2" t="s">
        <v>61</v>
      </c>
      <c r="N37" s="2" t="s">
        <v>178</v>
      </c>
      <c r="O37" s="2" t="s">
        <v>229</v>
      </c>
      <c r="P37" s="2" t="s">
        <v>51</v>
      </c>
      <c r="Q37" s="2" t="s">
        <v>41</v>
      </c>
      <c r="R37" s="2" t="n">
        <v>8</v>
      </c>
      <c r="S37" s="2" t="n">
        <v>2507.12</v>
      </c>
      <c r="T37" s="2" t="n">
        <v>0.05</v>
      </c>
      <c r="U37" s="2" t="str">
        <f aca="false">IF(ISBLANK(T37),"Yes","No")</f>
        <v>No</v>
      </c>
      <c r="V37" s="2" t="n">
        <f aca="false">IF(ISBLANK(T37),0,IF(ISNUMBER(T37),T37,VALUE(LEFT(T37,LEN(T37)-1))/100))</f>
        <v>0.05</v>
      </c>
      <c r="W37" s="2" t="str">
        <f aca="false">IF(AND(V37&gt;=0,V37&lt;=0.25),"Valid","Invalid")</f>
        <v>Valid</v>
      </c>
      <c r="X37" s="2" t="n">
        <v>19054.11</v>
      </c>
      <c r="Y37" s="2" t="n">
        <f aca="false">R37*S37*(1-V37)</f>
        <v>19054.112</v>
      </c>
      <c r="Z37" s="2" t="str">
        <f aca="false">IF(ABS(X37-Y37)&gt;1,"Mismatch","OK")</f>
        <v>OK</v>
      </c>
      <c r="AA37" s="2" t="n">
        <v>15313.83</v>
      </c>
      <c r="AB37" s="2" t="n">
        <v>3740.28</v>
      </c>
      <c r="AC37" s="2" t="n">
        <f aca="false">Y37-AA37</f>
        <v>3740.282</v>
      </c>
      <c r="AD37" s="2" t="str">
        <f aca="false">IF(ABS(AB37-AC37)&gt;1,"Mismatch","OK")</f>
        <v>OK</v>
      </c>
      <c r="AE37" s="4" t="n">
        <f aca="false">IF(Y37=0,0,AC37/Y37)</f>
        <v>0.196297890974924</v>
      </c>
      <c r="AF37" s="2" t="s">
        <v>131</v>
      </c>
      <c r="AG37" s="2" t="s">
        <v>123</v>
      </c>
      <c r="AH37" s="2" t="str">
        <f aca="false">IF(AND(AG37="Completed",AF37&lt;&gt;"Paid"),"Inconsistent","OK")</f>
        <v>OK</v>
      </c>
      <c r="AI37" s="2" t="n">
        <f aca="false">IF(OR(ISBLANK(B37),ISBLANK(C37)),"",C37-B37)</f>
        <v>0</v>
      </c>
      <c r="AJ37" s="2" t="str">
        <f aca="false">IF(AI37="","Unknown",IF(AI37&lt;0,"Invalid","OK"))</f>
        <v>OK</v>
      </c>
      <c r="AK37" s="2" t="str">
        <f aca="false">IF(ISBLANK(B37),"",TEXT(B37,"mmm"))</f>
        <v>May</v>
      </c>
      <c r="AL37" s="2" t="n">
        <f aca="false">IF(ISBLANK(B37),"",YEAR(B37))</f>
        <v>2024</v>
      </c>
      <c r="AM37" s="2" t="s">
        <v>41</v>
      </c>
      <c r="AN37" s="2" t="str">
        <f aca="false">IF(OR(W37="Invalid",AJ37="Invalid",AH37="Inconsistent",Z37="Mismatch",AD37="Mismatch",AM37="Yes",D37="Yes",E37="Yes"),"Invalid",IF(OR(J37="Yes",Q37="Yes",U37="Yes"),"Warning","Clean"))</f>
        <v>Clean</v>
      </c>
    </row>
    <row r="38" customFormat="false" ht="15" hidden="false" customHeight="false" outlineLevel="0" collapsed="false">
      <c r="A38" s="2" t="s">
        <v>230</v>
      </c>
      <c r="B38" s="3" t="n">
        <v>45590</v>
      </c>
      <c r="C38" s="3" t="n">
        <v>45593</v>
      </c>
      <c r="D38" s="2" t="s">
        <v>41</v>
      </c>
      <c r="E38" s="2" t="s">
        <v>41</v>
      </c>
      <c r="F38" s="2" t="s">
        <v>231</v>
      </c>
      <c r="G38" s="2" t="s">
        <v>161</v>
      </c>
      <c r="H38" s="2" t="s">
        <v>110</v>
      </c>
      <c r="I38" s="2" t="s">
        <v>83</v>
      </c>
      <c r="J38" s="2" t="s">
        <v>41</v>
      </c>
      <c r="K38" s="2" t="s">
        <v>84</v>
      </c>
      <c r="L38" s="2" t="s">
        <v>85</v>
      </c>
      <c r="M38" s="2" t="s">
        <v>61</v>
      </c>
      <c r="N38" s="2" t="s">
        <v>178</v>
      </c>
      <c r="O38" s="2" t="s">
        <v>232</v>
      </c>
      <c r="P38" s="2" t="s">
        <v>51</v>
      </c>
      <c r="Q38" s="2" t="s">
        <v>41</v>
      </c>
      <c r="R38" s="2" t="n">
        <v>3</v>
      </c>
      <c r="S38" s="2" t="n">
        <v>3126.47</v>
      </c>
      <c r="T38" s="2" t="n">
        <v>0</v>
      </c>
      <c r="U38" s="2" t="str">
        <f aca="false">IF(ISBLANK(T38),"Yes","No")</f>
        <v>No</v>
      </c>
      <c r="V38" s="2" t="n">
        <f aca="false">IF(ISBLANK(T38),0,IF(ISNUMBER(T38),T38,VALUE(LEFT(T38,LEN(T38)-1))/100))</f>
        <v>0</v>
      </c>
      <c r="W38" s="2" t="str">
        <f aca="false">IF(AND(V38&gt;=0,V38&lt;=0.25),"Valid","Invalid")</f>
        <v>Valid</v>
      </c>
      <c r="X38" s="2" t="n">
        <v>9379.41</v>
      </c>
      <c r="Y38" s="2" t="n">
        <f aca="false">R38*S38*(1-V38)</f>
        <v>9379.41</v>
      </c>
      <c r="Z38" s="2" t="str">
        <f aca="false">IF(ABS(X38-Y38)&gt;1,"Mismatch","OK")</f>
        <v>OK</v>
      </c>
      <c r="AA38" s="2" t="n">
        <v>6670.85</v>
      </c>
      <c r="AB38" s="2" t="n">
        <v>2708.56</v>
      </c>
      <c r="AC38" s="2" t="n">
        <f aca="false">Y38-AA38</f>
        <v>2708.56</v>
      </c>
      <c r="AD38" s="2" t="str">
        <f aca="false">IF(ABS(AB38-AC38)&gt;1,"Mismatch","OK")</f>
        <v>OK</v>
      </c>
      <c r="AE38" s="4" t="n">
        <f aca="false">IF(Y38=0,0,AC38/Y38)</f>
        <v>0.288777225859622</v>
      </c>
      <c r="AF38" s="2" t="s">
        <v>52</v>
      </c>
      <c r="AG38" s="2" t="s">
        <v>123</v>
      </c>
      <c r="AH38" s="2" t="str">
        <f aca="false">IF(AND(AG38="Completed",AF38&lt;&gt;"Paid"),"Inconsistent","OK")</f>
        <v>OK</v>
      </c>
      <c r="AI38" s="2" t="n">
        <f aca="false">IF(OR(ISBLANK(B38),ISBLANK(C38)),"",C38-B38)</f>
        <v>3</v>
      </c>
      <c r="AJ38" s="2" t="str">
        <f aca="false">IF(AI38="","Unknown",IF(AI38&lt;0,"Invalid","OK"))</f>
        <v>OK</v>
      </c>
      <c r="AK38" s="2" t="str">
        <f aca="false">IF(ISBLANK(B38),"",TEXT(B38,"mmm"))</f>
        <v>Oct</v>
      </c>
      <c r="AL38" s="2" t="n">
        <f aca="false">IF(ISBLANK(B38),"",YEAR(B38))</f>
        <v>2024</v>
      </c>
      <c r="AM38" s="2" t="s">
        <v>41</v>
      </c>
      <c r="AN38" s="2" t="str">
        <f aca="false">IF(OR(W38="Invalid",AJ38="Invalid",AH38="Inconsistent",Z38="Mismatch",AD38="Mismatch",AM38="Yes",D38="Yes",E38="Yes"),"Invalid",IF(OR(J38="Yes",Q38="Yes",U38="Yes"),"Warning","Clean"))</f>
        <v>Clean</v>
      </c>
    </row>
    <row r="39" customFormat="false" ht="15" hidden="false" customHeight="false" outlineLevel="0" collapsed="false">
      <c r="A39" s="2" t="s">
        <v>233</v>
      </c>
      <c r="B39" s="3" t="n">
        <v>45867</v>
      </c>
      <c r="C39" s="3" t="n">
        <v>45867</v>
      </c>
      <c r="D39" s="2" t="s">
        <v>41</v>
      </c>
      <c r="E39" s="2" t="s">
        <v>41</v>
      </c>
      <c r="F39" s="2" t="s">
        <v>234</v>
      </c>
      <c r="G39" s="2" t="s">
        <v>182</v>
      </c>
      <c r="H39" s="2" t="s">
        <v>44</v>
      </c>
      <c r="I39" s="2" t="s">
        <v>83</v>
      </c>
      <c r="J39" s="2" t="s">
        <v>41</v>
      </c>
      <c r="K39" s="2" t="s">
        <v>84</v>
      </c>
      <c r="L39" s="2" t="s">
        <v>85</v>
      </c>
      <c r="M39" s="2" t="s">
        <v>94</v>
      </c>
      <c r="N39" s="2" t="s">
        <v>100</v>
      </c>
      <c r="O39" s="2" t="s">
        <v>235</v>
      </c>
      <c r="P39" s="2" t="s">
        <v>79</v>
      </c>
      <c r="Q39" s="2" t="s">
        <v>41</v>
      </c>
      <c r="R39" s="2" t="n">
        <v>4</v>
      </c>
      <c r="S39" s="2" t="n">
        <v>1327.54</v>
      </c>
      <c r="T39" s="2" t="n">
        <v>0.2</v>
      </c>
      <c r="U39" s="2" t="str">
        <f aca="false">IF(ISBLANK(T39),"Yes","No")</f>
        <v>No</v>
      </c>
      <c r="V39" s="2" t="n">
        <f aca="false">IF(ISBLANK(T39),0,IF(ISNUMBER(T39),T39,VALUE(LEFT(T39,LEN(T39)-1))/100))</f>
        <v>0.2</v>
      </c>
      <c r="W39" s="2" t="str">
        <f aca="false">IF(AND(V39&gt;=0,V39&lt;=0.25),"Valid","Invalid")</f>
        <v>Valid</v>
      </c>
      <c r="X39" s="2" t="n">
        <v>4248.13</v>
      </c>
      <c r="Y39" s="2" t="n">
        <f aca="false">R39*S39*(1-V39)</f>
        <v>4248.128</v>
      </c>
      <c r="Z39" s="2" t="str">
        <f aca="false">IF(ABS(X39-Y39)&gt;1,"Mismatch","OK")</f>
        <v>OK</v>
      </c>
      <c r="AA39" s="2" t="n">
        <v>3321.09</v>
      </c>
      <c r="AB39" s="2" t="n">
        <v>927.04</v>
      </c>
      <c r="AC39" s="2" t="n">
        <f aca="false">Y39-AA39</f>
        <v>927.038</v>
      </c>
      <c r="AD39" s="2" t="str">
        <f aca="false">IF(ABS(AB39-AC39)&gt;1,"Mismatch","OK")</f>
        <v>OK</v>
      </c>
      <c r="AE39" s="4" t="n">
        <f aca="false">IF(Y39=0,0,AC39/Y39)</f>
        <v>0.218222708920258</v>
      </c>
      <c r="AF39" s="2" t="s">
        <v>52</v>
      </c>
      <c r="AG39" s="2" t="s">
        <v>53</v>
      </c>
      <c r="AH39" s="2" t="str">
        <f aca="false">IF(AND(AG39="Completed",AF39&lt;&gt;"Paid"),"Inconsistent","OK")</f>
        <v>OK</v>
      </c>
      <c r="AI39" s="2" t="n">
        <f aca="false">IF(OR(ISBLANK(B39),ISBLANK(C39)),"",C39-B39)</f>
        <v>0</v>
      </c>
      <c r="AJ39" s="2" t="str">
        <f aca="false">IF(AI39="","Unknown",IF(AI39&lt;0,"Invalid","OK"))</f>
        <v>OK</v>
      </c>
      <c r="AK39" s="2" t="str">
        <f aca="false">IF(ISBLANK(B39),"",TEXT(B39,"mmm"))</f>
        <v>Jul</v>
      </c>
      <c r="AL39" s="2" t="n">
        <f aca="false">IF(ISBLANK(B39),"",YEAR(B39))</f>
        <v>2025</v>
      </c>
      <c r="AM39" s="2" t="s">
        <v>41</v>
      </c>
      <c r="AN39" s="2" t="str">
        <f aca="false">IF(OR(W39="Invalid",AJ39="Invalid",AH39="Inconsistent",Z39="Mismatch",AD39="Mismatch",AM39="Yes",D39="Yes",E39="Yes"),"Invalid",IF(OR(J39="Yes",Q39="Yes",U39="Yes"),"Warning","Clean"))</f>
        <v>Clean</v>
      </c>
    </row>
    <row r="40" customFormat="false" ht="15" hidden="false" customHeight="false" outlineLevel="0" collapsed="false">
      <c r="A40" s="2" t="s">
        <v>236</v>
      </c>
      <c r="B40" s="3" t="n">
        <v>45460</v>
      </c>
      <c r="C40" s="3" t="n">
        <v>45465</v>
      </c>
      <c r="D40" s="2" t="s">
        <v>41</v>
      </c>
      <c r="E40" s="2" t="s">
        <v>41</v>
      </c>
      <c r="F40" s="2" t="s">
        <v>237</v>
      </c>
      <c r="G40" s="2" t="s">
        <v>148</v>
      </c>
      <c r="H40" s="2" t="s">
        <v>110</v>
      </c>
      <c r="I40" s="2" t="s">
        <v>83</v>
      </c>
      <c r="J40" s="2" t="s">
        <v>41</v>
      </c>
      <c r="K40" s="2" t="s">
        <v>200</v>
      </c>
      <c r="L40" s="2" t="s">
        <v>201</v>
      </c>
      <c r="M40" s="2" t="s">
        <v>94</v>
      </c>
      <c r="N40" s="2" t="s">
        <v>191</v>
      </c>
      <c r="O40" s="2" t="s">
        <v>238</v>
      </c>
      <c r="P40" s="2" t="s">
        <v>70</v>
      </c>
      <c r="Q40" s="2" t="s">
        <v>41</v>
      </c>
      <c r="R40" s="2" t="n">
        <v>7</v>
      </c>
      <c r="S40" s="2" t="n">
        <v>2210.68</v>
      </c>
      <c r="T40" s="2" t="n">
        <v>0.1</v>
      </c>
      <c r="U40" s="2" t="str">
        <f aca="false">IF(ISBLANK(T40),"Yes","No")</f>
        <v>No</v>
      </c>
      <c r="V40" s="2" t="n">
        <f aca="false">IF(ISBLANK(T40),0,IF(ISNUMBER(T40),T40,VALUE(LEFT(T40,LEN(T40)-1))/100))</f>
        <v>0.1</v>
      </c>
      <c r="W40" s="2" t="str">
        <f aca="false">IF(AND(V40&gt;=0,V40&lt;=0.25),"Valid","Invalid")</f>
        <v>Valid</v>
      </c>
      <c r="X40" s="2" t="n">
        <v>13927.28</v>
      </c>
      <c r="Y40" s="2" t="n">
        <f aca="false">R40*S40*(1-V40)</f>
        <v>13927.284</v>
      </c>
      <c r="Z40" s="2" t="str">
        <f aca="false">IF(ABS(X40-Y40)&gt;1,"Mismatch","OK")</f>
        <v>OK</v>
      </c>
      <c r="AA40" s="2" t="n">
        <v>10504.87</v>
      </c>
      <c r="AB40" s="2" t="n">
        <v>3422.41</v>
      </c>
      <c r="AC40" s="2" t="n">
        <f aca="false">Y40-AA40</f>
        <v>3422.414</v>
      </c>
      <c r="AD40" s="2" t="str">
        <f aca="false">IF(ABS(AB40-AC40)&gt;1,"Mismatch","OK")</f>
        <v>OK</v>
      </c>
      <c r="AE40" s="4" t="n">
        <f aca="false">IF(Y40=0,0,AC40/Y40)</f>
        <v>0.245734487786707</v>
      </c>
      <c r="AF40" s="2" t="s">
        <v>52</v>
      </c>
      <c r="AG40" s="2" t="s">
        <v>53</v>
      </c>
      <c r="AH40" s="2" t="str">
        <f aca="false">IF(AND(AG40="Completed",AF40&lt;&gt;"Paid"),"Inconsistent","OK")</f>
        <v>OK</v>
      </c>
      <c r="AI40" s="2" t="n">
        <f aca="false">IF(OR(ISBLANK(B40),ISBLANK(C40)),"",C40-B40)</f>
        <v>5</v>
      </c>
      <c r="AJ40" s="2" t="str">
        <f aca="false">IF(AI40="","Unknown",IF(AI40&lt;0,"Invalid","OK"))</f>
        <v>OK</v>
      </c>
      <c r="AK40" s="2" t="str">
        <f aca="false">IF(ISBLANK(B40),"",TEXT(B40,"mmm"))</f>
        <v>Jun</v>
      </c>
      <c r="AL40" s="2" t="n">
        <f aca="false">IF(ISBLANK(B40),"",YEAR(B40))</f>
        <v>2024</v>
      </c>
      <c r="AM40" s="2" t="s">
        <v>41</v>
      </c>
      <c r="AN40" s="2" t="str">
        <f aca="false">IF(OR(W40="Invalid",AJ40="Invalid",AH40="Inconsistent",Z40="Mismatch",AD40="Mismatch",AM40="Yes",D40="Yes",E40="Yes"),"Invalid",IF(OR(J40="Yes",Q40="Yes",U40="Yes"),"Warning","Clean"))</f>
        <v>Clean</v>
      </c>
    </row>
    <row r="41" customFormat="false" ht="15" hidden="false" customHeight="false" outlineLevel="0" collapsed="false">
      <c r="A41" s="2" t="s">
        <v>239</v>
      </c>
      <c r="B41" s="3" t="n">
        <v>45637</v>
      </c>
      <c r="C41" s="3" t="n">
        <v>45637</v>
      </c>
      <c r="D41" s="2" t="s">
        <v>41</v>
      </c>
      <c r="E41" s="2" t="s">
        <v>41</v>
      </c>
      <c r="F41" s="2" t="s">
        <v>240</v>
      </c>
      <c r="G41" s="2" t="s">
        <v>56</v>
      </c>
      <c r="H41" s="2" t="s">
        <v>57</v>
      </c>
      <c r="I41" s="2" t="s">
        <v>83</v>
      </c>
      <c r="J41" s="2" t="s">
        <v>41</v>
      </c>
      <c r="K41" s="2" t="s">
        <v>92</v>
      </c>
      <c r="L41" s="2" t="s">
        <v>93</v>
      </c>
      <c r="M41" s="2" t="s">
        <v>94</v>
      </c>
      <c r="N41" s="2" t="s">
        <v>100</v>
      </c>
      <c r="O41" s="2" t="s">
        <v>241</v>
      </c>
      <c r="P41" s="2" t="s">
        <v>70</v>
      </c>
      <c r="Q41" s="2" t="s">
        <v>41</v>
      </c>
      <c r="R41" s="2" t="n">
        <v>4</v>
      </c>
      <c r="S41" s="2" t="n">
        <v>1370.92</v>
      </c>
      <c r="T41" s="2" t="n">
        <v>0.1</v>
      </c>
      <c r="U41" s="2" t="str">
        <f aca="false">IF(ISBLANK(T41),"Yes","No")</f>
        <v>No</v>
      </c>
      <c r="V41" s="2" t="n">
        <f aca="false">IF(ISBLANK(T41),0,IF(ISNUMBER(T41),T41,VALUE(LEFT(T41,LEN(T41)-1))/100))</f>
        <v>0.1</v>
      </c>
      <c r="W41" s="2" t="str">
        <f aca="false">IF(AND(V41&gt;=0,V41&lt;=0.25),"Valid","Invalid")</f>
        <v>Valid</v>
      </c>
      <c r="X41" s="2" t="n">
        <v>4935.31</v>
      </c>
      <c r="Y41" s="2" t="n">
        <f aca="false">R41*S41*(1-V41)</f>
        <v>4935.312</v>
      </c>
      <c r="Z41" s="2" t="str">
        <f aca="false">IF(ABS(X41-Y41)&gt;1,"Mismatch","OK")</f>
        <v>OK</v>
      </c>
      <c r="AA41" s="2" t="n">
        <v>3374.77</v>
      </c>
      <c r="AB41" s="2" t="n">
        <v>1560.54</v>
      </c>
      <c r="AC41" s="2" t="n">
        <f aca="false">Y41-AA41</f>
        <v>1560.542</v>
      </c>
      <c r="AD41" s="2" t="str">
        <f aca="false">IF(ABS(AB41-AC41)&gt;1,"Mismatch","OK")</f>
        <v>OK</v>
      </c>
      <c r="AE41" s="4" t="n">
        <f aca="false">IF(Y41=0,0,AC41/Y41)</f>
        <v>0.316199259540228</v>
      </c>
      <c r="AF41" s="2" t="s">
        <v>131</v>
      </c>
      <c r="AG41" s="2" t="s">
        <v>123</v>
      </c>
      <c r="AH41" s="2" t="str">
        <f aca="false">IF(AND(AG41="Completed",AF41&lt;&gt;"Paid"),"Inconsistent","OK")</f>
        <v>OK</v>
      </c>
      <c r="AI41" s="2" t="n">
        <f aca="false">IF(OR(ISBLANK(B41),ISBLANK(C41)),"",C41-B41)</f>
        <v>0</v>
      </c>
      <c r="AJ41" s="2" t="str">
        <f aca="false">IF(AI41="","Unknown",IF(AI41&lt;0,"Invalid","OK"))</f>
        <v>OK</v>
      </c>
      <c r="AK41" s="2" t="str">
        <f aca="false">IF(ISBLANK(B41),"",TEXT(B41,"mmm"))</f>
        <v>Dec</v>
      </c>
      <c r="AL41" s="2" t="n">
        <f aca="false">IF(ISBLANK(B41),"",YEAR(B41))</f>
        <v>2024</v>
      </c>
      <c r="AM41" s="2" t="s">
        <v>41</v>
      </c>
      <c r="AN41" s="2" t="str">
        <f aca="false">IF(OR(W41="Invalid",AJ41="Invalid",AH41="Inconsistent",Z41="Mismatch",AD41="Mismatch",AM41="Yes",D41="Yes",E41="Yes"),"Invalid",IF(OR(J41="Yes",Q41="Yes",U41="Yes"),"Warning","Clean"))</f>
        <v>Clean</v>
      </c>
    </row>
    <row r="42" customFormat="false" ht="15" hidden="false" customHeight="false" outlineLevel="0" collapsed="false">
      <c r="A42" s="2" t="s">
        <v>242</v>
      </c>
      <c r="B42" s="3" t="n">
        <v>45575</v>
      </c>
      <c r="C42" s="3" t="n">
        <v>45581</v>
      </c>
      <c r="D42" s="2" t="s">
        <v>41</v>
      </c>
      <c r="E42" s="2" t="s">
        <v>41</v>
      </c>
      <c r="F42" s="2" t="s">
        <v>243</v>
      </c>
      <c r="G42" s="2" t="s">
        <v>67</v>
      </c>
      <c r="H42" s="2" t="s">
        <v>115</v>
      </c>
      <c r="I42" s="2" t="s">
        <v>83</v>
      </c>
      <c r="J42" s="2" t="s">
        <v>41</v>
      </c>
      <c r="K42" s="2" t="s">
        <v>46</v>
      </c>
      <c r="L42" s="2" t="s">
        <v>129</v>
      </c>
      <c r="M42" s="2" t="s">
        <v>94</v>
      </c>
      <c r="N42" s="2" t="s">
        <v>100</v>
      </c>
      <c r="O42" s="2" t="s">
        <v>244</v>
      </c>
      <c r="P42" s="2" t="s">
        <v>79</v>
      </c>
      <c r="Q42" s="2" t="s">
        <v>41</v>
      </c>
      <c r="R42" s="2" t="n">
        <v>7</v>
      </c>
      <c r="S42" s="2" t="n">
        <v>2509.27</v>
      </c>
      <c r="T42" s="2" t="n">
        <v>0.2</v>
      </c>
      <c r="U42" s="2" t="str">
        <f aca="false">IF(ISBLANK(T42),"Yes","No")</f>
        <v>No</v>
      </c>
      <c r="V42" s="2" t="n">
        <f aca="false">IF(ISBLANK(T42),0,IF(ISNUMBER(T42),T42,VALUE(LEFT(T42,LEN(T42)-1))/100))</f>
        <v>0.2</v>
      </c>
      <c r="W42" s="2" t="str">
        <f aca="false">IF(AND(V42&gt;=0,V42&lt;=0.25),"Valid","Invalid")</f>
        <v>Valid</v>
      </c>
      <c r="X42" s="2" t="n">
        <v>14051.91</v>
      </c>
      <c r="Y42" s="2" t="n">
        <f aca="false">R42*S42*(1-V42)</f>
        <v>14051.912</v>
      </c>
      <c r="Z42" s="2" t="str">
        <f aca="false">IF(ABS(X42-Y42)&gt;1,"Mismatch","OK")</f>
        <v>OK</v>
      </c>
      <c r="AA42" s="2" t="n">
        <v>11990.37</v>
      </c>
      <c r="AB42" s="2" t="n">
        <v>2061.54</v>
      </c>
      <c r="AC42" s="2" t="n">
        <f aca="false">Y42-AA42</f>
        <v>2061.542</v>
      </c>
      <c r="AD42" s="2" t="str">
        <f aca="false">IF(ABS(AB42-AC42)&gt;1,"Mismatch","OK")</f>
        <v>OK</v>
      </c>
      <c r="AE42" s="4" t="n">
        <f aca="false">IF(Y42=0,0,AC42/Y42)</f>
        <v>0.146709003016814</v>
      </c>
      <c r="AF42" s="2" t="s">
        <v>52</v>
      </c>
      <c r="AG42" s="2" t="s">
        <v>53</v>
      </c>
      <c r="AH42" s="2" t="str">
        <f aca="false">IF(AND(AG42="Completed",AF42&lt;&gt;"Paid"),"Inconsistent","OK")</f>
        <v>OK</v>
      </c>
      <c r="AI42" s="2" t="n">
        <f aca="false">IF(OR(ISBLANK(B42),ISBLANK(C42)),"",C42-B42)</f>
        <v>6</v>
      </c>
      <c r="AJ42" s="2" t="str">
        <f aca="false">IF(AI42="","Unknown",IF(AI42&lt;0,"Invalid","OK"))</f>
        <v>OK</v>
      </c>
      <c r="AK42" s="2" t="str">
        <f aca="false">IF(ISBLANK(B42),"",TEXT(B42,"mmm"))</f>
        <v>Oct</v>
      </c>
      <c r="AL42" s="2" t="n">
        <f aca="false">IF(ISBLANK(B42),"",YEAR(B42))</f>
        <v>2024</v>
      </c>
      <c r="AM42" s="2" t="s">
        <v>41</v>
      </c>
      <c r="AN42" s="2" t="str">
        <f aca="false">IF(OR(W42="Invalid",AJ42="Invalid",AH42="Inconsistent",Z42="Mismatch",AD42="Mismatch",AM42="Yes",D42="Yes",E42="Yes"),"Invalid",IF(OR(J42="Yes",Q42="Yes",U42="Yes"),"Warning","Clean"))</f>
        <v>Clean</v>
      </c>
    </row>
    <row r="43" customFormat="false" ht="15" hidden="false" customHeight="false" outlineLevel="0" collapsed="false">
      <c r="A43" s="2" t="s">
        <v>245</v>
      </c>
      <c r="B43" s="3" t="n">
        <v>45363</v>
      </c>
      <c r="C43" s="3" t="n">
        <v>45368</v>
      </c>
      <c r="D43" s="2" t="s">
        <v>41</v>
      </c>
      <c r="E43" s="2" t="s">
        <v>41</v>
      </c>
      <c r="F43" s="2" t="s">
        <v>246</v>
      </c>
      <c r="G43" s="2" t="s">
        <v>148</v>
      </c>
      <c r="H43" s="2" t="s">
        <v>57</v>
      </c>
      <c r="I43" s="2" t="s">
        <v>58</v>
      </c>
      <c r="J43" s="2" t="s">
        <v>41</v>
      </c>
      <c r="K43" s="2" t="s">
        <v>59</v>
      </c>
      <c r="L43" s="2" t="s">
        <v>60</v>
      </c>
      <c r="M43" s="2" t="s">
        <v>61</v>
      </c>
      <c r="N43" s="2" t="s">
        <v>178</v>
      </c>
      <c r="O43" s="2" t="s">
        <v>247</v>
      </c>
      <c r="P43" s="2" t="s">
        <v>64</v>
      </c>
      <c r="Q43" s="2" t="s">
        <v>41</v>
      </c>
      <c r="R43" s="2" t="n">
        <v>8</v>
      </c>
      <c r="S43" s="2" t="n">
        <v>855.81</v>
      </c>
      <c r="T43" s="2" t="n">
        <v>0</v>
      </c>
      <c r="U43" s="2" t="str">
        <f aca="false">IF(ISBLANK(T43),"Yes","No")</f>
        <v>No</v>
      </c>
      <c r="V43" s="2" t="n">
        <f aca="false">IF(ISBLANK(T43),0,IF(ISNUMBER(T43),T43,VALUE(LEFT(T43,LEN(T43)-1))/100))</f>
        <v>0</v>
      </c>
      <c r="W43" s="2" t="str">
        <f aca="false">IF(AND(V43&gt;=0,V43&lt;=0.25),"Valid","Invalid")</f>
        <v>Valid</v>
      </c>
      <c r="X43" s="2" t="n">
        <v>6846.48</v>
      </c>
      <c r="Y43" s="2" t="n">
        <f aca="false">R43*S43*(1-V43)</f>
        <v>6846.48</v>
      </c>
      <c r="Z43" s="2" t="str">
        <f aca="false">IF(ABS(X43-Y43)&gt;1,"Mismatch","OK")</f>
        <v>OK</v>
      </c>
      <c r="AA43" s="2" t="n">
        <v>4239.89</v>
      </c>
      <c r="AB43" s="2" t="n">
        <v>2606.59</v>
      </c>
      <c r="AC43" s="2" t="n">
        <f aca="false">Y43-AA43</f>
        <v>2606.59</v>
      </c>
      <c r="AD43" s="2" t="str">
        <f aca="false">IF(ABS(AB43-AC43)&gt;1,"Mismatch","OK")</f>
        <v>OK</v>
      </c>
      <c r="AE43" s="4" t="n">
        <f aca="false">IF(Y43=0,0,AC43/Y43)</f>
        <v>0.380719727509611</v>
      </c>
      <c r="AF43" s="2" t="s">
        <v>131</v>
      </c>
      <c r="AG43" s="2" t="s">
        <v>88</v>
      </c>
      <c r="AH43" s="2" t="str">
        <f aca="false">IF(AND(AG43="Completed",AF43&lt;&gt;"Paid"),"Inconsistent","OK")</f>
        <v>OK</v>
      </c>
      <c r="AI43" s="2" t="n">
        <f aca="false">IF(OR(ISBLANK(B43),ISBLANK(C43)),"",C43-B43)</f>
        <v>5</v>
      </c>
      <c r="AJ43" s="2" t="str">
        <f aca="false">IF(AI43="","Unknown",IF(AI43&lt;0,"Invalid","OK"))</f>
        <v>OK</v>
      </c>
      <c r="AK43" s="2" t="str">
        <f aca="false">IF(ISBLANK(B43),"",TEXT(B43,"mmm"))</f>
        <v>Mar</v>
      </c>
      <c r="AL43" s="2" t="n">
        <f aca="false">IF(ISBLANK(B43),"",YEAR(B43))</f>
        <v>2024</v>
      </c>
      <c r="AM43" s="2" t="s">
        <v>41</v>
      </c>
      <c r="AN43" s="2" t="str">
        <f aca="false">IF(OR(W43="Invalid",AJ43="Invalid",AH43="Inconsistent",Z43="Mismatch",AD43="Mismatch",AM43="Yes",D43="Yes",E43="Yes"),"Invalid",IF(OR(J43="Yes",Q43="Yes",U43="Yes"),"Warning","Clean"))</f>
        <v>Clean</v>
      </c>
    </row>
    <row r="44" customFormat="false" ht="15" hidden="false" customHeight="false" outlineLevel="0" collapsed="false">
      <c r="A44" s="2" t="s">
        <v>248</v>
      </c>
      <c r="B44" s="3" t="n">
        <v>45940</v>
      </c>
      <c r="C44" s="3" t="n">
        <v>45945</v>
      </c>
      <c r="D44" s="2" t="s">
        <v>41</v>
      </c>
      <c r="E44" s="2" t="s">
        <v>41</v>
      </c>
      <c r="F44" s="2" t="s">
        <v>249</v>
      </c>
      <c r="G44" s="2" t="s">
        <v>73</v>
      </c>
      <c r="H44" s="2" t="s">
        <v>110</v>
      </c>
      <c r="I44" s="2" t="s">
        <v>58</v>
      </c>
      <c r="J44" s="2" t="s">
        <v>41</v>
      </c>
      <c r="K44" s="2" t="s">
        <v>250</v>
      </c>
      <c r="L44" s="2" t="s">
        <v>251</v>
      </c>
      <c r="M44" s="2" t="s">
        <v>94</v>
      </c>
      <c r="N44" s="2" t="s">
        <v>191</v>
      </c>
      <c r="O44" s="2" t="s">
        <v>252</v>
      </c>
      <c r="P44" s="2" t="s">
        <v>79</v>
      </c>
      <c r="Q44" s="2" t="s">
        <v>41</v>
      </c>
      <c r="R44" s="2" t="n">
        <v>8</v>
      </c>
      <c r="S44" s="2" t="n">
        <v>979.87</v>
      </c>
      <c r="T44" s="2" t="n">
        <v>0.05</v>
      </c>
      <c r="U44" s="2" t="str">
        <f aca="false">IF(ISBLANK(T44),"Yes","No")</f>
        <v>No</v>
      </c>
      <c r="V44" s="2" t="n">
        <f aca="false">IF(ISBLANK(T44),0,IF(ISNUMBER(T44),T44,VALUE(LEFT(T44,LEN(T44)-1))/100))</f>
        <v>0.05</v>
      </c>
      <c r="W44" s="2" t="str">
        <f aca="false">IF(AND(V44&gt;=0,V44&lt;=0.25),"Valid","Invalid")</f>
        <v>Valid</v>
      </c>
      <c r="X44" s="2" t="n">
        <v>7447.01</v>
      </c>
      <c r="Y44" s="2" t="n">
        <f aca="false">R44*S44*(1-V44)</f>
        <v>7447.012</v>
      </c>
      <c r="Z44" s="2" t="str">
        <f aca="false">IF(ABS(X44-Y44)&gt;1,"Mismatch","OK")</f>
        <v>OK</v>
      </c>
      <c r="AA44" s="2" t="n">
        <v>4496.22</v>
      </c>
      <c r="AB44" s="2" t="n">
        <v>2950.79</v>
      </c>
      <c r="AC44" s="2" t="n">
        <f aca="false">Y44-AA44</f>
        <v>2950.792</v>
      </c>
      <c r="AD44" s="2" t="str">
        <f aca="false">IF(ABS(AB44-AC44)&gt;1,"Mismatch","OK")</f>
        <v>OK</v>
      </c>
      <c r="AE44" s="4" t="n">
        <f aca="false">IF(Y44=0,0,AC44/Y44)</f>
        <v>0.396238383931703</v>
      </c>
      <c r="AF44" s="2" t="s">
        <v>52</v>
      </c>
      <c r="AG44" s="2" t="s">
        <v>53</v>
      </c>
      <c r="AH44" s="2" t="str">
        <f aca="false">IF(AND(AG44="Completed",AF44&lt;&gt;"Paid"),"Inconsistent","OK")</f>
        <v>OK</v>
      </c>
      <c r="AI44" s="2" t="n">
        <f aca="false">IF(OR(ISBLANK(B44),ISBLANK(C44)),"",C44-B44)</f>
        <v>5</v>
      </c>
      <c r="AJ44" s="2" t="str">
        <f aca="false">IF(AI44="","Unknown",IF(AI44&lt;0,"Invalid","OK"))</f>
        <v>OK</v>
      </c>
      <c r="AK44" s="2" t="str">
        <f aca="false">IF(ISBLANK(B44),"",TEXT(B44,"mmm"))</f>
        <v>Oct</v>
      </c>
      <c r="AL44" s="2" t="n">
        <f aca="false">IF(ISBLANK(B44),"",YEAR(B44))</f>
        <v>2025</v>
      </c>
      <c r="AM44" s="2" t="s">
        <v>41</v>
      </c>
      <c r="AN44" s="2" t="str">
        <f aca="false">IF(OR(W44="Invalid",AJ44="Invalid",AH44="Inconsistent",Z44="Mismatch",AD44="Mismatch",AM44="Yes",D44="Yes",E44="Yes"),"Invalid",IF(OR(J44="Yes",Q44="Yes",U44="Yes"),"Warning","Clean"))</f>
        <v>Clean</v>
      </c>
    </row>
    <row r="45" customFormat="false" ht="15" hidden="false" customHeight="false" outlineLevel="0" collapsed="false">
      <c r="A45" s="2" t="s">
        <v>253</v>
      </c>
      <c r="B45" s="3" t="n">
        <v>45481</v>
      </c>
      <c r="C45" s="3" t="n">
        <v>45487</v>
      </c>
      <c r="D45" s="2" t="s">
        <v>41</v>
      </c>
      <c r="E45" s="2" t="s">
        <v>41</v>
      </c>
      <c r="F45" s="2" t="s">
        <v>254</v>
      </c>
      <c r="G45" s="2" t="s">
        <v>134</v>
      </c>
      <c r="H45" s="2" t="s">
        <v>57</v>
      </c>
      <c r="I45" s="2" t="s">
        <v>58</v>
      </c>
      <c r="J45" s="2" t="s">
        <v>41</v>
      </c>
      <c r="K45" s="2" t="s">
        <v>59</v>
      </c>
      <c r="L45" s="2" t="s">
        <v>60</v>
      </c>
      <c r="M45" s="2" t="s">
        <v>61</v>
      </c>
      <c r="N45" s="2" t="s">
        <v>77</v>
      </c>
      <c r="O45" s="2" t="s">
        <v>255</v>
      </c>
      <c r="P45" s="2" t="s">
        <v>64</v>
      </c>
      <c r="Q45" s="2" t="s">
        <v>41</v>
      </c>
      <c r="R45" s="2" t="n">
        <v>3</v>
      </c>
      <c r="S45" s="2" t="n">
        <v>1010.23</v>
      </c>
      <c r="T45" s="2" t="n">
        <v>0</v>
      </c>
      <c r="U45" s="2" t="str">
        <f aca="false">IF(ISBLANK(T45),"Yes","No")</f>
        <v>No</v>
      </c>
      <c r="V45" s="2" t="n">
        <f aca="false">IF(ISBLANK(T45),0,IF(ISNUMBER(T45),T45,VALUE(LEFT(T45,LEN(T45)-1))/100))</f>
        <v>0</v>
      </c>
      <c r="W45" s="2" t="str">
        <f aca="false">IF(AND(V45&gt;=0,V45&lt;=0.25),"Valid","Invalid")</f>
        <v>Valid</v>
      </c>
      <c r="X45" s="2" t="n">
        <v>3030.69</v>
      </c>
      <c r="Y45" s="2" t="n">
        <f aca="false">R45*S45*(1-V45)</f>
        <v>3030.69</v>
      </c>
      <c r="Z45" s="2" t="str">
        <f aca="false">IF(ABS(X45-Y45)&gt;1,"Mismatch","OK")</f>
        <v>OK</v>
      </c>
      <c r="AA45" s="2" t="n">
        <v>1721.08</v>
      </c>
      <c r="AB45" s="2" t="n">
        <v>1309.61</v>
      </c>
      <c r="AC45" s="2" t="n">
        <f aca="false">Y45-AA45</f>
        <v>1309.61</v>
      </c>
      <c r="AD45" s="2" t="str">
        <f aca="false">IF(ABS(AB45-AC45)&gt;1,"Mismatch","OK")</f>
        <v>OK</v>
      </c>
      <c r="AE45" s="4" t="n">
        <f aca="false">IF(Y45=0,0,AC45/Y45)</f>
        <v>0.432116118771633</v>
      </c>
      <c r="AF45" s="2" t="s">
        <v>52</v>
      </c>
      <c r="AG45" s="2" t="s">
        <v>53</v>
      </c>
      <c r="AH45" s="2" t="str">
        <f aca="false">IF(AND(AG45="Completed",AF45&lt;&gt;"Paid"),"Inconsistent","OK")</f>
        <v>OK</v>
      </c>
      <c r="AI45" s="2" t="n">
        <f aca="false">IF(OR(ISBLANK(B45),ISBLANK(C45)),"",C45-B45)</f>
        <v>6</v>
      </c>
      <c r="AJ45" s="2" t="str">
        <f aca="false">IF(AI45="","Unknown",IF(AI45&lt;0,"Invalid","OK"))</f>
        <v>OK</v>
      </c>
      <c r="AK45" s="2" t="str">
        <f aca="false">IF(ISBLANK(B45),"",TEXT(B45,"mmm"))</f>
        <v>Jul</v>
      </c>
      <c r="AL45" s="2" t="n">
        <f aca="false">IF(ISBLANK(B45),"",YEAR(B45))</f>
        <v>2024</v>
      </c>
      <c r="AM45" s="2" t="s">
        <v>41</v>
      </c>
      <c r="AN45" s="2" t="str">
        <f aca="false">IF(OR(W45="Invalid",AJ45="Invalid",AH45="Inconsistent",Z45="Mismatch",AD45="Mismatch",AM45="Yes",D45="Yes",E45="Yes"),"Invalid",IF(OR(J45="Yes",Q45="Yes",U45="Yes"),"Warning","Clean"))</f>
        <v>Clean</v>
      </c>
    </row>
    <row r="46" customFormat="false" ht="15" hidden="false" customHeight="false" outlineLevel="0" collapsed="false">
      <c r="A46" s="2" t="s">
        <v>256</v>
      </c>
      <c r="B46" s="3" t="n">
        <v>45465</v>
      </c>
      <c r="C46" s="3" t="n">
        <v>45468</v>
      </c>
      <c r="D46" s="2" t="s">
        <v>41</v>
      </c>
      <c r="E46" s="2" t="s">
        <v>41</v>
      </c>
      <c r="F46" s="2" t="s">
        <v>257</v>
      </c>
      <c r="G46" s="2" t="s">
        <v>161</v>
      </c>
      <c r="H46" s="2" t="s">
        <v>57</v>
      </c>
      <c r="I46" s="2" t="s">
        <v>45</v>
      </c>
      <c r="J46" s="2" t="s">
        <v>41</v>
      </c>
      <c r="K46" s="2" t="s">
        <v>258</v>
      </c>
      <c r="L46" s="2" t="s">
        <v>259</v>
      </c>
      <c r="M46" s="2" t="s">
        <v>61</v>
      </c>
      <c r="N46" s="2" t="s">
        <v>86</v>
      </c>
      <c r="O46" s="2" t="s">
        <v>260</v>
      </c>
      <c r="P46" s="2" t="s">
        <v>79</v>
      </c>
      <c r="Q46" s="2" t="s">
        <v>41</v>
      </c>
      <c r="R46" s="2" t="n">
        <v>9</v>
      </c>
      <c r="S46" s="2" t="n">
        <v>3329.77</v>
      </c>
      <c r="T46" s="2" t="n">
        <v>0.1</v>
      </c>
      <c r="U46" s="2" t="str">
        <f aca="false">IF(ISBLANK(T46),"Yes","No")</f>
        <v>No</v>
      </c>
      <c r="V46" s="2" t="n">
        <f aca="false">IF(ISBLANK(T46),0,IF(ISNUMBER(T46),T46,VALUE(LEFT(T46,LEN(T46)-1))/100))</f>
        <v>0.1</v>
      </c>
      <c r="W46" s="2" t="str">
        <f aca="false">IF(AND(V46&gt;=0,V46&lt;=0.25),"Valid","Invalid")</f>
        <v>Valid</v>
      </c>
      <c r="X46" s="2" t="n">
        <v>26971.14</v>
      </c>
      <c r="Y46" s="2" t="n">
        <f aca="false">R46*S46*(1-V46)</f>
        <v>26971.137</v>
      </c>
      <c r="Z46" s="2" t="str">
        <f aca="false">IF(ABS(X46-Y46)&gt;1,"Mismatch","OK")</f>
        <v>OK</v>
      </c>
      <c r="AA46" s="2" t="n">
        <v>17376.2</v>
      </c>
      <c r="AB46" s="2" t="n">
        <v>9594.94</v>
      </c>
      <c r="AC46" s="2" t="n">
        <f aca="false">Y46-AA46</f>
        <v>9594.937</v>
      </c>
      <c r="AD46" s="2" t="str">
        <f aca="false">IF(ABS(AB46-AC46)&gt;1,"Mismatch","OK")</f>
        <v>OK</v>
      </c>
      <c r="AE46" s="4" t="n">
        <f aca="false">IF(Y46=0,0,AC46/Y46)</f>
        <v>0.355748332003949</v>
      </c>
      <c r="AF46" s="2" t="s">
        <v>52</v>
      </c>
      <c r="AG46" s="2" t="s">
        <v>53</v>
      </c>
      <c r="AH46" s="2" t="str">
        <f aca="false">IF(AND(AG46="Completed",AF46&lt;&gt;"Paid"),"Inconsistent","OK")</f>
        <v>OK</v>
      </c>
      <c r="AI46" s="2" t="n">
        <f aca="false">IF(OR(ISBLANK(B46),ISBLANK(C46)),"",C46-B46)</f>
        <v>3</v>
      </c>
      <c r="AJ46" s="2" t="str">
        <f aca="false">IF(AI46="","Unknown",IF(AI46&lt;0,"Invalid","OK"))</f>
        <v>OK</v>
      </c>
      <c r="AK46" s="2" t="str">
        <f aca="false">IF(ISBLANK(B46),"",TEXT(B46,"mmm"))</f>
        <v>Jun</v>
      </c>
      <c r="AL46" s="2" t="n">
        <f aca="false">IF(ISBLANK(B46),"",YEAR(B46))</f>
        <v>2024</v>
      </c>
      <c r="AM46" s="2" t="s">
        <v>41</v>
      </c>
      <c r="AN46" s="2" t="str">
        <f aca="false">IF(OR(W46="Invalid",AJ46="Invalid",AH46="Inconsistent",Z46="Mismatch",AD46="Mismatch",AM46="Yes",D46="Yes",E46="Yes"),"Invalid",IF(OR(J46="Yes",Q46="Yes",U46="Yes"),"Warning","Clean"))</f>
        <v>Clean</v>
      </c>
    </row>
    <row r="47" customFormat="false" ht="15" hidden="false" customHeight="false" outlineLevel="0" collapsed="false">
      <c r="A47" s="2" t="s">
        <v>261</v>
      </c>
      <c r="B47" s="3" t="n">
        <v>45309</v>
      </c>
      <c r="C47" s="3" t="n">
        <v>45315</v>
      </c>
      <c r="D47" s="2" t="s">
        <v>41</v>
      </c>
      <c r="E47" s="2" t="s">
        <v>41</v>
      </c>
      <c r="F47" s="2" t="s">
        <v>262</v>
      </c>
      <c r="G47" s="2" t="s">
        <v>67</v>
      </c>
      <c r="H47" s="2" t="s">
        <v>115</v>
      </c>
      <c r="I47" s="2" t="s">
        <v>58</v>
      </c>
      <c r="J47" s="2" t="s">
        <v>41</v>
      </c>
      <c r="K47" s="2" t="s">
        <v>165</v>
      </c>
      <c r="L47" s="2" t="s">
        <v>166</v>
      </c>
      <c r="M47" s="2" t="s">
        <v>48</v>
      </c>
      <c r="N47" s="2" t="s">
        <v>68</v>
      </c>
      <c r="O47" s="2" t="s">
        <v>263</v>
      </c>
      <c r="P47" s="2" t="s">
        <v>51</v>
      </c>
      <c r="Q47" s="2" t="s">
        <v>41</v>
      </c>
      <c r="R47" s="2" t="n">
        <v>8</v>
      </c>
      <c r="S47" s="2" t="n">
        <v>3927.82</v>
      </c>
      <c r="T47" s="2" t="n">
        <v>0.05</v>
      </c>
      <c r="U47" s="2" t="str">
        <f aca="false">IF(ISBLANK(T47),"Yes","No")</f>
        <v>No</v>
      </c>
      <c r="V47" s="2" t="n">
        <f aca="false">IF(ISBLANK(T47),0,IF(ISNUMBER(T47),T47,VALUE(LEFT(T47,LEN(T47)-1))/100))</f>
        <v>0.05</v>
      </c>
      <c r="W47" s="2" t="str">
        <f aca="false">IF(AND(V47&gt;=0,V47&lt;=0.25),"Valid","Invalid")</f>
        <v>Valid</v>
      </c>
      <c r="X47" s="2" t="n">
        <v>29851.43</v>
      </c>
      <c r="Y47" s="2" t="n">
        <f aca="false">R47*S47*(1-V47)</f>
        <v>29851.432</v>
      </c>
      <c r="Z47" s="2" t="str">
        <f aca="false">IF(ABS(X47-Y47)&gt;1,"Mismatch","OK")</f>
        <v>OK</v>
      </c>
      <c r="AA47" s="2" t="n">
        <v>17487.48</v>
      </c>
      <c r="AB47" s="2" t="n">
        <v>12363.95</v>
      </c>
      <c r="AC47" s="2" t="n">
        <f aca="false">Y47-AA47</f>
        <v>12363.952</v>
      </c>
      <c r="AD47" s="2" t="str">
        <f aca="false">IF(ABS(AB47-AC47)&gt;1,"Mismatch","OK")</f>
        <v>OK</v>
      </c>
      <c r="AE47" s="4" t="n">
        <f aca="false">IF(Y47=0,0,AC47/Y47)</f>
        <v>0.414182877390941</v>
      </c>
      <c r="AF47" s="2" t="s">
        <v>131</v>
      </c>
      <c r="AG47" s="2" t="s">
        <v>123</v>
      </c>
      <c r="AH47" s="2" t="str">
        <f aca="false">IF(AND(AG47="Completed",AF47&lt;&gt;"Paid"),"Inconsistent","OK")</f>
        <v>OK</v>
      </c>
      <c r="AI47" s="2" t="n">
        <f aca="false">IF(OR(ISBLANK(B47),ISBLANK(C47)),"",C47-B47)</f>
        <v>6</v>
      </c>
      <c r="AJ47" s="2" t="str">
        <f aca="false">IF(AI47="","Unknown",IF(AI47&lt;0,"Invalid","OK"))</f>
        <v>OK</v>
      </c>
      <c r="AK47" s="2" t="str">
        <f aca="false">IF(ISBLANK(B47),"",TEXT(B47,"mmm"))</f>
        <v>Jan</v>
      </c>
      <c r="AL47" s="2" t="n">
        <f aca="false">IF(ISBLANK(B47),"",YEAR(B47))</f>
        <v>2024</v>
      </c>
      <c r="AM47" s="2" t="s">
        <v>41</v>
      </c>
      <c r="AN47" s="2" t="str">
        <f aca="false">IF(OR(W47="Invalid",AJ47="Invalid",AH47="Inconsistent",Z47="Mismatch",AD47="Mismatch",AM47="Yes",D47="Yes",E47="Yes"),"Invalid",IF(OR(J47="Yes",Q47="Yes",U47="Yes"),"Warning","Clean"))</f>
        <v>Clean</v>
      </c>
    </row>
    <row r="48" customFormat="false" ht="15" hidden="false" customHeight="false" outlineLevel="0" collapsed="false">
      <c r="A48" s="2" t="s">
        <v>264</v>
      </c>
      <c r="B48" s="3" t="n">
        <v>45492</v>
      </c>
      <c r="C48" s="3" t="n">
        <v>45492</v>
      </c>
      <c r="D48" s="2" t="s">
        <v>41</v>
      </c>
      <c r="E48" s="2" t="s">
        <v>41</v>
      </c>
      <c r="F48" s="2" t="s">
        <v>265</v>
      </c>
      <c r="G48" s="2" t="s">
        <v>82</v>
      </c>
      <c r="H48" s="2" t="s">
        <v>57</v>
      </c>
      <c r="I48" s="2" t="s">
        <v>74</v>
      </c>
      <c r="J48" s="2" t="s">
        <v>41</v>
      </c>
      <c r="K48" s="2" t="s">
        <v>205</v>
      </c>
      <c r="L48" s="2" t="s">
        <v>206</v>
      </c>
      <c r="M48" s="2" t="s">
        <v>61</v>
      </c>
      <c r="N48" s="2" t="s">
        <v>178</v>
      </c>
      <c r="O48" s="2" t="s">
        <v>266</v>
      </c>
      <c r="P48" s="2" t="s">
        <v>79</v>
      </c>
      <c r="Q48" s="2" t="s">
        <v>41</v>
      </c>
      <c r="R48" s="2" t="n">
        <v>9</v>
      </c>
      <c r="S48" s="2" t="n">
        <v>2386.79</v>
      </c>
      <c r="T48" s="2" t="n">
        <v>0.25</v>
      </c>
      <c r="U48" s="2" t="str">
        <f aca="false">IF(ISBLANK(T48),"Yes","No")</f>
        <v>No</v>
      </c>
      <c r="V48" s="2" t="n">
        <f aca="false">IF(ISBLANK(T48),0,IF(ISNUMBER(T48),T48,VALUE(LEFT(T48,LEN(T48)-1))/100))</f>
        <v>0.25</v>
      </c>
      <c r="W48" s="2" t="str">
        <f aca="false">IF(AND(V48&gt;=0,V48&lt;=0.25),"Valid","Invalid")</f>
        <v>Valid</v>
      </c>
      <c r="X48" s="2" t="n">
        <v>16110.83</v>
      </c>
      <c r="Y48" s="2" t="n">
        <f aca="false">R48*S48*(1-V48)</f>
        <v>16110.8325</v>
      </c>
      <c r="Z48" s="2" t="str">
        <f aca="false">IF(ABS(X48-Y48)&gt;1,"Mismatch","OK")</f>
        <v>OK</v>
      </c>
      <c r="AA48" s="2" t="n">
        <v>10680.03</v>
      </c>
      <c r="AB48" s="2" t="n">
        <v>5430.8</v>
      </c>
      <c r="AC48" s="2" t="n">
        <f aca="false">Y48-AA48</f>
        <v>5430.8025</v>
      </c>
      <c r="AD48" s="2" t="str">
        <f aca="false">IF(ABS(AB48-AC48)&gt;1,"Mismatch","OK")</f>
        <v>OK</v>
      </c>
      <c r="AE48" s="4" t="n">
        <f aca="false">IF(Y48=0,0,AC48/Y48)</f>
        <v>0.337090122437807</v>
      </c>
      <c r="AF48" s="2" t="s">
        <v>122</v>
      </c>
      <c r="AG48" s="2" t="s">
        <v>123</v>
      </c>
      <c r="AH48" s="2" t="str">
        <f aca="false">IF(AND(AG48="Completed",AF48&lt;&gt;"Paid"),"Inconsistent","OK")</f>
        <v>OK</v>
      </c>
      <c r="AI48" s="2" t="n">
        <f aca="false">IF(OR(ISBLANK(B48),ISBLANK(C48)),"",C48-B48)</f>
        <v>0</v>
      </c>
      <c r="AJ48" s="2" t="str">
        <f aca="false">IF(AI48="","Unknown",IF(AI48&lt;0,"Invalid","OK"))</f>
        <v>OK</v>
      </c>
      <c r="AK48" s="2" t="str">
        <f aca="false">IF(ISBLANK(B48),"",TEXT(B48,"mmm"))</f>
        <v>Jul</v>
      </c>
      <c r="AL48" s="2" t="n">
        <f aca="false">IF(ISBLANK(B48),"",YEAR(B48))</f>
        <v>2024</v>
      </c>
      <c r="AM48" s="2" t="s">
        <v>41</v>
      </c>
      <c r="AN48" s="2" t="str">
        <f aca="false">IF(OR(W48="Invalid",AJ48="Invalid",AH48="Inconsistent",Z48="Mismatch",AD48="Mismatch",AM48="Yes",D48="Yes",E48="Yes"),"Invalid",IF(OR(J48="Yes",Q48="Yes",U48="Yes"),"Warning","Clean"))</f>
        <v>Clean</v>
      </c>
    </row>
    <row r="49" customFormat="false" ht="15" hidden="false" customHeight="false" outlineLevel="0" collapsed="false">
      <c r="A49" s="2" t="s">
        <v>267</v>
      </c>
      <c r="B49" s="3" t="n">
        <v>45516</v>
      </c>
      <c r="C49" s="3" t="n">
        <v>45516</v>
      </c>
      <c r="D49" s="2" t="s">
        <v>41</v>
      </c>
      <c r="E49" s="2" t="s">
        <v>41</v>
      </c>
      <c r="F49" s="2" t="s">
        <v>268</v>
      </c>
      <c r="G49" s="2" t="s">
        <v>138</v>
      </c>
      <c r="H49" s="2" t="s">
        <v>110</v>
      </c>
      <c r="I49" s="2" t="s">
        <v>74</v>
      </c>
      <c r="J49" s="2" t="s">
        <v>41</v>
      </c>
      <c r="K49" s="2" t="s">
        <v>269</v>
      </c>
      <c r="L49" s="2" t="s">
        <v>270</v>
      </c>
      <c r="M49" s="2" t="s">
        <v>48</v>
      </c>
      <c r="N49" s="2" t="s">
        <v>144</v>
      </c>
      <c r="O49" s="2" t="s">
        <v>271</v>
      </c>
      <c r="P49" s="2" t="s">
        <v>79</v>
      </c>
      <c r="Q49" s="2" t="s">
        <v>41</v>
      </c>
      <c r="R49" s="2" t="n">
        <v>8</v>
      </c>
      <c r="S49" s="2" t="n">
        <v>2445.31</v>
      </c>
      <c r="T49" s="2" t="n">
        <v>0.1</v>
      </c>
      <c r="U49" s="2" t="str">
        <f aca="false">IF(ISBLANK(T49),"Yes","No")</f>
        <v>No</v>
      </c>
      <c r="V49" s="2" t="n">
        <f aca="false">IF(ISBLANK(T49),0,IF(ISNUMBER(T49),T49,VALUE(LEFT(T49,LEN(T49)-1))/100))</f>
        <v>0.1</v>
      </c>
      <c r="W49" s="2" t="str">
        <f aca="false">IF(AND(V49&gt;=0,V49&lt;=0.25),"Valid","Invalid")</f>
        <v>Valid</v>
      </c>
      <c r="X49" s="2" t="n">
        <v>17606.23</v>
      </c>
      <c r="Y49" s="2" t="n">
        <f aca="false">R49*S49*(1-V49)</f>
        <v>17606.232</v>
      </c>
      <c r="Z49" s="2" t="str">
        <f aca="false">IF(ABS(X49-Y49)&gt;1,"Mismatch","OK")</f>
        <v>OK</v>
      </c>
      <c r="AA49" s="2" t="n">
        <v>12438.96</v>
      </c>
      <c r="AB49" s="2" t="n">
        <v>5167.27</v>
      </c>
      <c r="AC49" s="2" t="n">
        <f aca="false">Y49-AA49</f>
        <v>5167.272</v>
      </c>
      <c r="AD49" s="2" t="str">
        <f aca="false">IF(ABS(AB49-AC49)&gt;1,"Mismatch","OK")</f>
        <v>OK</v>
      </c>
      <c r="AE49" s="4" t="n">
        <f aca="false">IF(Y49=0,0,AC49/Y49)</f>
        <v>0.293491077477566</v>
      </c>
      <c r="AF49" s="2" t="s">
        <v>52</v>
      </c>
      <c r="AG49" s="2" t="s">
        <v>53</v>
      </c>
      <c r="AH49" s="2" t="str">
        <f aca="false">IF(AND(AG49="Completed",AF49&lt;&gt;"Paid"),"Inconsistent","OK")</f>
        <v>OK</v>
      </c>
      <c r="AI49" s="2" t="n">
        <f aca="false">IF(OR(ISBLANK(B49),ISBLANK(C49)),"",C49-B49)</f>
        <v>0</v>
      </c>
      <c r="AJ49" s="2" t="str">
        <f aca="false">IF(AI49="","Unknown",IF(AI49&lt;0,"Invalid","OK"))</f>
        <v>OK</v>
      </c>
      <c r="AK49" s="2" t="str">
        <f aca="false">IF(ISBLANK(B49),"",TEXT(B49,"mmm"))</f>
        <v>Aug</v>
      </c>
      <c r="AL49" s="2" t="n">
        <f aca="false">IF(ISBLANK(B49),"",YEAR(B49))</f>
        <v>2024</v>
      </c>
      <c r="AM49" s="2" t="s">
        <v>41</v>
      </c>
      <c r="AN49" s="2" t="str">
        <f aca="false">IF(OR(W49="Invalid",AJ49="Invalid",AH49="Inconsistent",Z49="Mismatch",AD49="Mismatch",AM49="Yes",D49="Yes",E49="Yes"),"Invalid",IF(OR(J49="Yes",Q49="Yes",U49="Yes"),"Warning","Clean"))</f>
        <v>Clean</v>
      </c>
    </row>
    <row r="50" customFormat="false" ht="15" hidden="false" customHeight="false" outlineLevel="0" collapsed="false">
      <c r="A50" s="2" t="s">
        <v>272</v>
      </c>
      <c r="B50" s="3" t="n">
        <v>45687</v>
      </c>
      <c r="C50" s="3" t="n">
        <v>45693</v>
      </c>
      <c r="D50" s="2" t="s">
        <v>41</v>
      </c>
      <c r="E50" s="2" t="s">
        <v>41</v>
      </c>
      <c r="F50" s="2" t="s">
        <v>273</v>
      </c>
      <c r="G50" s="2" t="s">
        <v>99</v>
      </c>
      <c r="H50" s="2" t="s">
        <v>110</v>
      </c>
      <c r="I50" s="2" t="s">
        <v>83</v>
      </c>
      <c r="J50" s="2" t="s">
        <v>41</v>
      </c>
      <c r="K50" s="2" t="s">
        <v>84</v>
      </c>
      <c r="L50" s="2" t="s">
        <v>85</v>
      </c>
      <c r="M50" s="2" t="s">
        <v>61</v>
      </c>
      <c r="N50" s="2" t="s">
        <v>86</v>
      </c>
      <c r="O50" s="2" t="s">
        <v>274</v>
      </c>
      <c r="P50" s="2" t="s">
        <v>51</v>
      </c>
      <c r="Q50" s="2" t="s">
        <v>41</v>
      </c>
      <c r="R50" s="2" t="n">
        <v>7</v>
      </c>
      <c r="S50" s="2" t="n">
        <v>4063.66</v>
      </c>
      <c r="T50" s="2" t="n">
        <v>0</v>
      </c>
      <c r="U50" s="2" t="str">
        <f aca="false">IF(ISBLANK(T50),"Yes","No")</f>
        <v>No</v>
      </c>
      <c r="V50" s="2" t="n">
        <f aca="false">IF(ISBLANK(T50),0,IF(ISNUMBER(T50),T50,VALUE(LEFT(T50,LEN(T50)-1))/100))</f>
        <v>0</v>
      </c>
      <c r="W50" s="2" t="str">
        <f aca="false">IF(AND(V50&gt;=0,V50&lt;=0.25),"Valid","Invalid")</f>
        <v>Valid</v>
      </c>
      <c r="X50" s="2" t="n">
        <v>28445.62</v>
      </c>
      <c r="Y50" s="2" t="n">
        <f aca="false">R50*S50*(1-V50)</f>
        <v>28445.62</v>
      </c>
      <c r="Z50" s="2" t="str">
        <f aca="false">IF(ABS(X50-Y50)&gt;1,"Mismatch","OK")</f>
        <v>OK</v>
      </c>
      <c r="AA50" s="2" t="n">
        <v>20938.59</v>
      </c>
      <c r="AB50" s="2" t="n">
        <v>7507.03</v>
      </c>
      <c r="AC50" s="2" t="n">
        <f aca="false">Y50-AA50</f>
        <v>7507.03</v>
      </c>
      <c r="AD50" s="2" t="str">
        <f aca="false">IF(ABS(AB50-AC50)&gt;1,"Mismatch","OK")</f>
        <v>OK</v>
      </c>
      <c r="AE50" s="4" t="n">
        <f aca="false">IF(Y50=0,0,AC50/Y50)</f>
        <v>0.263908116609868</v>
      </c>
      <c r="AF50" s="2" t="s">
        <v>52</v>
      </c>
      <c r="AG50" s="2" t="s">
        <v>53</v>
      </c>
      <c r="AH50" s="2" t="str">
        <f aca="false">IF(AND(AG50="Completed",AF50&lt;&gt;"Paid"),"Inconsistent","OK")</f>
        <v>OK</v>
      </c>
      <c r="AI50" s="2" t="n">
        <f aca="false">IF(OR(ISBLANK(B50),ISBLANK(C50)),"",C50-B50)</f>
        <v>6</v>
      </c>
      <c r="AJ50" s="2" t="str">
        <f aca="false">IF(AI50="","Unknown",IF(AI50&lt;0,"Invalid","OK"))</f>
        <v>OK</v>
      </c>
      <c r="AK50" s="2" t="str">
        <f aca="false">IF(ISBLANK(B50),"",TEXT(B50,"mmm"))</f>
        <v>Jan</v>
      </c>
      <c r="AL50" s="2" t="n">
        <f aca="false">IF(ISBLANK(B50),"",YEAR(B50))</f>
        <v>2025</v>
      </c>
      <c r="AM50" s="2" t="s">
        <v>41</v>
      </c>
      <c r="AN50" s="2" t="str">
        <f aca="false">IF(OR(W50="Invalid",AJ50="Invalid",AH50="Inconsistent",Z50="Mismatch",AD50="Mismatch",AM50="Yes",D50="Yes",E50="Yes"),"Invalid",IF(OR(J50="Yes",Q50="Yes",U50="Yes"),"Warning","Clean"))</f>
        <v>Clean</v>
      </c>
    </row>
    <row r="51" customFormat="false" ht="15" hidden="false" customHeight="false" outlineLevel="0" collapsed="false">
      <c r="A51" s="2" t="s">
        <v>275</v>
      </c>
      <c r="B51" s="3" t="n">
        <v>45388</v>
      </c>
      <c r="C51" s="3" t="n">
        <v>45395</v>
      </c>
      <c r="D51" s="2" t="s">
        <v>41</v>
      </c>
      <c r="E51" s="2" t="s">
        <v>41</v>
      </c>
      <c r="F51" s="2" t="s">
        <v>276</v>
      </c>
      <c r="G51" s="2" t="s">
        <v>148</v>
      </c>
      <c r="H51" s="2" t="s">
        <v>115</v>
      </c>
      <c r="I51" s="2" t="s">
        <v>45</v>
      </c>
      <c r="J51" s="2" t="s">
        <v>41</v>
      </c>
      <c r="K51" s="2" t="s">
        <v>156</v>
      </c>
      <c r="L51" s="2" t="s">
        <v>157</v>
      </c>
      <c r="M51" s="2" t="s">
        <v>94</v>
      </c>
      <c r="N51" s="2" t="s">
        <v>100</v>
      </c>
      <c r="O51" s="2" t="s">
        <v>277</v>
      </c>
      <c r="P51" s="2" t="s">
        <v>51</v>
      </c>
      <c r="Q51" s="2" t="s">
        <v>41</v>
      </c>
      <c r="R51" s="2" t="n">
        <v>9</v>
      </c>
      <c r="S51" s="2" t="n">
        <v>792.11</v>
      </c>
      <c r="T51" s="2" t="n">
        <v>0.05</v>
      </c>
      <c r="U51" s="2" t="str">
        <f aca="false">IF(ISBLANK(T51),"Yes","No")</f>
        <v>No</v>
      </c>
      <c r="V51" s="2" t="n">
        <f aca="false">IF(ISBLANK(T51),0,IF(ISNUMBER(T51),T51,VALUE(LEFT(T51,LEN(T51)-1))/100))</f>
        <v>0.05</v>
      </c>
      <c r="W51" s="2" t="str">
        <f aca="false">IF(AND(V51&gt;=0,V51&lt;=0.25),"Valid","Invalid")</f>
        <v>Valid</v>
      </c>
      <c r="X51" s="2" t="n">
        <v>6772.54</v>
      </c>
      <c r="Y51" s="2" t="n">
        <f aca="false">R51*S51*(1-V51)</f>
        <v>6772.5405</v>
      </c>
      <c r="Z51" s="2" t="str">
        <f aca="false">IF(ABS(X51-Y51)&gt;1,"Mismatch","OK")</f>
        <v>OK</v>
      </c>
      <c r="AA51" s="2" t="n">
        <v>5755.46</v>
      </c>
      <c r="AB51" s="2" t="n">
        <v>1017.08</v>
      </c>
      <c r="AC51" s="2" t="n">
        <f aca="false">Y51-AA51</f>
        <v>1017.0805</v>
      </c>
      <c r="AD51" s="2" t="str">
        <f aca="false">IF(ABS(AB51-AC51)&gt;1,"Mismatch","OK")</f>
        <v>OK</v>
      </c>
      <c r="AE51" s="4" t="n">
        <f aca="false">IF(Y51=0,0,AC51/Y51)</f>
        <v>0.150177101192676</v>
      </c>
      <c r="AF51" s="2" t="s">
        <v>52</v>
      </c>
      <c r="AG51" s="2" t="s">
        <v>53</v>
      </c>
      <c r="AH51" s="2" t="str">
        <f aca="false">IF(AND(AG51="Completed",AF51&lt;&gt;"Paid"),"Inconsistent","OK")</f>
        <v>OK</v>
      </c>
      <c r="AI51" s="2" t="n">
        <f aca="false">IF(OR(ISBLANK(B51),ISBLANK(C51)),"",C51-B51)</f>
        <v>7</v>
      </c>
      <c r="AJ51" s="2" t="str">
        <f aca="false">IF(AI51="","Unknown",IF(AI51&lt;0,"Invalid","OK"))</f>
        <v>OK</v>
      </c>
      <c r="AK51" s="2" t="str">
        <f aca="false">IF(ISBLANK(B51),"",TEXT(B51,"mmm"))</f>
        <v>Apr</v>
      </c>
      <c r="AL51" s="2" t="n">
        <f aca="false">IF(ISBLANK(B51),"",YEAR(B51))</f>
        <v>2024</v>
      </c>
      <c r="AM51" s="2" t="s">
        <v>41</v>
      </c>
      <c r="AN51" s="2" t="str">
        <f aca="false">IF(OR(W51="Invalid",AJ51="Invalid",AH51="Inconsistent",Z51="Mismatch",AD51="Mismatch",AM51="Yes",D51="Yes",E51="Yes"),"Invalid",IF(OR(J51="Yes",Q51="Yes",U51="Yes"),"Warning","Clean"))</f>
        <v>Clean</v>
      </c>
    </row>
    <row r="52" customFormat="false" ht="15" hidden="false" customHeight="false" outlineLevel="0" collapsed="false">
      <c r="A52" s="2" t="s">
        <v>278</v>
      </c>
      <c r="B52" s="3" t="n">
        <v>45788</v>
      </c>
      <c r="C52" s="3" t="n">
        <v>45796</v>
      </c>
      <c r="D52" s="2" t="s">
        <v>41</v>
      </c>
      <c r="E52" s="2" t="s">
        <v>41</v>
      </c>
      <c r="F52" s="2" t="s">
        <v>279</v>
      </c>
      <c r="G52" s="2" t="s">
        <v>152</v>
      </c>
      <c r="H52" s="2" t="s">
        <v>44</v>
      </c>
      <c r="I52" s="2" t="s">
        <v>58</v>
      </c>
      <c r="J52" s="2" t="s">
        <v>41</v>
      </c>
      <c r="K52" s="2" t="s">
        <v>119</v>
      </c>
      <c r="L52" s="2" t="s">
        <v>120</v>
      </c>
      <c r="M52" s="2" t="s">
        <v>94</v>
      </c>
      <c r="N52" s="2" t="s">
        <v>100</v>
      </c>
      <c r="O52" s="2" t="s">
        <v>280</v>
      </c>
      <c r="P52" s="2" t="s">
        <v>79</v>
      </c>
      <c r="Q52" s="2" t="s">
        <v>41</v>
      </c>
      <c r="R52" s="2" t="n">
        <v>1</v>
      </c>
      <c r="S52" s="2" t="n">
        <v>2382.8</v>
      </c>
      <c r="T52" s="2" t="n">
        <v>0.15</v>
      </c>
      <c r="U52" s="2" t="str">
        <f aca="false">IF(ISBLANK(T52),"Yes","No")</f>
        <v>No</v>
      </c>
      <c r="V52" s="2" t="n">
        <f aca="false">IF(ISBLANK(T52),0,IF(ISNUMBER(T52),T52,VALUE(LEFT(T52,LEN(T52)-1))/100))</f>
        <v>0.15</v>
      </c>
      <c r="W52" s="2" t="str">
        <f aca="false">IF(AND(V52&gt;=0,V52&lt;=0.25),"Valid","Invalid")</f>
        <v>Valid</v>
      </c>
      <c r="X52" s="2" t="n">
        <v>2025.38</v>
      </c>
      <c r="Y52" s="2" t="n">
        <f aca="false">R52*S52*(1-V52)</f>
        <v>2025.38</v>
      </c>
      <c r="Z52" s="2" t="str">
        <f aca="false">IF(ABS(X52-Y52)&gt;1,"Mismatch","OK")</f>
        <v>OK</v>
      </c>
      <c r="AA52" s="2" t="n">
        <v>1140.65</v>
      </c>
      <c r="AB52" s="2" t="n">
        <v>884.73</v>
      </c>
      <c r="AC52" s="2" t="n">
        <f aca="false">Y52-AA52</f>
        <v>884.73</v>
      </c>
      <c r="AD52" s="2" t="str">
        <f aca="false">IF(ABS(AB52-AC52)&gt;1,"Mismatch","OK")</f>
        <v>OK</v>
      </c>
      <c r="AE52" s="4" t="n">
        <f aca="false">IF(Y52=0,0,AC52/Y52)</f>
        <v>0.436821732218152</v>
      </c>
      <c r="AF52" s="2" t="s">
        <v>52</v>
      </c>
      <c r="AG52" s="2" t="s">
        <v>53</v>
      </c>
      <c r="AH52" s="2" t="str">
        <f aca="false">IF(AND(AG52="Completed",AF52&lt;&gt;"Paid"),"Inconsistent","OK")</f>
        <v>OK</v>
      </c>
      <c r="AI52" s="2" t="n">
        <f aca="false">IF(OR(ISBLANK(B52),ISBLANK(C52)),"",C52-B52)</f>
        <v>8</v>
      </c>
      <c r="AJ52" s="2" t="str">
        <f aca="false">IF(AI52="","Unknown",IF(AI52&lt;0,"Invalid","OK"))</f>
        <v>OK</v>
      </c>
      <c r="AK52" s="2" t="str">
        <f aca="false">IF(ISBLANK(B52),"",TEXT(B52,"mmm"))</f>
        <v>May</v>
      </c>
      <c r="AL52" s="2" t="n">
        <f aca="false">IF(ISBLANK(B52),"",YEAR(B52))</f>
        <v>2025</v>
      </c>
      <c r="AM52" s="2" t="s">
        <v>41</v>
      </c>
      <c r="AN52" s="2" t="str">
        <f aca="false">IF(OR(W52="Invalid",AJ52="Invalid",AH52="Inconsistent",Z52="Mismatch",AD52="Mismatch",AM52="Yes",D52="Yes",E52="Yes"),"Invalid",IF(OR(J52="Yes",Q52="Yes",U52="Yes"),"Warning","Clean"))</f>
        <v>Clean</v>
      </c>
    </row>
    <row r="53" customFormat="false" ht="15" hidden="false" customHeight="false" outlineLevel="0" collapsed="false">
      <c r="A53" s="2" t="s">
        <v>281</v>
      </c>
      <c r="B53" s="3" t="n">
        <v>45406</v>
      </c>
      <c r="C53" s="3" t="n">
        <v>45411</v>
      </c>
      <c r="D53" s="2" t="s">
        <v>41</v>
      </c>
      <c r="E53" s="2" t="s">
        <v>41</v>
      </c>
      <c r="F53" s="2" t="s">
        <v>282</v>
      </c>
      <c r="G53" s="2" t="s">
        <v>82</v>
      </c>
      <c r="H53" s="2" t="s">
        <v>110</v>
      </c>
      <c r="I53" s="2" t="s">
        <v>74</v>
      </c>
      <c r="J53" s="2" t="s">
        <v>41</v>
      </c>
      <c r="K53" s="2" t="s">
        <v>75</v>
      </c>
      <c r="L53" s="2" t="s">
        <v>76</v>
      </c>
      <c r="M53" s="2" t="s">
        <v>48</v>
      </c>
      <c r="N53" s="2" t="s">
        <v>68</v>
      </c>
      <c r="O53" s="2" t="s">
        <v>283</v>
      </c>
      <c r="P53" s="2" t="s">
        <v>79</v>
      </c>
      <c r="Q53" s="2" t="s">
        <v>41</v>
      </c>
      <c r="R53" s="2" t="n">
        <v>6</v>
      </c>
      <c r="S53" s="2" t="n">
        <v>1528.08</v>
      </c>
      <c r="T53" s="2" t="n">
        <v>0</v>
      </c>
      <c r="U53" s="2" t="str">
        <f aca="false">IF(ISBLANK(T53),"Yes","No")</f>
        <v>No</v>
      </c>
      <c r="V53" s="2" t="n">
        <f aca="false">IF(ISBLANK(T53),0,IF(ISNUMBER(T53),T53,VALUE(LEFT(T53,LEN(T53)-1))/100))</f>
        <v>0</v>
      </c>
      <c r="W53" s="2" t="str">
        <f aca="false">IF(AND(V53&gt;=0,V53&lt;=0.25),"Valid","Invalid")</f>
        <v>Valid</v>
      </c>
      <c r="X53" s="2" t="n">
        <v>9168.48</v>
      </c>
      <c r="Y53" s="2" t="n">
        <f aca="false">R53*S53*(1-V53)</f>
        <v>9168.48</v>
      </c>
      <c r="Z53" s="2" t="str">
        <f aca="false">IF(ABS(X53-Y53)&gt;1,"Mismatch","OK")</f>
        <v>OK</v>
      </c>
      <c r="AA53" s="2" t="n">
        <v>7439.77</v>
      </c>
      <c r="AB53" s="2" t="n">
        <v>1728.71</v>
      </c>
      <c r="AC53" s="2" t="n">
        <f aca="false">Y53-AA53</f>
        <v>1728.71</v>
      </c>
      <c r="AD53" s="2" t="str">
        <f aca="false">IF(ABS(AB53-AC53)&gt;1,"Mismatch","OK")</f>
        <v>OK</v>
      </c>
      <c r="AE53" s="4" t="n">
        <f aca="false">IF(Y53=0,0,AC53/Y53)</f>
        <v>0.188549246985324</v>
      </c>
      <c r="AF53" s="2" t="s">
        <v>52</v>
      </c>
      <c r="AG53" s="2" t="s">
        <v>53</v>
      </c>
      <c r="AH53" s="2" t="str">
        <f aca="false">IF(AND(AG53="Completed",AF53&lt;&gt;"Paid"),"Inconsistent","OK")</f>
        <v>OK</v>
      </c>
      <c r="AI53" s="2" t="n">
        <f aca="false">IF(OR(ISBLANK(B53),ISBLANK(C53)),"",C53-B53)</f>
        <v>5</v>
      </c>
      <c r="AJ53" s="2" t="str">
        <f aca="false">IF(AI53="","Unknown",IF(AI53&lt;0,"Invalid","OK"))</f>
        <v>OK</v>
      </c>
      <c r="AK53" s="2" t="str">
        <f aca="false">IF(ISBLANK(B53),"",TEXT(B53,"mmm"))</f>
        <v>Apr</v>
      </c>
      <c r="AL53" s="2" t="n">
        <f aca="false">IF(ISBLANK(B53),"",YEAR(B53))</f>
        <v>2024</v>
      </c>
      <c r="AM53" s="2" t="s">
        <v>41</v>
      </c>
      <c r="AN53" s="2" t="str">
        <f aca="false">IF(OR(W53="Invalid",AJ53="Invalid",AH53="Inconsistent",Z53="Mismatch",AD53="Mismatch",AM53="Yes",D53="Yes",E53="Yes"),"Invalid",IF(OR(J53="Yes",Q53="Yes",U53="Yes"),"Warning","Clean"))</f>
        <v>Clean</v>
      </c>
    </row>
    <row r="54" customFormat="false" ht="15" hidden="false" customHeight="false" outlineLevel="0" collapsed="false">
      <c r="A54" s="2" t="s">
        <v>284</v>
      </c>
      <c r="B54" s="3" t="n">
        <v>45591</v>
      </c>
      <c r="C54" s="3" t="n">
        <v>45593</v>
      </c>
      <c r="D54" s="2" t="s">
        <v>41</v>
      </c>
      <c r="E54" s="2" t="s">
        <v>41</v>
      </c>
      <c r="F54" s="2" t="s">
        <v>285</v>
      </c>
      <c r="G54" s="2" t="s">
        <v>286</v>
      </c>
      <c r="H54" s="2" t="s">
        <v>57</v>
      </c>
      <c r="I54" s="2" t="s">
        <v>45</v>
      </c>
      <c r="J54" s="2" t="s">
        <v>41</v>
      </c>
      <c r="K54" s="2" t="s">
        <v>46</v>
      </c>
      <c r="L54" s="2" t="s">
        <v>47</v>
      </c>
      <c r="M54" s="2" t="s">
        <v>61</v>
      </c>
      <c r="N54" s="2" t="s">
        <v>86</v>
      </c>
      <c r="O54" s="2" t="s">
        <v>287</v>
      </c>
      <c r="P54" s="2" t="s">
        <v>70</v>
      </c>
      <c r="Q54" s="2" t="s">
        <v>41</v>
      </c>
      <c r="R54" s="2" t="n">
        <v>9</v>
      </c>
      <c r="S54" s="2" t="n">
        <v>1399.63</v>
      </c>
      <c r="T54" s="2" t="n">
        <v>0</v>
      </c>
      <c r="U54" s="2" t="str">
        <f aca="false">IF(ISBLANK(T54),"Yes","No")</f>
        <v>No</v>
      </c>
      <c r="V54" s="2" t="n">
        <f aca="false">IF(ISBLANK(T54),0,IF(ISNUMBER(T54),T54,VALUE(LEFT(T54,LEN(T54)-1))/100))</f>
        <v>0</v>
      </c>
      <c r="W54" s="2" t="str">
        <f aca="false">IF(AND(V54&gt;=0,V54&lt;=0.25),"Valid","Invalid")</f>
        <v>Valid</v>
      </c>
      <c r="X54" s="2" t="n">
        <v>12596.67</v>
      </c>
      <c r="Y54" s="2" t="n">
        <f aca="false">R54*S54*(1-V54)</f>
        <v>12596.67</v>
      </c>
      <c r="Z54" s="2" t="str">
        <f aca="false">IF(ABS(X54-Y54)&gt;1,"Mismatch","OK")</f>
        <v>OK</v>
      </c>
      <c r="AA54" s="2" t="n">
        <v>10603.29</v>
      </c>
      <c r="AB54" s="2" t="n">
        <v>1993.38</v>
      </c>
      <c r="AC54" s="2" t="n">
        <f aca="false">Y54-AA54</f>
        <v>1993.38</v>
      </c>
      <c r="AD54" s="2" t="str">
        <f aca="false">IF(ABS(AB54-AC54)&gt;1,"Mismatch","OK")</f>
        <v>OK</v>
      </c>
      <c r="AE54" s="4" t="n">
        <f aca="false">IF(Y54=0,0,AC54/Y54)</f>
        <v>0.158246584216305</v>
      </c>
      <c r="AF54" s="2" t="s">
        <v>175</v>
      </c>
      <c r="AG54" s="2" t="s">
        <v>88</v>
      </c>
      <c r="AH54" s="2" t="str">
        <f aca="false">IF(AND(AG54="Completed",AF54&lt;&gt;"Paid"),"Inconsistent","OK")</f>
        <v>OK</v>
      </c>
      <c r="AI54" s="2" t="n">
        <f aca="false">IF(OR(ISBLANK(B54),ISBLANK(C54)),"",C54-B54)</f>
        <v>2</v>
      </c>
      <c r="AJ54" s="2" t="str">
        <f aca="false">IF(AI54="","Unknown",IF(AI54&lt;0,"Invalid","OK"))</f>
        <v>OK</v>
      </c>
      <c r="AK54" s="2" t="str">
        <f aca="false">IF(ISBLANK(B54),"",TEXT(B54,"mmm"))</f>
        <v>Oct</v>
      </c>
      <c r="AL54" s="2" t="n">
        <f aca="false">IF(ISBLANK(B54),"",YEAR(B54))</f>
        <v>2024</v>
      </c>
      <c r="AM54" s="2" t="s">
        <v>41</v>
      </c>
      <c r="AN54" s="2" t="str">
        <f aca="false">IF(OR(W54="Invalid",AJ54="Invalid",AH54="Inconsistent",Z54="Mismatch",AD54="Mismatch",AM54="Yes",D54="Yes",E54="Yes"),"Invalid",IF(OR(J54="Yes",Q54="Yes",U54="Yes"),"Warning","Clean"))</f>
        <v>Clean</v>
      </c>
    </row>
    <row r="55" customFormat="false" ht="15" hidden="false" customHeight="false" outlineLevel="0" collapsed="false">
      <c r="A55" s="2" t="s">
        <v>288</v>
      </c>
      <c r="B55" s="3" t="n">
        <v>45747</v>
      </c>
      <c r="C55" s="3" t="n">
        <v>45747</v>
      </c>
      <c r="D55" s="2" t="s">
        <v>41</v>
      </c>
      <c r="E55" s="2" t="s">
        <v>41</v>
      </c>
      <c r="F55" s="2" t="s">
        <v>289</v>
      </c>
      <c r="G55" s="2" t="s">
        <v>286</v>
      </c>
      <c r="H55" s="2" t="s">
        <v>115</v>
      </c>
      <c r="I55" s="2" t="s">
        <v>83</v>
      </c>
      <c r="J55" s="2" t="s">
        <v>41</v>
      </c>
      <c r="K55" s="2" t="s">
        <v>200</v>
      </c>
      <c r="L55" s="2" t="s">
        <v>201</v>
      </c>
      <c r="M55" s="2" t="s">
        <v>48</v>
      </c>
      <c r="N55" s="2" t="s">
        <v>144</v>
      </c>
      <c r="O55" s="2" t="s">
        <v>290</v>
      </c>
      <c r="P55" s="2" t="s">
        <v>70</v>
      </c>
      <c r="Q55" s="2" t="s">
        <v>41</v>
      </c>
      <c r="R55" s="2" t="n">
        <v>5</v>
      </c>
      <c r="S55" s="2" t="n">
        <v>1207.47</v>
      </c>
      <c r="T55" s="2" t="n">
        <v>0.15</v>
      </c>
      <c r="U55" s="2" t="str">
        <f aca="false">IF(ISBLANK(T55),"Yes","No")</f>
        <v>No</v>
      </c>
      <c r="V55" s="2" t="n">
        <f aca="false">IF(ISBLANK(T55),0,IF(ISNUMBER(T55),T55,VALUE(LEFT(T55,LEN(T55)-1))/100))</f>
        <v>0.15</v>
      </c>
      <c r="W55" s="2" t="str">
        <f aca="false">IF(AND(V55&gt;=0,V55&lt;=0.25),"Valid","Invalid")</f>
        <v>Valid</v>
      </c>
      <c r="X55" s="2" t="n">
        <v>5131.75</v>
      </c>
      <c r="Y55" s="2" t="n">
        <f aca="false">R55*S55*(1-V55)</f>
        <v>5131.7475</v>
      </c>
      <c r="Z55" s="2" t="str">
        <f aca="false">IF(ABS(X55-Y55)&gt;1,"Mismatch","OK")</f>
        <v>OK</v>
      </c>
      <c r="AA55" s="2" t="n">
        <v>2838.68</v>
      </c>
      <c r="AB55" s="2" t="n">
        <v>2293.07</v>
      </c>
      <c r="AC55" s="2" t="n">
        <f aca="false">Y55-AA55</f>
        <v>2293.0675</v>
      </c>
      <c r="AD55" s="2" t="str">
        <f aca="false">IF(ABS(AB55-AC55)&gt;1,"Mismatch","OK")</f>
        <v>OK</v>
      </c>
      <c r="AE55" s="4" t="n">
        <f aca="false">IF(Y55=0,0,AC55/Y55)</f>
        <v>0.446839502528135</v>
      </c>
      <c r="AF55" s="2" t="s">
        <v>52</v>
      </c>
      <c r="AG55" s="2" t="s">
        <v>53</v>
      </c>
      <c r="AH55" s="2" t="str">
        <f aca="false">IF(AND(AG55="Completed",AF55&lt;&gt;"Paid"),"Inconsistent","OK")</f>
        <v>OK</v>
      </c>
      <c r="AI55" s="2" t="n">
        <f aca="false">IF(OR(ISBLANK(B55),ISBLANK(C55)),"",C55-B55)</f>
        <v>0</v>
      </c>
      <c r="AJ55" s="2" t="str">
        <f aca="false">IF(AI55="","Unknown",IF(AI55&lt;0,"Invalid","OK"))</f>
        <v>OK</v>
      </c>
      <c r="AK55" s="2" t="str">
        <f aca="false">IF(ISBLANK(B55),"",TEXT(B55,"mmm"))</f>
        <v>Mar</v>
      </c>
      <c r="AL55" s="2" t="n">
        <f aca="false">IF(ISBLANK(B55),"",YEAR(B55))</f>
        <v>2025</v>
      </c>
      <c r="AM55" s="2" t="s">
        <v>41</v>
      </c>
      <c r="AN55" s="2" t="str">
        <f aca="false">IF(OR(W55="Invalid",AJ55="Invalid",AH55="Inconsistent",Z55="Mismatch",AD55="Mismatch",AM55="Yes",D55="Yes",E55="Yes"),"Invalid",IF(OR(J55="Yes",Q55="Yes",U55="Yes"),"Warning","Clean"))</f>
        <v>Clean</v>
      </c>
    </row>
    <row r="56" customFormat="false" ht="15" hidden="false" customHeight="false" outlineLevel="0" collapsed="false">
      <c r="A56" s="2" t="s">
        <v>291</v>
      </c>
      <c r="B56" s="3" t="n">
        <v>45807</v>
      </c>
      <c r="C56" s="3" t="n">
        <v>45810</v>
      </c>
      <c r="D56" s="2" t="s">
        <v>41</v>
      </c>
      <c r="E56" s="2" t="s">
        <v>41</v>
      </c>
      <c r="F56" s="2" t="s">
        <v>292</v>
      </c>
      <c r="G56" s="2" t="s">
        <v>73</v>
      </c>
      <c r="H56" s="2" t="s">
        <v>110</v>
      </c>
      <c r="I56" s="2" t="s">
        <v>74</v>
      </c>
      <c r="J56" s="2" t="s">
        <v>41</v>
      </c>
      <c r="K56" s="2" t="s">
        <v>269</v>
      </c>
      <c r="L56" s="2" t="s">
        <v>270</v>
      </c>
      <c r="M56" s="2" t="s">
        <v>48</v>
      </c>
      <c r="N56" s="2" t="s">
        <v>111</v>
      </c>
      <c r="O56" s="2" t="s">
        <v>293</v>
      </c>
      <c r="P56" s="2" t="s">
        <v>64</v>
      </c>
      <c r="Q56" s="2" t="s">
        <v>41</v>
      </c>
      <c r="R56" s="2" t="n">
        <v>8</v>
      </c>
      <c r="S56" s="2" t="n">
        <v>474.37</v>
      </c>
      <c r="T56" s="2" t="n">
        <v>0.1</v>
      </c>
      <c r="U56" s="2" t="str">
        <f aca="false">IF(ISBLANK(T56),"Yes","No")</f>
        <v>No</v>
      </c>
      <c r="V56" s="2" t="n">
        <f aca="false">IF(ISBLANK(T56),0,IF(ISNUMBER(T56),T56,VALUE(LEFT(T56,LEN(T56)-1))/100))</f>
        <v>0.1</v>
      </c>
      <c r="W56" s="2" t="str">
        <f aca="false">IF(AND(V56&gt;=0,V56&lt;=0.25),"Valid","Invalid")</f>
        <v>Valid</v>
      </c>
      <c r="X56" s="2" t="n">
        <v>3415.46</v>
      </c>
      <c r="Y56" s="2" t="n">
        <f aca="false">R56*S56*(1-V56)</f>
        <v>3415.464</v>
      </c>
      <c r="Z56" s="2" t="str">
        <f aca="false">IF(ABS(X56-Y56)&gt;1,"Mismatch","OK")</f>
        <v>OK</v>
      </c>
      <c r="AA56" s="2" t="n">
        <v>1993.23</v>
      </c>
      <c r="AB56" s="2" t="n">
        <v>1422.23</v>
      </c>
      <c r="AC56" s="2" t="n">
        <f aca="false">Y56-AA56</f>
        <v>1422.234</v>
      </c>
      <c r="AD56" s="2" t="str">
        <f aca="false">IF(ABS(AB56-AC56)&gt;1,"Mismatch","OK")</f>
        <v>OK</v>
      </c>
      <c r="AE56" s="4" t="n">
        <f aca="false">IF(Y56=0,0,AC56/Y56)</f>
        <v>0.416410186141619</v>
      </c>
      <c r="AF56" s="2" t="s">
        <v>175</v>
      </c>
      <c r="AG56" s="2" t="s">
        <v>88</v>
      </c>
      <c r="AH56" s="2" t="str">
        <f aca="false">IF(AND(AG56="Completed",AF56&lt;&gt;"Paid"),"Inconsistent","OK")</f>
        <v>OK</v>
      </c>
      <c r="AI56" s="2" t="n">
        <f aca="false">IF(OR(ISBLANK(B56),ISBLANK(C56)),"",C56-B56)</f>
        <v>3</v>
      </c>
      <c r="AJ56" s="2" t="str">
        <f aca="false">IF(AI56="","Unknown",IF(AI56&lt;0,"Invalid","OK"))</f>
        <v>OK</v>
      </c>
      <c r="AK56" s="2" t="str">
        <f aca="false">IF(ISBLANK(B56),"",TEXT(B56,"mmm"))</f>
        <v>May</v>
      </c>
      <c r="AL56" s="2" t="n">
        <f aca="false">IF(ISBLANK(B56),"",YEAR(B56))</f>
        <v>2025</v>
      </c>
      <c r="AM56" s="2" t="s">
        <v>41</v>
      </c>
      <c r="AN56" s="2" t="str">
        <f aca="false">IF(OR(W56="Invalid",AJ56="Invalid",AH56="Inconsistent",Z56="Mismatch",AD56="Mismatch",AM56="Yes",D56="Yes",E56="Yes"),"Invalid",IF(OR(J56="Yes",Q56="Yes",U56="Yes"),"Warning","Clean"))</f>
        <v>Clean</v>
      </c>
    </row>
    <row r="57" customFormat="false" ht="15" hidden="false" customHeight="false" outlineLevel="0" collapsed="false">
      <c r="A57" s="2" t="s">
        <v>294</v>
      </c>
      <c r="B57" s="3" t="n">
        <v>45839</v>
      </c>
      <c r="C57" s="3" t="n">
        <v>45841</v>
      </c>
      <c r="D57" s="2" t="s">
        <v>41</v>
      </c>
      <c r="E57" s="2" t="s">
        <v>41</v>
      </c>
      <c r="F57" s="2" t="s">
        <v>295</v>
      </c>
      <c r="G57" s="2" t="s">
        <v>56</v>
      </c>
      <c r="H57" s="2" t="s">
        <v>57</v>
      </c>
      <c r="I57" s="2" t="s">
        <v>74</v>
      </c>
      <c r="J57" s="2" t="s">
        <v>41</v>
      </c>
      <c r="K57" s="2" t="s">
        <v>104</v>
      </c>
      <c r="L57" s="2" t="s">
        <v>105</v>
      </c>
      <c r="M57" s="2" t="s">
        <v>94</v>
      </c>
      <c r="N57" s="2" t="s">
        <v>296</v>
      </c>
      <c r="O57" s="2" t="s">
        <v>297</v>
      </c>
      <c r="P57" s="2" t="s">
        <v>64</v>
      </c>
      <c r="Q57" s="2" t="s">
        <v>41</v>
      </c>
      <c r="R57" s="2" t="n">
        <v>3</v>
      </c>
      <c r="S57" s="2" t="n">
        <v>1516.24</v>
      </c>
      <c r="T57" s="2" t="n">
        <v>0.25</v>
      </c>
      <c r="U57" s="2" t="str">
        <f aca="false">IF(ISBLANK(T57),"Yes","No")</f>
        <v>No</v>
      </c>
      <c r="V57" s="2" t="n">
        <f aca="false">IF(ISBLANK(T57),0,IF(ISNUMBER(T57),T57,VALUE(LEFT(T57,LEN(T57)-1))/100))</f>
        <v>0.25</v>
      </c>
      <c r="W57" s="2" t="str">
        <f aca="false">IF(AND(V57&gt;=0,V57&lt;=0.25),"Valid","Invalid")</f>
        <v>Valid</v>
      </c>
      <c r="X57" s="2" t="n">
        <v>3411.54</v>
      </c>
      <c r="Y57" s="2" t="n">
        <f aca="false">R57*S57*(1-V57)</f>
        <v>3411.54</v>
      </c>
      <c r="Z57" s="2" t="str">
        <f aca="false">IF(ABS(X57-Y57)&gt;1,"Mismatch","OK")</f>
        <v>OK</v>
      </c>
      <c r="AA57" s="2" t="n">
        <v>2803.13</v>
      </c>
      <c r="AB57" s="2" t="n">
        <v>608.41</v>
      </c>
      <c r="AC57" s="2" t="n">
        <f aca="false">Y57-AA57</f>
        <v>608.41</v>
      </c>
      <c r="AD57" s="2" t="str">
        <f aca="false">IF(ABS(AB57-AC57)&gt;1,"Mismatch","OK")</f>
        <v>OK</v>
      </c>
      <c r="AE57" s="4" t="n">
        <f aca="false">IF(Y57=0,0,AC57/Y57)</f>
        <v>0.178338814728832</v>
      </c>
      <c r="AF57" s="2" t="s">
        <v>52</v>
      </c>
      <c r="AG57" s="2" t="s">
        <v>53</v>
      </c>
      <c r="AH57" s="2" t="str">
        <f aca="false">IF(AND(AG57="Completed",AF57&lt;&gt;"Paid"),"Inconsistent","OK")</f>
        <v>OK</v>
      </c>
      <c r="AI57" s="2" t="n">
        <f aca="false">IF(OR(ISBLANK(B57),ISBLANK(C57)),"",C57-B57)</f>
        <v>2</v>
      </c>
      <c r="AJ57" s="2" t="str">
        <f aca="false">IF(AI57="","Unknown",IF(AI57&lt;0,"Invalid","OK"))</f>
        <v>OK</v>
      </c>
      <c r="AK57" s="2" t="str">
        <f aca="false">IF(ISBLANK(B57),"",TEXT(B57,"mmm"))</f>
        <v>Jul</v>
      </c>
      <c r="AL57" s="2" t="n">
        <f aca="false">IF(ISBLANK(B57),"",YEAR(B57))</f>
        <v>2025</v>
      </c>
      <c r="AM57" s="2" t="s">
        <v>41</v>
      </c>
      <c r="AN57" s="2" t="str">
        <f aca="false">IF(OR(W57="Invalid",AJ57="Invalid",AH57="Inconsistent",Z57="Mismatch",AD57="Mismatch",AM57="Yes",D57="Yes",E57="Yes"),"Invalid",IF(OR(J57="Yes",Q57="Yes",U57="Yes"),"Warning","Clean"))</f>
        <v>Clean</v>
      </c>
    </row>
    <row r="58" customFormat="false" ht="15" hidden="false" customHeight="false" outlineLevel="0" collapsed="false">
      <c r="A58" s="2" t="s">
        <v>298</v>
      </c>
      <c r="B58" s="3" t="n">
        <v>45662</v>
      </c>
      <c r="C58" s="3" t="n">
        <v>45663</v>
      </c>
      <c r="D58" s="2" t="s">
        <v>41</v>
      </c>
      <c r="E58" s="2" t="s">
        <v>41</v>
      </c>
      <c r="F58" s="2" t="s">
        <v>299</v>
      </c>
      <c r="G58" s="2" t="s">
        <v>43</v>
      </c>
      <c r="H58" s="2" t="s">
        <v>44</v>
      </c>
      <c r="I58" s="2" t="s">
        <v>74</v>
      </c>
      <c r="J58" s="2" t="s">
        <v>41</v>
      </c>
      <c r="K58" s="2" t="s">
        <v>195</v>
      </c>
      <c r="L58" s="2" t="s">
        <v>196</v>
      </c>
      <c r="M58" s="2" t="s">
        <v>48</v>
      </c>
      <c r="N58" s="2" t="s">
        <v>173</v>
      </c>
      <c r="O58" s="2" t="s">
        <v>300</v>
      </c>
      <c r="P58" s="2" t="s">
        <v>51</v>
      </c>
      <c r="Q58" s="2" t="s">
        <v>41</v>
      </c>
      <c r="R58" s="2" t="n">
        <v>3</v>
      </c>
      <c r="S58" s="2" t="n">
        <v>3155.61</v>
      </c>
      <c r="T58" s="2" t="n">
        <v>0</v>
      </c>
      <c r="U58" s="2" t="str">
        <f aca="false">IF(ISBLANK(T58),"Yes","No")</f>
        <v>No</v>
      </c>
      <c r="V58" s="2" t="n">
        <f aca="false">IF(ISBLANK(T58),0,IF(ISNUMBER(T58),T58,VALUE(LEFT(T58,LEN(T58)-1))/100))</f>
        <v>0</v>
      </c>
      <c r="W58" s="2" t="str">
        <f aca="false">IF(AND(V58&gt;=0,V58&lt;=0.25),"Valid","Invalid")</f>
        <v>Valid</v>
      </c>
      <c r="X58" s="2" t="n">
        <v>9466.83</v>
      </c>
      <c r="Y58" s="2" t="n">
        <f aca="false">R58*S58*(1-V58)</f>
        <v>9466.83</v>
      </c>
      <c r="Z58" s="2" t="str">
        <f aca="false">IF(ABS(X58-Y58)&gt;1,"Mismatch","OK")</f>
        <v>OK</v>
      </c>
      <c r="AA58" s="2" t="n">
        <v>6557.83</v>
      </c>
      <c r="AB58" s="2" t="n">
        <v>2909</v>
      </c>
      <c r="AC58" s="2" t="n">
        <f aca="false">Y58-AA58</f>
        <v>2909</v>
      </c>
      <c r="AD58" s="2" t="str">
        <f aca="false">IF(ABS(AB58-AC58)&gt;1,"Mismatch","OK")</f>
        <v>OK</v>
      </c>
      <c r="AE58" s="4" t="n">
        <f aca="false">IF(Y58=0,0,AC58/Y58)</f>
        <v>0.307283430673203</v>
      </c>
      <c r="AF58" s="2" t="s">
        <v>122</v>
      </c>
      <c r="AG58" s="2" t="s">
        <v>88</v>
      </c>
      <c r="AH58" s="2" t="str">
        <f aca="false">IF(AND(AG58="Completed",AF58&lt;&gt;"Paid"),"Inconsistent","OK")</f>
        <v>OK</v>
      </c>
      <c r="AI58" s="2" t="n">
        <f aca="false">IF(OR(ISBLANK(B58),ISBLANK(C58)),"",C58-B58)</f>
        <v>1</v>
      </c>
      <c r="AJ58" s="2" t="str">
        <f aca="false">IF(AI58="","Unknown",IF(AI58&lt;0,"Invalid","OK"))</f>
        <v>OK</v>
      </c>
      <c r="AK58" s="2" t="str">
        <f aca="false">IF(ISBLANK(B58),"",TEXT(B58,"mmm"))</f>
        <v>Jan</v>
      </c>
      <c r="AL58" s="2" t="n">
        <f aca="false">IF(ISBLANK(B58),"",YEAR(B58))</f>
        <v>2025</v>
      </c>
      <c r="AM58" s="2" t="s">
        <v>41</v>
      </c>
      <c r="AN58" s="2" t="str">
        <f aca="false">IF(OR(W58="Invalid",AJ58="Invalid",AH58="Inconsistent",Z58="Mismatch",AD58="Mismatch",AM58="Yes",D58="Yes",E58="Yes"),"Invalid",IF(OR(J58="Yes",Q58="Yes",U58="Yes"),"Warning","Clean"))</f>
        <v>Clean</v>
      </c>
    </row>
    <row r="59" customFormat="false" ht="15" hidden="false" customHeight="false" outlineLevel="0" collapsed="false">
      <c r="A59" s="2" t="s">
        <v>301</v>
      </c>
      <c r="B59" s="3" t="n">
        <v>45329</v>
      </c>
      <c r="C59" s="3" t="n">
        <v>45337</v>
      </c>
      <c r="D59" s="2" t="s">
        <v>41</v>
      </c>
      <c r="E59" s="2" t="s">
        <v>41</v>
      </c>
      <c r="F59" s="2" t="s">
        <v>302</v>
      </c>
      <c r="G59" s="2" t="s">
        <v>134</v>
      </c>
      <c r="H59" s="2" t="s">
        <v>44</v>
      </c>
      <c r="I59" s="2" t="s">
        <v>83</v>
      </c>
      <c r="J59" s="2" t="s">
        <v>41</v>
      </c>
      <c r="K59" s="2" t="s">
        <v>210</v>
      </c>
      <c r="L59" s="2" t="s">
        <v>211</v>
      </c>
      <c r="M59" s="2" t="s">
        <v>61</v>
      </c>
      <c r="N59" s="2" t="s">
        <v>86</v>
      </c>
      <c r="O59" s="2" t="s">
        <v>303</v>
      </c>
      <c r="P59" s="2" t="s">
        <v>64</v>
      </c>
      <c r="Q59" s="2" t="s">
        <v>41</v>
      </c>
      <c r="R59" s="2" t="n">
        <v>5</v>
      </c>
      <c r="S59" s="2" t="n">
        <v>255.87</v>
      </c>
      <c r="T59" s="2" t="n">
        <v>0</v>
      </c>
      <c r="U59" s="2" t="str">
        <f aca="false">IF(ISBLANK(T59),"Yes","No")</f>
        <v>No</v>
      </c>
      <c r="V59" s="2" t="n">
        <f aca="false">IF(ISBLANK(T59),0,IF(ISNUMBER(T59),T59,VALUE(LEFT(T59,LEN(T59)-1))/100))</f>
        <v>0</v>
      </c>
      <c r="W59" s="2" t="str">
        <f aca="false">IF(AND(V59&gt;=0,V59&lt;=0.25),"Valid","Invalid")</f>
        <v>Valid</v>
      </c>
      <c r="X59" s="2" t="n">
        <v>1279.35</v>
      </c>
      <c r="Y59" s="2" t="n">
        <f aca="false">R59*S59*(1-V59)</f>
        <v>1279.35</v>
      </c>
      <c r="Z59" s="2" t="str">
        <f aca="false">IF(ABS(X59-Y59)&gt;1,"Mismatch","OK")</f>
        <v>OK</v>
      </c>
      <c r="AA59" s="2" t="n">
        <v>1091.54</v>
      </c>
      <c r="AB59" s="2" t="n">
        <v>187.81</v>
      </c>
      <c r="AC59" s="2" t="n">
        <f aca="false">Y59-AA59</f>
        <v>187.81</v>
      </c>
      <c r="AD59" s="2" t="str">
        <f aca="false">IF(ABS(AB59-AC59)&gt;1,"Mismatch","OK")</f>
        <v>OK</v>
      </c>
      <c r="AE59" s="4" t="n">
        <f aca="false">IF(Y59=0,0,AC59/Y59)</f>
        <v>0.146801109938641</v>
      </c>
      <c r="AF59" s="2" t="s">
        <v>52</v>
      </c>
      <c r="AG59" s="2" t="s">
        <v>53</v>
      </c>
      <c r="AH59" s="2" t="str">
        <f aca="false">IF(AND(AG59="Completed",AF59&lt;&gt;"Paid"),"Inconsistent","OK")</f>
        <v>OK</v>
      </c>
      <c r="AI59" s="2" t="n">
        <f aca="false">IF(OR(ISBLANK(B59),ISBLANK(C59)),"",C59-B59)</f>
        <v>8</v>
      </c>
      <c r="AJ59" s="2" t="str">
        <f aca="false">IF(AI59="","Unknown",IF(AI59&lt;0,"Invalid","OK"))</f>
        <v>OK</v>
      </c>
      <c r="AK59" s="2" t="str">
        <f aca="false">IF(ISBLANK(B59),"",TEXT(B59,"mmm"))</f>
        <v>Feb</v>
      </c>
      <c r="AL59" s="2" t="n">
        <f aca="false">IF(ISBLANK(B59),"",YEAR(B59))</f>
        <v>2024</v>
      </c>
      <c r="AM59" s="2" t="s">
        <v>41</v>
      </c>
      <c r="AN59" s="2" t="str">
        <f aca="false">IF(OR(W59="Invalid",AJ59="Invalid",AH59="Inconsistent",Z59="Mismatch",AD59="Mismatch",AM59="Yes",D59="Yes",E59="Yes"),"Invalid",IF(OR(J59="Yes",Q59="Yes",U59="Yes"),"Warning","Clean"))</f>
        <v>Clean</v>
      </c>
    </row>
    <row r="60" customFormat="false" ht="15" hidden="false" customHeight="false" outlineLevel="0" collapsed="false">
      <c r="A60" s="2" t="s">
        <v>304</v>
      </c>
      <c r="B60" s="3" t="n">
        <v>45536</v>
      </c>
      <c r="C60" s="3" t="n">
        <v>45542</v>
      </c>
      <c r="D60" s="2" t="s">
        <v>41</v>
      </c>
      <c r="E60" s="2" t="s">
        <v>41</v>
      </c>
      <c r="F60" s="2" t="s">
        <v>305</v>
      </c>
      <c r="G60" s="2" t="s">
        <v>67</v>
      </c>
      <c r="H60" s="2" t="s">
        <v>115</v>
      </c>
      <c r="I60" s="2" t="s">
        <v>45</v>
      </c>
      <c r="J60" s="2" t="s">
        <v>41</v>
      </c>
      <c r="K60" s="2" t="s">
        <v>46</v>
      </c>
      <c r="L60" s="2" t="s">
        <v>47</v>
      </c>
      <c r="M60" s="2" t="s">
        <v>48</v>
      </c>
      <c r="N60" s="2" t="s">
        <v>144</v>
      </c>
      <c r="O60" s="2" t="s">
        <v>306</v>
      </c>
      <c r="P60" s="2" t="s">
        <v>225</v>
      </c>
      <c r="Q60" s="2" t="s">
        <v>226</v>
      </c>
      <c r="R60" s="2" t="n">
        <v>9</v>
      </c>
      <c r="S60" s="2" t="n">
        <v>1389.48</v>
      </c>
      <c r="T60" s="2" t="n">
        <v>0.1</v>
      </c>
      <c r="U60" s="2" t="str">
        <f aca="false">IF(ISBLANK(T60),"Yes","No")</f>
        <v>No</v>
      </c>
      <c r="V60" s="2" t="n">
        <f aca="false">IF(ISBLANK(T60),0,IF(ISNUMBER(T60),T60,VALUE(LEFT(T60,LEN(T60)-1))/100))</f>
        <v>0.1</v>
      </c>
      <c r="W60" s="2" t="str">
        <f aca="false">IF(AND(V60&gt;=0,V60&lt;=0.25),"Valid","Invalid")</f>
        <v>Valid</v>
      </c>
      <c r="X60" s="2" t="n">
        <v>11254.79</v>
      </c>
      <c r="Y60" s="2" t="n">
        <f aca="false">R60*S60*(1-V60)</f>
        <v>11254.788</v>
      </c>
      <c r="Z60" s="2" t="str">
        <f aca="false">IF(ABS(X60-Y60)&gt;1,"Mismatch","OK")</f>
        <v>OK</v>
      </c>
      <c r="AA60" s="2" t="n">
        <v>6578.06</v>
      </c>
      <c r="AB60" s="2" t="n">
        <v>4676.73</v>
      </c>
      <c r="AC60" s="2" t="n">
        <f aca="false">Y60-AA60</f>
        <v>4676.728</v>
      </c>
      <c r="AD60" s="2" t="str">
        <f aca="false">IF(ABS(AB60-AC60)&gt;1,"Mismatch","OK")</f>
        <v>OK</v>
      </c>
      <c r="AE60" s="4" t="n">
        <f aca="false">IF(Y60=0,0,AC60/Y60)</f>
        <v>0.415532305006545</v>
      </c>
      <c r="AF60" s="2" t="s">
        <v>131</v>
      </c>
      <c r="AG60" s="2" t="s">
        <v>123</v>
      </c>
      <c r="AH60" s="2" t="str">
        <f aca="false">IF(AND(AG60="Completed",AF60&lt;&gt;"Paid"),"Inconsistent","OK")</f>
        <v>OK</v>
      </c>
      <c r="AI60" s="2" t="n">
        <f aca="false">IF(OR(ISBLANK(B60),ISBLANK(C60)),"",C60-B60)</f>
        <v>6</v>
      </c>
      <c r="AJ60" s="2" t="str">
        <f aca="false">IF(AI60="","Unknown",IF(AI60&lt;0,"Invalid","OK"))</f>
        <v>OK</v>
      </c>
      <c r="AK60" s="2" t="str">
        <f aca="false">IF(ISBLANK(B60),"",TEXT(B60,"mmm"))</f>
        <v>Sep</v>
      </c>
      <c r="AL60" s="2" t="n">
        <f aca="false">IF(ISBLANK(B60),"",YEAR(B60))</f>
        <v>2024</v>
      </c>
      <c r="AM60" s="2" t="s">
        <v>41</v>
      </c>
      <c r="AN60" s="2" t="str">
        <f aca="false">IF(OR(W60="Invalid",AJ60="Invalid",AH60="Inconsistent",Z60="Mismatch",AD60="Mismatch",AM60="Yes",D60="Yes",E60="Yes"),"Invalid",IF(OR(J60="Yes",Q60="Yes",U60="Yes"),"Warning","Clean"))</f>
        <v>Warning</v>
      </c>
    </row>
    <row r="61" customFormat="false" ht="15" hidden="false" customHeight="false" outlineLevel="0" collapsed="false">
      <c r="A61" s="2" t="s">
        <v>307</v>
      </c>
      <c r="B61" s="3" t="n">
        <v>45493</v>
      </c>
      <c r="C61" s="3" t="n">
        <v>45498</v>
      </c>
      <c r="D61" s="2" t="s">
        <v>41</v>
      </c>
      <c r="E61" s="2" t="s">
        <v>41</v>
      </c>
      <c r="F61" s="2" t="s">
        <v>308</v>
      </c>
      <c r="G61" s="2" t="s">
        <v>134</v>
      </c>
      <c r="H61" s="2" t="s">
        <v>110</v>
      </c>
      <c r="I61" s="2" t="s">
        <v>58</v>
      </c>
      <c r="J61" s="2" t="s">
        <v>41</v>
      </c>
      <c r="K61" s="2" t="s">
        <v>186</v>
      </c>
      <c r="L61" s="2" t="s">
        <v>187</v>
      </c>
      <c r="M61" s="2" t="s">
        <v>48</v>
      </c>
      <c r="N61" s="2" t="s">
        <v>111</v>
      </c>
      <c r="O61" s="2" t="s">
        <v>309</v>
      </c>
      <c r="P61" s="2" t="s">
        <v>64</v>
      </c>
      <c r="Q61" s="2" t="s">
        <v>41</v>
      </c>
      <c r="R61" s="2" t="n">
        <v>5</v>
      </c>
      <c r="S61" s="2" t="n">
        <v>4133.85</v>
      </c>
      <c r="T61" s="2" t="n">
        <v>0.2</v>
      </c>
      <c r="U61" s="2" t="str">
        <f aca="false">IF(ISBLANK(T61),"Yes","No")</f>
        <v>No</v>
      </c>
      <c r="V61" s="2" t="n">
        <f aca="false">IF(ISBLANK(T61),0,IF(ISNUMBER(T61),T61,VALUE(LEFT(T61,LEN(T61)-1))/100))</f>
        <v>0.2</v>
      </c>
      <c r="W61" s="2" t="str">
        <f aca="false">IF(AND(V61&gt;=0,V61&lt;=0.25),"Valid","Invalid")</f>
        <v>Valid</v>
      </c>
      <c r="X61" s="2" t="n">
        <v>16535.4</v>
      </c>
      <c r="Y61" s="2" t="n">
        <f aca="false">R61*S61*(1-V61)</f>
        <v>16535.4</v>
      </c>
      <c r="Z61" s="2" t="str">
        <f aca="false">IF(ABS(X61-Y61)&gt;1,"Mismatch","OK")</f>
        <v>OK</v>
      </c>
      <c r="AA61" s="2" t="n">
        <v>12990.21</v>
      </c>
      <c r="AB61" s="2" t="n">
        <v>3545.19</v>
      </c>
      <c r="AC61" s="2" t="n">
        <f aca="false">Y61-AA61</f>
        <v>3545.19</v>
      </c>
      <c r="AD61" s="2" t="str">
        <f aca="false">IF(ABS(AB61-AC61)&gt;1,"Mismatch","OK")</f>
        <v>OK</v>
      </c>
      <c r="AE61" s="4" t="n">
        <f aca="false">IF(Y61=0,0,AC61/Y61)</f>
        <v>0.214400014514315</v>
      </c>
      <c r="AF61" s="2" t="s">
        <v>52</v>
      </c>
      <c r="AG61" s="2" t="s">
        <v>88</v>
      </c>
      <c r="AH61" s="2" t="str">
        <f aca="false">IF(AND(AG61="Completed",AF61&lt;&gt;"Paid"),"Inconsistent","OK")</f>
        <v>OK</v>
      </c>
      <c r="AI61" s="2" t="n">
        <f aca="false">IF(OR(ISBLANK(B61),ISBLANK(C61)),"",C61-B61)</f>
        <v>5</v>
      </c>
      <c r="AJ61" s="2" t="str">
        <f aca="false">IF(AI61="","Unknown",IF(AI61&lt;0,"Invalid","OK"))</f>
        <v>OK</v>
      </c>
      <c r="AK61" s="2" t="str">
        <f aca="false">IF(ISBLANK(B61),"",TEXT(B61,"mmm"))</f>
        <v>Jul</v>
      </c>
      <c r="AL61" s="2" t="n">
        <f aca="false">IF(ISBLANK(B61),"",YEAR(B61))</f>
        <v>2024</v>
      </c>
      <c r="AM61" s="2" t="s">
        <v>41</v>
      </c>
      <c r="AN61" s="2" t="str">
        <f aca="false">IF(OR(W61="Invalid",AJ61="Invalid",AH61="Inconsistent",Z61="Mismatch",AD61="Mismatch",AM61="Yes",D61="Yes",E61="Yes"),"Invalid",IF(OR(J61="Yes",Q61="Yes",U61="Yes"),"Warning","Clean"))</f>
        <v>Clean</v>
      </c>
    </row>
    <row r="62" customFormat="false" ht="15" hidden="false" customHeight="false" outlineLevel="0" collapsed="false">
      <c r="A62" s="2" t="s">
        <v>310</v>
      </c>
      <c r="B62" s="3" t="n">
        <v>45486</v>
      </c>
      <c r="C62" s="3" t="n">
        <v>45492</v>
      </c>
      <c r="D62" s="2" t="s">
        <v>41</v>
      </c>
      <c r="E62" s="2" t="s">
        <v>41</v>
      </c>
      <c r="F62" s="2" t="s">
        <v>311</v>
      </c>
      <c r="G62" s="2" t="s">
        <v>82</v>
      </c>
      <c r="H62" s="2" t="s">
        <v>110</v>
      </c>
      <c r="I62" s="2" t="s">
        <v>58</v>
      </c>
      <c r="J62" s="2" t="s">
        <v>41</v>
      </c>
      <c r="K62" s="2" t="s">
        <v>186</v>
      </c>
      <c r="L62" s="2" t="s">
        <v>187</v>
      </c>
      <c r="M62" s="2" t="s">
        <v>48</v>
      </c>
      <c r="N62" s="2" t="s">
        <v>111</v>
      </c>
      <c r="O62" s="2" t="s">
        <v>312</v>
      </c>
      <c r="P62" s="2" t="s">
        <v>64</v>
      </c>
      <c r="Q62" s="2" t="s">
        <v>41</v>
      </c>
      <c r="R62" s="2" t="n">
        <v>3</v>
      </c>
      <c r="S62" s="2" t="n">
        <v>275.76</v>
      </c>
      <c r="T62" s="2" t="n">
        <v>0.2</v>
      </c>
      <c r="U62" s="2" t="str">
        <f aca="false">IF(ISBLANK(T62),"Yes","No")</f>
        <v>No</v>
      </c>
      <c r="V62" s="2" t="n">
        <f aca="false">IF(ISBLANK(T62),0,IF(ISNUMBER(T62),T62,VALUE(LEFT(T62,LEN(T62)-1))/100))</f>
        <v>0.2</v>
      </c>
      <c r="W62" s="2" t="str">
        <f aca="false">IF(AND(V62&gt;=0,V62&lt;=0.25),"Valid","Invalid")</f>
        <v>Valid</v>
      </c>
      <c r="X62" s="2" t="n">
        <v>661.82</v>
      </c>
      <c r="Y62" s="2" t="n">
        <f aca="false">R62*S62*(1-V62)</f>
        <v>661.824</v>
      </c>
      <c r="Z62" s="2" t="str">
        <f aca="false">IF(ABS(X62-Y62)&gt;1,"Mismatch","OK")</f>
        <v>OK</v>
      </c>
      <c r="AA62" s="2" t="n">
        <v>481.47</v>
      </c>
      <c r="AB62" s="2" t="n">
        <v>180.35</v>
      </c>
      <c r="AC62" s="2" t="n">
        <f aca="false">Y62-AA62</f>
        <v>180.354</v>
      </c>
      <c r="AD62" s="2" t="str">
        <f aca="false">IF(ABS(AB62-AC62)&gt;1,"Mismatch","OK")</f>
        <v>OK</v>
      </c>
      <c r="AE62" s="4" t="n">
        <f aca="false">IF(Y62=0,0,AC62/Y62)</f>
        <v>0.272510516391065</v>
      </c>
      <c r="AF62" s="2" t="s">
        <v>122</v>
      </c>
      <c r="AG62" s="2" t="s">
        <v>88</v>
      </c>
      <c r="AH62" s="2" t="str">
        <f aca="false">IF(AND(AG62="Completed",AF62&lt;&gt;"Paid"),"Inconsistent","OK")</f>
        <v>OK</v>
      </c>
      <c r="AI62" s="2" t="n">
        <f aca="false">IF(OR(ISBLANK(B62),ISBLANK(C62)),"",C62-B62)</f>
        <v>6</v>
      </c>
      <c r="AJ62" s="2" t="str">
        <f aca="false">IF(AI62="","Unknown",IF(AI62&lt;0,"Invalid","OK"))</f>
        <v>OK</v>
      </c>
      <c r="AK62" s="2" t="str">
        <f aca="false">IF(ISBLANK(B62),"",TEXT(B62,"mmm"))</f>
        <v>Jul</v>
      </c>
      <c r="AL62" s="2" t="n">
        <f aca="false">IF(ISBLANK(B62),"",YEAR(B62))</f>
        <v>2024</v>
      </c>
      <c r="AM62" s="2" t="s">
        <v>41</v>
      </c>
      <c r="AN62" s="2" t="str">
        <f aca="false">IF(OR(W62="Invalid",AJ62="Invalid",AH62="Inconsistent",Z62="Mismatch",AD62="Mismatch",AM62="Yes",D62="Yes",E62="Yes"),"Invalid",IF(OR(J62="Yes",Q62="Yes",U62="Yes"),"Warning","Clean"))</f>
        <v>Clean</v>
      </c>
    </row>
    <row r="63" customFormat="false" ht="15" hidden="false" customHeight="false" outlineLevel="0" collapsed="false">
      <c r="A63" s="2" t="s">
        <v>313</v>
      </c>
      <c r="B63" s="3" t="n">
        <v>45398</v>
      </c>
      <c r="C63" s="3" t="n">
        <v>45398</v>
      </c>
      <c r="D63" s="2" t="s">
        <v>41</v>
      </c>
      <c r="E63" s="2" t="s">
        <v>41</v>
      </c>
      <c r="F63" s="2" t="s">
        <v>314</v>
      </c>
      <c r="G63" s="2" t="s">
        <v>91</v>
      </c>
      <c r="H63" s="2" t="s">
        <v>115</v>
      </c>
      <c r="I63" s="2" t="s">
        <v>58</v>
      </c>
      <c r="J63" s="2" t="s">
        <v>41</v>
      </c>
      <c r="K63" s="2" t="s">
        <v>165</v>
      </c>
      <c r="L63" s="2" t="s">
        <v>166</v>
      </c>
      <c r="M63" s="2" t="s">
        <v>61</v>
      </c>
      <c r="N63" s="2" t="s">
        <v>178</v>
      </c>
      <c r="O63" s="2" t="s">
        <v>315</v>
      </c>
      <c r="P63" s="2" t="s">
        <v>79</v>
      </c>
      <c r="Q63" s="2" t="s">
        <v>41</v>
      </c>
      <c r="R63" s="2" t="n">
        <v>1</v>
      </c>
      <c r="S63" s="2" t="n">
        <v>949.59</v>
      </c>
      <c r="T63" s="2" t="n">
        <v>0</v>
      </c>
      <c r="U63" s="2" t="str">
        <f aca="false">IF(ISBLANK(T63),"Yes","No")</f>
        <v>No</v>
      </c>
      <c r="V63" s="2" t="n">
        <f aca="false">IF(ISBLANK(T63),0,IF(ISNUMBER(T63),T63,VALUE(LEFT(T63,LEN(T63)-1))/100))</f>
        <v>0</v>
      </c>
      <c r="W63" s="2" t="str">
        <f aca="false">IF(AND(V63&gt;=0,V63&lt;=0.25),"Valid","Invalid")</f>
        <v>Valid</v>
      </c>
      <c r="X63" s="2" t="n">
        <v>949.59</v>
      </c>
      <c r="Y63" s="2" t="n">
        <f aca="false">R63*S63*(1-V63)</f>
        <v>949.59</v>
      </c>
      <c r="Z63" s="2" t="str">
        <f aca="false">IF(ABS(X63-Y63)&gt;1,"Mismatch","OK")</f>
        <v>OK</v>
      </c>
      <c r="AA63" s="2" t="n">
        <v>751.25</v>
      </c>
      <c r="AB63" s="2" t="n">
        <v>198.34</v>
      </c>
      <c r="AC63" s="2" t="n">
        <f aca="false">Y63-AA63</f>
        <v>198.34</v>
      </c>
      <c r="AD63" s="2" t="str">
        <f aca="false">IF(ABS(AB63-AC63)&gt;1,"Mismatch","OK")</f>
        <v>OK</v>
      </c>
      <c r="AE63" s="4" t="n">
        <f aca="false">IF(Y63=0,0,AC63/Y63)</f>
        <v>0.208869090870797</v>
      </c>
      <c r="AF63" s="2" t="s">
        <v>52</v>
      </c>
      <c r="AG63" s="2" t="s">
        <v>53</v>
      </c>
      <c r="AH63" s="2" t="str">
        <f aca="false">IF(AND(AG63="Completed",AF63&lt;&gt;"Paid"),"Inconsistent","OK")</f>
        <v>OK</v>
      </c>
      <c r="AI63" s="2" t="n">
        <f aca="false">IF(OR(ISBLANK(B63),ISBLANK(C63)),"",C63-B63)</f>
        <v>0</v>
      </c>
      <c r="AJ63" s="2" t="str">
        <f aca="false">IF(AI63="","Unknown",IF(AI63&lt;0,"Invalid","OK"))</f>
        <v>OK</v>
      </c>
      <c r="AK63" s="2" t="str">
        <f aca="false">IF(ISBLANK(B63),"",TEXT(B63,"mmm"))</f>
        <v>Apr</v>
      </c>
      <c r="AL63" s="2" t="n">
        <f aca="false">IF(ISBLANK(B63),"",YEAR(B63))</f>
        <v>2024</v>
      </c>
      <c r="AM63" s="2" t="s">
        <v>41</v>
      </c>
      <c r="AN63" s="2" t="str">
        <f aca="false">IF(OR(W63="Invalid",AJ63="Invalid",AH63="Inconsistent",Z63="Mismatch",AD63="Mismatch",AM63="Yes",D63="Yes",E63="Yes"),"Invalid",IF(OR(J63="Yes",Q63="Yes",U63="Yes"),"Warning","Clean"))</f>
        <v>Clean</v>
      </c>
    </row>
    <row r="64" customFormat="false" ht="15" hidden="false" customHeight="false" outlineLevel="0" collapsed="false">
      <c r="A64" s="2" t="s">
        <v>316</v>
      </c>
      <c r="B64" s="3" t="n">
        <v>45595</v>
      </c>
      <c r="C64" s="3" t="n">
        <v>45598</v>
      </c>
      <c r="D64" s="2" t="s">
        <v>41</v>
      </c>
      <c r="E64" s="2" t="s">
        <v>41</v>
      </c>
      <c r="F64" s="2" t="s">
        <v>317</v>
      </c>
      <c r="G64" s="2" t="s">
        <v>152</v>
      </c>
      <c r="H64" s="2" t="s">
        <v>115</v>
      </c>
      <c r="I64" s="2" t="s">
        <v>45</v>
      </c>
      <c r="J64" s="2" t="s">
        <v>41</v>
      </c>
      <c r="K64" s="2" t="s">
        <v>46</v>
      </c>
      <c r="L64" s="2" t="s">
        <v>47</v>
      </c>
      <c r="M64" s="2" t="s">
        <v>94</v>
      </c>
      <c r="N64" s="2" t="s">
        <v>191</v>
      </c>
      <c r="O64" s="2" t="s">
        <v>318</v>
      </c>
      <c r="P64" s="2" t="s">
        <v>79</v>
      </c>
      <c r="Q64" s="2" t="s">
        <v>41</v>
      </c>
      <c r="R64" s="2" t="n">
        <v>9</v>
      </c>
      <c r="S64" s="2" t="n">
        <v>3042.29</v>
      </c>
      <c r="T64" s="2" t="n">
        <v>0.2</v>
      </c>
      <c r="U64" s="2" t="str">
        <f aca="false">IF(ISBLANK(T64),"Yes","No")</f>
        <v>No</v>
      </c>
      <c r="V64" s="2" t="n">
        <f aca="false">IF(ISBLANK(T64),0,IF(ISNUMBER(T64),T64,VALUE(LEFT(T64,LEN(T64)-1))/100))</f>
        <v>0.2</v>
      </c>
      <c r="W64" s="2" t="str">
        <f aca="false">IF(AND(V64&gt;=0,V64&lt;=0.25),"Valid","Invalid")</f>
        <v>Valid</v>
      </c>
      <c r="X64" s="2" t="n">
        <v>21904.49</v>
      </c>
      <c r="Y64" s="2" t="n">
        <f aca="false">R64*S64*(1-V64)</f>
        <v>21904.488</v>
      </c>
      <c r="Z64" s="2" t="str">
        <f aca="false">IF(ABS(X64-Y64)&gt;1,"Mismatch","OK")</f>
        <v>OK</v>
      </c>
      <c r="AA64" s="2" t="n">
        <v>13570.55</v>
      </c>
      <c r="AB64" s="2" t="n">
        <v>8333.94</v>
      </c>
      <c r="AC64" s="2" t="n">
        <f aca="false">Y64-AA64</f>
        <v>8333.938</v>
      </c>
      <c r="AD64" s="2" t="str">
        <f aca="false">IF(ABS(AB64-AC64)&gt;1,"Mismatch","OK")</f>
        <v>OK</v>
      </c>
      <c r="AE64" s="4" t="n">
        <f aca="false">IF(Y64=0,0,AC64/Y64)</f>
        <v>0.380467144450032</v>
      </c>
      <c r="AF64" s="2" t="s">
        <v>52</v>
      </c>
      <c r="AG64" s="2" t="s">
        <v>53</v>
      </c>
      <c r="AH64" s="2" t="str">
        <f aca="false">IF(AND(AG64="Completed",AF64&lt;&gt;"Paid"),"Inconsistent","OK")</f>
        <v>OK</v>
      </c>
      <c r="AI64" s="2" t="n">
        <f aca="false">IF(OR(ISBLANK(B64),ISBLANK(C64)),"",C64-B64)</f>
        <v>3</v>
      </c>
      <c r="AJ64" s="2" t="str">
        <f aca="false">IF(AI64="","Unknown",IF(AI64&lt;0,"Invalid","OK"))</f>
        <v>OK</v>
      </c>
      <c r="AK64" s="2" t="str">
        <f aca="false">IF(ISBLANK(B64),"",TEXT(B64,"mmm"))</f>
        <v>Oct</v>
      </c>
      <c r="AL64" s="2" t="n">
        <f aca="false">IF(ISBLANK(B64),"",YEAR(B64))</f>
        <v>2024</v>
      </c>
      <c r="AM64" s="2" t="s">
        <v>41</v>
      </c>
      <c r="AN64" s="2" t="str">
        <f aca="false">IF(OR(W64="Invalid",AJ64="Invalid",AH64="Inconsistent",Z64="Mismatch",AD64="Mismatch",AM64="Yes",D64="Yes",E64="Yes"),"Invalid",IF(OR(J64="Yes",Q64="Yes",U64="Yes"),"Warning","Clean"))</f>
        <v>Clean</v>
      </c>
    </row>
    <row r="65" customFormat="false" ht="15" hidden="false" customHeight="false" outlineLevel="0" collapsed="false">
      <c r="A65" s="2" t="s">
        <v>319</v>
      </c>
      <c r="B65" s="3" t="n">
        <v>45316</v>
      </c>
      <c r="C65" s="3" t="n">
        <v>45323</v>
      </c>
      <c r="D65" s="2" t="s">
        <v>41</v>
      </c>
      <c r="E65" s="2" t="s">
        <v>41</v>
      </c>
      <c r="F65" s="2" t="s">
        <v>320</v>
      </c>
      <c r="G65" s="2" t="s">
        <v>152</v>
      </c>
      <c r="H65" s="2" t="s">
        <v>115</v>
      </c>
      <c r="I65" s="2" t="s">
        <v>45</v>
      </c>
      <c r="J65" s="2" t="s">
        <v>41</v>
      </c>
      <c r="K65" s="2" t="s">
        <v>258</v>
      </c>
      <c r="L65" s="2" t="s">
        <v>259</v>
      </c>
      <c r="M65" s="2" t="s">
        <v>48</v>
      </c>
      <c r="N65" s="2" t="s">
        <v>173</v>
      </c>
      <c r="O65" s="2" t="s">
        <v>321</v>
      </c>
      <c r="P65" s="2" t="s">
        <v>64</v>
      </c>
      <c r="Q65" s="2" t="s">
        <v>41</v>
      </c>
      <c r="R65" s="2" t="n">
        <v>2</v>
      </c>
      <c r="S65" s="2" t="n">
        <v>2832.77</v>
      </c>
      <c r="T65" s="2" t="n">
        <v>0.15</v>
      </c>
      <c r="U65" s="2" t="str">
        <f aca="false">IF(ISBLANK(T65),"Yes","No")</f>
        <v>No</v>
      </c>
      <c r="V65" s="2" t="n">
        <f aca="false">IF(ISBLANK(T65),0,IF(ISNUMBER(T65),T65,VALUE(LEFT(T65,LEN(T65)-1))/100))</f>
        <v>0.15</v>
      </c>
      <c r="W65" s="2" t="str">
        <f aca="false">IF(AND(V65&gt;=0,V65&lt;=0.25),"Valid","Invalid")</f>
        <v>Valid</v>
      </c>
      <c r="X65" s="2" t="n">
        <v>4815.71</v>
      </c>
      <c r="Y65" s="2" t="n">
        <f aca="false">R65*S65*(1-V65)</f>
        <v>4815.709</v>
      </c>
      <c r="Z65" s="2" t="str">
        <f aca="false">IF(ABS(X65-Y65)&gt;1,"Mismatch","OK")</f>
        <v>OK</v>
      </c>
      <c r="AA65" s="2" t="n">
        <v>3027.75</v>
      </c>
      <c r="AB65" s="2" t="n">
        <v>1917.47</v>
      </c>
      <c r="AC65" s="2" t="n">
        <f aca="false">Y65-AA65</f>
        <v>1787.959</v>
      </c>
      <c r="AD65" s="2" t="str">
        <f aca="false">IF(ABS(AB65-AC65)&gt;1,"Mismatch","OK")</f>
        <v>Mismatch</v>
      </c>
      <c r="AE65" s="4" t="n">
        <f aca="false">IF(Y65=0,0,AC65/Y65)</f>
        <v>0.3712763790337</v>
      </c>
      <c r="AF65" s="2" t="s">
        <v>52</v>
      </c>
      <c r="AG65" s="2" t="s">
        <v>53</v>
      </c>
      <c r="AH65" s="2" t="str">
        <f aca="false">IF(AND(AG65="Completed",AF65&lt;&gt;"Paid"),"Inconsistent","OK")</f>
        <v>OK</v>
      </c>
      <c r="AI65" s="2" t="n">
        <f aca="false">IF(OR(ISBLANK(B65),ISBLANK(C65)),"",C65-B65)</f>
        <v>7</v>
      </c>
      <c r="AJ65" s="2" t="str">
        <f aca="false">IF(AI65="","Unknown",IF(AI65&lt;0,"Invalid","OK"))</f>
        <v>OK</v>
      </c>
      <c r="AK65" s="2" t="str">
        <f aca="false">IF(ISBLANK(B65),"",TEXT(B65,"mmm"))</f>
        <v>Jan</v>
      </c>
      <c r="AL65" s="2" t="n">
        <f aca="false">IF(ISBLANK(B65),"",YEAR(B65))</f>
        <v>2024</v>
      </c>
      <c r="AM65" s="2" t="s">
        <v>41</v>
      </c>
      <c r="AN65" s="2" t="str">
        <f aca="false">IF(OR(W65="Invalid",AJ65="Invalid",AH65="Inconsistent",Z65="Mismatch",AD65="Mismatch",AM65="Yes",D65="Yes",E65="Yes"),"Invalid",IF(OR(J65="Yes",Q65="Yes",U65="Yes"),"Warning","Clean"))</f>
        <v>Invalid</v>
      </c>
    </row>
    <row r="66" customFormat="false" ht="15" hidden="false" customHeight="false" outlineLevel="0" collapsed="false">
      <c r="A66" s="2" t="s">
        <v>322</v>
      </c>
      <c r="B66" s="3" t="n">
        <v>45649</v>
      </c>
      <c r="C66" s="3" t="n">
        <v>45655</v>
      </c>
      <c r="D66" s="2" t="s">
        <v>41</v>
      </c>
      <c r="E66" s="2" t="s">
        <v>41</v>
      </c>
      <c r="F66" s="2" t="s">
        <v>323</v>
      </c>
      <c r="G66" s="2" t="s">
        <v>148</v>
      </c>
      <c r="H66" s="2" t="s">
        <v>110</v>
      </c>
      <c r="I66" s="2" t="s">
        <v>58</v>
      </c>
      <c r="J66" s="2" t="s">
        <v>41</v>
      </c>
      <c r="K66" s="2" t="s">
        <v>250</v>
      </c>
      <c r="L66" s="2" t="s">
        <v>251</v>
      </c>
      <c r="M66" s="2" t="s">
        <v>48</v>
      </c>
      <c r="N66" s="2" t="s">
        <v>49</v>
      </c>
      <c r="O66" s="2" t="s">
        <v>324</v>
      </c>
      <c r="P66" s="2" t="s">
        <v>70</v>
      </c>
      <c r="Q66" s="2" t="s">
        <v>41</v>
      </c>
      <c r="R66" s="2" t="n">
        <v>7</v>
      </c>
      <c r="S66" s="2" t="n">
        <v>447.84</v>
      </c>
      <c r="T66" s="2" t="n">
        <v>0</v>
      </c>
      <c r="U66" s="2" t="str">
        <f aca="false">IF(ISBLANK(T66),"Yes","No")</f>
        <v>No</v>
      </c>
      <c r="V66" s="2" t="n">
        <f aca="false">IF(ISBLANK(T66),0,IF(ISNUMBER(T66),T66,VALUE(LEFT(T66,LEN(T66)-1))/100))</f>
        <v>0</v>
      </c>
      <c r="W66" s="2" t="str">
        <f aca="false">IF(AND(V66&gt;=0,V66&lt;=0.25),"Valid","Invalid")</f>
        <v>Valid</v>
      </c>
      <c r="X66" s="2" t="n">
        <v>3134.88</v>
      </c>
      <c r="Y66" s="2" t="n">
        <f aca="false">R66*S66*(1-V66)</f>
        <v>3134.88</v>
      </c>
      <c r="Z66" s="2" t="str">
        <f aca="false">IF(ABS(X66-Y66)&gt;1,"Mismatch","OK")</f>
        <v>OK</v>
      </c>
      <c r="AA66" s="2" t="n">
        <v>2367.63</v>
      </c>
      <c r="AB66" s="2" t="n">
        <v>767.25</v>
      </c>
      <c r="AC66" s="2" t="n">
        <f aca="false">Y66-AA66</f>
        <v>767.25</v>
      </c>
      <c r="AD66" s="2" t="str">
        <f aca="false">IF(ABS(AB66-AC66)&gt;1,"Mismatch","OK")</f>
        <v>OK</v>
      </c>
      <c r="AE66" s="4" t="n">
        <f aca="false">IF(Y66=0,0,AC66/Y66)</f>
        <v>0.244746210381259</v>
      </c>
      <c r="AF66" s="2" t="s">
        <v>122</v>
      </c>
      <c r="AG66" s="2" t="s">
        <v>123</v>
      </c>
      <c r="AH66" s="2" t="str">
        <f aca="false">IF(AND(AG66="Completed",AF66&lt;&gt;"Paid"),"Inconsistent","OK")</f>
        <v>OK</v>
      </c>
      <c r="AI66" s="2" t="n">
        <f aca="false">IF(OR(ISBLANK(B66),ISBLANK(C66)),"",C66-B66)</f>
        <v>6</v>
      </c>
      <c r="AJ66" s="2" t="str">
        <f aca="false">IF(AI66="","Unknown",IF(AI66&lt;0,"Invalid","OK"))</f>
        <v>OK</v>
      </c>
      <c r="AK66" s="2" t="str">
        <f aca="false">IF(ISBLANK(B66),"",TEXT(B66,"mmm"))</f>
        <v>Dec</v>
      </c>
      <c r="AL66" s="2" t="n">
        <f aca="false">IF(ISBLANK(B66),"",YEAR(B66))</f>
        <v>2024</v>
      </c>
      <c r="AM66" s="2" t="s">
        <v>41</v>
      </c>
      <c r="AN66" s="2" t="str">
        <f aca="false">IF(OR(W66="Invalid",AJ66="Invalid",AH66="Inconsistent",Z66="Mismatch",AD66="Mismatch",AM66="Yes",D66="Yes",E66="Yes"),"Invalid",IF(OR(J66="Yes",Q66="Yes",U66="Yes"),"Warning","Clean"))</f>
        <v>Clean</v>
      </c>
    </row>
    <row r="67" customFormat="false" ht="15" hidden="false" customHeight="false" outlineLevel="0" collapsed="false">
      <c r="A67" s="2" t="s">
        <v>325</v>
      </c>
      <c r="B67" s="3" t="n">
        <v>45404</v>
      </c>
      <c r="C67" s="3" t="n">
        <v>45409</v>
      </c>
      <c r="D67" s="2" t="s">
        <v>41</v>
      </c>
      <c r="E67" s="2" t="s">
        <v>41</v>
      </c>
      <c r="F67" s="2" t="s">
        <v>326</v>
      </c>
      <c r="G67" s="2" t="s">
        <v>56</v>
      </c>
      <c r="H67" s="2" t="s">
        <v>115</v>
      </c>
      <c r="I67" s="2" t="s">
        <v>83</v>
      </c>
      <c r="J67" s="2" t="s">
        <v>41</v>
      </c>
      <c r="K67" s="2" t="s">
        <v>84</v>
      </c>
      <c r="L67" s="2" t="s">
        <v>85</v>
      </c>
      <c r="M67" s="2" t="s">
        <v>48</v>
      </c>
      <c r="N67" s="2" t="s">
        <v>49</v>
      </c>
      <c r="O67" s="2" t="s">
        <v>327</v>
      </c>
      <c r="P67" s="2" t="s">
        <v>51</v>
      </c>
      <c r="Q67" s="2" t="s">
        <v>41</v>
      </c>
      <c r="R67" s="2" t="n">
        <v>1</v>
      </c>
      <c r="S67" s="2" t="n">
        <v>4280.19</v>
      </c>
      <c r="T67" s="2" t="n">
        <v>0.05</v>
      </c>
      <c r="U67" s="2" t="str">
        <f aca="false">IF(ISBLANK(T67),"Yes","No")</f>
        <v>No</v>
      </c>
      <c r="V67" s="2" t="n">
        <f aca="false">IF(ISBLANK(T67),0,IF(ISNUMBER(T67),T67,VALUE(LEFT(T67,LEN(T67)-1))/100))</f>
        <v>0.05</v>
      </c>
      <c r="W67" s="2" t="str">
        <f aca="false">IF(AND(V67&gt;=0,V67&lt;=0.25),"Valid","Invalid")</f>
        <v>Valid</v>
      </c>
      <c r="X67" s="2" t="n">
        <v>4066.18</v>
      </c>
      <c r="Y67" s="2" t="n">
        <f aca="false">R67*S67*(1-V67)</f>
        <v>4066.1805</v>
      </c>
      <c r="Z67" s="2" t="str">
        <f aca="false">IF(ABS(X67-Y67)&gt;1,"Mismatch","OK")</f>
        <v>OK</v>
      </c>
      <c r="AA67" s="2" t="n">
        <v>2628.92</v>
      </c>
      <c r="AB67" s="2" t="n">
        <v>1437.26</v>
      </c>
      <c r="AC67" s="2" t="n">
        <f aca="false">Y67-AA67</f>
        <v>1437.2605</v>
      </c>
      <c r="AD67" s="2" t="str">
        <f aca="false">IF(ABS(AB67-AC67)&gt;1,"Mismatch","OK")</f>
        <v>OK</v>
      </c>
      <c r="AE67" s="4" t="n">
        <f aca="false">IF(Y67=0,0,AC67/Y67)</f>
        <v>0.353466969801267</v>
      </c>
      <c r="AF67" s="2" t="s">
        <v>52</v>
      </c>
      <c r="AG67" s="2" t="s">
        <v>53</v>
      </c>
      <c r="AH67" s="2" t="str">
        <f aca="false">IF(AND(AG67="Completed",AF67&lt;&gt;"Paid"),"Inconsistent","OK")</f>
        <v>OK</v>
      </c>
      <c r="AI67" s="2" t="n">
        <f aca="false">IF(OR(ISBLANK(B67),ISBLANK(C67)),"",C67-B67)</f>
        <v>5</v>
      </c>
      <c r="AJ67" s="2" t="str">
        <f aca="false">IF(AI67="","Unknown",IF(AI67&lt;0,"Invalid","OK"))</f>
        <v>OK</v>
      </c>
      <c r="AK67" s="2" t="str">
        <f aca="false">IF(ISBLANK(B67),"",TEXT(B67,"mmm"))</f>
        <v>Apr</v>
      </c>
      <c r="AL67" s="2" t="n">
        <f aca="false">IF(ISBLANK(B67),"",YEAR(B67))</f>
        <v>2024</v>
      </c>
      <c r="AM67" s="2" t="s">
        <v>41</v>
      </c>
      <c r="AN67" s="2" t="str">
        <f aca="false">IF(OR(W67="Invalid",AJ67="Invalid",AH67="Inconsistent",Z67="Mismatch",AD67="Mismatch",AM67="Yes",D67="Yes",E67="Yes"),"Invalid",IF(OR(J67="Yes",Q67="Yes",U67="Yes"),"Warning","Clean"))</f>
        <v>Clean</v>
      </c>
    </row>
    <row r="68" customFormat="false" ht="15" hidden="false" customHeight="false" outlineLevel="0" collapsed="false">
      <c r="A68" s="2" t="s">
        <v>328</v>
      </c>
      <c r="B68" s="3" t="n">
        <v>45897</v>
      </c>
      <c r="C68" s="3" t="n">
        <v>45901</v>
      </c>
      <c r="D68" s="2" t="s">
        <v>41</v>
      </c>
      <c r="E68" s="2" t="s">
        <v>41</v>
      </c>
      <c r="F68" s="2" t="s">
        <v>329</v>
      </c>
      <c r="G68" s="2" t="s">
        <v>43</v>
      </c>
      <c r="H68" s="2" t="s">
        <v>57</v>
      </c>
      <c r="I68" s="2" t="s">
        <v>74</v>
      </c>
      <c r="J68" s="2" t="s">
        <v>41</v>
      </c>
      <c r="K68" s="2" t="s">
        <v>269</v>
      </c>
      <c r="L68" s="2" t="s">
        <v>270</v>
      </c>
      <c r="M68" s="2" t="s">
        <v>94</v>
      </c>
      <c r="N68" s="2" t="s">
        <v>95</v>
      </c>
      <c r="O68" s="2" t="s">
        <v>330</v>
      </c>
      <c r="P68" s="2" t="s">
        <v>64</v>
      </c>
      <c r="Q68" s="2" t="s">
        <v>41</v>
      </c>
      <c r="R68" s="2" t="n">
        <v>7</v>
      </c>
      <c r="S68" s="2" t="n">
        <v>1057.46</v>
      </c>
      <c r="T68" s="2" t="n">
        <v>0.05</v>
      </c>
      <c r="U68" s="2" t="str">
        <f aca="false">IF(ISBLANK(T68),"Yes","No")</f>
        <v>No</v>
      </c>
      <c r="V68" s="2" t="n">
        <f aca="false">IF(ISBLANK(T68),0,IF(ISNUMBER(T68),T68,VALUE(LEFT(T68,LEN(T68)-1))/100))</f>
        <v>0.05</v>
      </c>
      <c r="W68" s="2" t="str">
        <f aca="false">IF(AND(V68&gt;=0,V68&lt;=0.25),"Valid","Invalid")</f>
        <v>Valid</v>
      </c>
      <c r="X68" s="2" t="n">
        <v>7032.11</v>
      </c>
      <c r="Y68" s="2" t="n">
        <f aca="false">R68*S68*(1-V68)</f>
        <v>7032.109</v>
      </c>
      <c r="Z68" s="2" t="str">
        <f aca="false">IF(ABS(X68-Y68)&gt;1,"Mismatch","OK")</f>
        <v>OK</v>
      </c>
      <c r="AA68" s="2" t="n">
        <v>4610.34</v>
      </c>
      <c r="AB68" s="2" t="n">
        <v>2421.77</v>
      </c>
      <c r="AC68" s="2" t="n">
        <f aca="false">Y68-AA68</f>
        <v>2421.769</v>
      </c>
      <c r="AD68" s="2" t="str">
        <f aca="false">IF(ABS(AB68-AC68)&gt;1,"Mismatch","OK")</f>
        <v>OK</v>
      </c>
      <c r="AE68" s="4" t="n">
        <f aca="false">IF(Y68=0,0,AC68/Y68)</f>
        <v>0.344387295475653</v>
      </c>
      <c r="AF68" s="2" t="s">
        <v>52</v>
      </c>
      <c r="AG68" s="2" t="s">
        <v>53</v>
      </c>
      <c r="AH68" s="2" t="str">
        <f aca="false">IF(AND(AG68="Completed",AF68&lt;&gt;"Paid"),"Inconsistent","OK")</f>
        <v>OK</v>
      </c>
      <c r="AI68" s="2" t="n">
        <f aca="false">IF(OR(ISBLANK(B68),ISBLANK(C68)),"",C68-B68)</f>
        <v>4</v>
      </c>
      <c r="AJ68" s="2" t="str">
        <f aca="false">IF(AI68="","Unknown",IF(AI68&lt;0,"Invalid","OK"))</f>
        <v>OK</v>
      </c>
      <c r="AK68" s="2" t="str">
        <f aca="false">IF(ISBLANK(B68),"",TEXT(B68,"mmm"))</f>
        <v>Aug</v>
      </c>
      <c r="AL68" s="2" t="n">
        <f aca="false">IF(ISBLANK(B68),"",YEAR(B68))</f>
        <v>2025</v>
      </c>
      <c r="AM68" s="2" t="s">
        <v>41</v>
      </c>
      <c r="AN68" s="2" t="str">
        <f aca="false">IF(OR(W68="Invalid",AJ68="Invalid",AH68="Inconsistent",Z68="Mismatch",AD68="Mismatch",AM68="Yes",D68="Yes",E68="Yes"),"Invalid",IF(OR(J68="Yes",Q68="Yes",U68="Yes"),"Warning","Clean"))</f>
        <v>Clean</v>
      </c>
    </row>
    <row r="69" customFormat="false" ht="15" hidden="false" customHeight="false" outlineLevel="0" collapsed="false">
      <c r="A69" s="2" t="s">
        <v>331</v>
      </c>
      <c r="B69" s="3" t="n">
        <v>45691</v>
      </c>
      <c r="C69" s="3" t="n">
        <v>45695</v>
      </c>
      <c r="D69" s="2" t="s">
        <v>41</v>
      </c>
      <c r="E69" s="2" t="s">
        <v>41</v>
      </c>
      <c r="F69" s="2" t="s">
        <v>332</v>
      </c>
      <c r="G69" s="2" t="s">
        <v>286</v>
      </c>
      <c r="H69" s="2" t="s">
        <v>44</v>
      </c>
      <c r="I69" s="2" t="s">
        <v>45</v>
      </c>
      <c r="J69" s="2" t="s">
        <v>41</v>
      </c>
      <c r="K69" s="2" t="s">
        <v>258</v>
      </c>
      <c r="L69" s="2" t="s">
        <v>259</v>
      </c>
      <c r="M69" s="2" t="s">
        <v>48</v>
      </c>
      <c r="N69" s="2" t="s">
        <v>49</v>
      </c>
      <c r="O69" s="2" t="s">
        <v>333</v>
      </c>
      <c r="P69" s="2" t="s">
        <v>70</v>
      </c>
      <c r="Q69" s="2" t="s">
        <v>41</v>
      </c>
      <c r="R69" s="2" t="n">
        <v>7</v>
      </c>
      <c r="S69" s="2" t="n">
        <v>3609.34</v>
      </c>
      <c r="T69" s="2" t="n">
        <v>0.05</v>
      </c>
      <c r="U69" s="2" t="str">
        <f aca="false">IF(ISBLANK(T69),"Yes","No")</f>
        <v>No</v>
      </c>
      <c r="V69" s="2" t="n">
        <f aca="false">IF(ISBLANK(T69),0,IF(ISNUMBER(T69),T69,VALUE(LEFT(T69,LEN(T69)-1))/100))</f>
        <v>0.05</v>
      </c>
      <c r="W69" s="2" t="str">
        <f aca="false">IF(AND(V69&gt;=0,V69&lt;=0.25),"Valid","Invalid")</f>
        <v>Valid</v>
      </c>
      <c r="X69" s="2" t="n">
        <v>24002.11</v>
      </c>
      <c r="Y69" s="2" t="n">
        <f aca="false">R69*S69*(1-V69)</f>
        <v>24002.111</v>
      </c>
      <c r="Z69" s="2" t="str">
        <f aca="false">IF(ABS(X69-Y69)&gt;1,"Mismatch","OK")</f>
        <v>OK</v>
      </c>
      <c r="AA69" s="2" t="n">
        <v>18707.57</v>
      </c>
      <c r="AB69" s="2" t="n">
        <v>5294.54</v>
      </c>
      <c r="AC69" s="2" t="n">
        <f aca="false">Y69-AA69</f>
        <v>5294.541</v>
      </c>
      <c r="AD69" s="2" t="str">
        <f aca="false">IF(ABS(AB69-AC69)&gt;1,"Mismatch","OK")</f>
        <v>OK</v>
      </c>
      <c r="AE69" s="4" t="n">
        <f aca="false">IF(Y69=0,0,AC69/Y69)</f>
        <v>0.220586472581516</v>
      </c>
      <c r="AF69" s="2" t="s">
        <v>52</v>
      </c>
      <c r="AG69" s="2" t="s">
        <v>53</v>
      </c>
      <c r="AH69" s="2" t="str">
        <f aca="false">IF(AND(AG69="Completed",AF69&lt;&gt;"Paid"),"Inconsistent","OK")</f>
        <v>OK</v>
      </c>
      <c r="AI69" s="2" t="n">
        <f aca="false">IF(OR(ISBLANK(B69),ISBLANK(C69)),"",C69-B69)</f>
        <v>4</v>
      </c>
      <c r="AJ69" s="2" t="str">
        <f aca="false">IF(AI69="","Unknown",IF(AI69&lt;0,"Invalid","OK"))</f>
        <v>OK</v>
      </c>
      <c r="AK69" s="2" t="str">
        <f aca="false">IF(ISBLANK(B69),"",TEXT(B69,"mmm"))</f>
        <v>Feb</v>
      </c>
      <c r="AL69" s="2" t="n">
        <f aca="false">IF(ISBLANK(B69),"",YEAR(B69))</f>
        <v>2025</v>
      </c>
      <c r="AM69" s="2" t="s">
        <v>41</v>
      </c>
      <c r="AN69" s="2" t="str">
        <f aca="false">IF(OR(W69="Invalid",AJ69="Invalid",AH69="Inconsistent",Z69="Mismatch",AD69="Mismatch",AM69="Yes",D69="Yes",E69="Yes"),"Invalid",IF(OR(J69="Yes",Q69="Yes",U69="Yes"),"Warning","Clean"))</f>
        <v>Clean</v>
      </c>
    </row>
    <row r="70" customFormat="false" ht="15" hidden="false" customHeight="false" outlineLevel="0" collapsed="false">
      <c r="A70" s="2" t="s">
        <v>334</v>
      </c>
      <c r="B70" s="3" t="n">
        <v>45606</v>
      </c>
      <c r="C70" s="3" t="n">
        <v>45609</v>
      </c>
      <c r="D70" s="2" t="s">
        <v>41</v>
      </c>
      <c r="E70" s="2" t="s">
        <v>41</v>
      </c>
      <c r="F70" s="2" t="s">
        <v>335</v>
      </c>
      <c r="G70" s="2" t="s">
        <v>67</v>
      </c>
      <c r="H70" s="2" t="s">
        <v>110</v>
      </c>
      <c r="I70" s="2" t="s">
        <v>58</v>
      </c>
      <c r="J70" s="2" t="s">
        <v>41</v>
      </c>
      <c r="K70" s="2" t="s">
        <v>250</v>
      </c>
      <c r="L70" s="2" t="s">
        <v>251</v>
      </c>
      <c r="M70" s="2" t="s">
        <v>48</v>
      </c>
      <c r="N70" s="2" t="s">
        <v>144</v>
      </c>
      <c r="O70" s="2" t="s">
        <v>336</v>
      </c>
      <c r="P70" s="2" t="s">
        <v>51</v>
      </c>
      <c r="Q70" s="2" t="s">
        <v>41</v>
      </c>
      <c r="R70" s="2" t="n">
        <v>9</v>
      </c>
      <c r="S70" s="2" t="n">
        <v>2211.12</v>
      </c>
      <c r="T70" s="2" t="n">
        <v>0</v>
      </c>
      <c r="U70" s="2" t="str">
        <f aca="false">IF(ISBLANK(T70),"Yes","No")</f>
        <v>No</v>
      </c>
      <c r="V70" s="2" t="n">
        <f aca="false">IF(ISBLANK(T70),0,IF(ISNUMBER(T70),T70,VALUE(LEFT(T70,LEN(T70)-1))/100))</f>
        <v>0</v>
      </c>
      <c r="W70" s="2" t="str">
        <f aca="false">IF(AND(V70&gt;=0,V70&lt;=0.25),"Valid","Invalid")</f>
        <v>Valid</v>
      </c>
      <c r="X70" s="2" t="n">
        <v>19900.08</v>
      </c>
      <c r="Y70" s="2" t="n">
        <f aca="false">R70*S70*(1-V70)</f>
        <v>19900.08</v>
      </c>
      <c r="Z70" s="2" t="str">
        <f aca="false">IF(ABS(X70-Y70)&gt;1,"Mismatch","OK")</f>
        <v>OK</v>
      </c>
      <c r="AA70" s="2" t="n">
        <v>10962.66</v>
      </c>
      <c r="AB70" s="2" t="n">
        <v>8937.42</v>
      </c>
      <c r="AC70" s="2" t="n">
        <f aca="false">Y70-AA70</f>
        <v>8937.42</v>
      </c>
      <c r="AD70" s="2" t="str">
        <f aca="false">IF(ABS(AB70-AC70)&gt;1,"Mismatch","OK")</f>
        <v>OK</v>
      </c>
      <c r="AE70" s="4" t="n">
        <f aca="false">IF(Y70=0,0,AC70/Y70)</f>
        <v>0.44911477742803</v>
      </c>
      <c r="AF70" s="2" t="s">
        <v>175</v>
      </c>
      <c r="AG70" s="2" t="s">
        <v>123</v>
      </c>
      <c r="AH70" s="2" t="str">
        <f aca="false">IF(AND(AG70="Completed",AF70&lt;&gt;"Paid"),"Inconsistent","OK")</f>
        <v>OK</v>
      </c>
      <c r="AI70" s="2" t="n">
        <f aca="false">IF(OR(ISBLANK(B70),ISBLANK(C70)),"",C70-B70)</f>
        <v>3</v>
      </c>
      <c r="AJ70" s="2" t="str">
        <f aca="false">IF(AI70="","Unknown",IF(AI70&lt;0,"Invalid","OK"))</f>
        <v>OK</v>
      </c>
      <c r="AK70" s="2" t="str">
        <f aca="false">IF(ISBLANK(B70),"",TEXT(B70,"mmm"))</f>
        <v>Nov</v>
      </c>
      <c r="AL70" s="2" t="n">
        <f aca="false">IF(ISBLANK(B70),"",YEAR(B70))</f>
        <v>2024</v>
      </c>
      <c r="AM70" s="2" t="s">
        <v>41</v>
      </c>
      <c r="AN70" s="2" t="str">
        <f aca="false">IF(OR(W70="Invalid",AJ70="Invalid",AH70="Inconsistent",Z70="Mismatch",AD70="Mismatch",AM70="Yes",D70="Yes",E70="Yes"),"Invalid",IF(OR(J70="Yes",Q70="Yes",U70="Yes"),"Warning","Clean"))</f>
        <v>Clean</v>
      </c>
    </row>
    <row r="71" customFormat="false" ht="15" hidden="false" customHeight="false" outlineLevel="0" collapsed="false">
      <c r="A71" s="2" t="s">
        <v>337</v>
      </c>
      <c r="B71" s="3" t="n">
        <v>45391</v>
      </c>
      <c r="C71" s="3" t="n">
        <v>45396</v>
      </c>
      <c r="D71" s="2" t="s">
        <v>41</v>
      </c>
      <c r="E71" s="2" t="s">
        <v>41</v>
      </c>
      <c r="F71" s="2" t="s">
        <v>338</v>
      </c>
      <c r="G71" s="2" t="s">
        <v>99</v>
      </c>
      <c r="H71" s="2" t="s">
        <v>57</v>
      </c>
      <c r="I71" s="2" t="s">
        <v>83</v>
      </c>
      <c r="J71" s="2" t="s">
        <v>41</v>
      </c>
      <c r="K71" s="2" t="s">
        <v>200</v>
      </c>
      <c r="L71" s="2" t="s">
        <v>201</v>
      </c>
      <c r="M71" s="2" t="s">
        <v>94</v>
      </c>
      <c r="N71" s="2" t="s">
        <v>296</v>
      </c>
      <c r="O71" s="2" t="s">
        <v>339</v>
      </c>
      <c r="P71" s="2" t="s">
        <v>64</v>
      </c>
      <c r="Q71" s="2" t="s">
        <v>41</v>
      </c>
      <c r="R71" s="2" t="n">
        <v>7</v>
      </c>
      <c r="S71" s="2" t="n">
        <v>3417.09</v>
      </c>
      <c r="T71" s="2" t="n">
        <v>0.1</v>
      </c>
      <c r="U71" s="2" t="str">
        <f aca="false">IF(ISBLANK(T71),"Yes","No")</f>
        <v>No</v>
      </c>
      <c r="V71" s="2" t="n">
        <f aca="false">IF(ISBLANK(T71),0,IF(ISNUMBER(T71),T71,VALUE(LEFT(T71,LEN(T71)-1))/100))</f>
        <v>0.1</v>
      </c>
      <c r="W71" s="2" t="str">
        <f aca="false">IF(AND(V71&gt;=0,V71&lt;=0.25),"Valid","Invalid")</f>
        <v>Valid</v>
      </c>
      <c r="X71" s="2" t="n">
        <v>21527.67</v>
      </c>
      <c r="Y71" s="2" t="n">
        <f aca="false">R71*S71*(1-V71)</f>
        <v>21527.667</v>
      </c>
      <c r="Z71" s="2" t="str">
        <f aca="false">IF(ABS(X71-Y71)&gt;1,"Mismatch","OK")</f>
        <v>OK</v>
      </c>
      <c r="AA71" s="2" t="n">
        <v>18287.58</v>
      </c>
      <c r="AB71" s="2" t="n">
        <v>3240.09</v>
      </c>
      <c r="AC71" s="2" t="n">
        <f aca="false">Y71-AA71</f>
        <v>3240.087</v>
      </c>
      <c r="AD71" s="2" t="str">
        <f aca="false">IF(ABS(AB71-AC71)&gt;1,"Mismatch","OK")</f>
        <v>OK</v>
      </c>
      <c r="AE71" s="4" t="n">
        <f aca="false">IF(Y71=0,0,AC71/Y71)</f>
        <v>0.150508041582026</v>
      </c>
      <c r="AF71" s="2" t="s">
        <v>122</v>
      </c>
      <c r="AG71" s="2" t="s">
        <v>123</v>
      </c>
      <c r="AH71" s="2" t="str">
        <f aca="false">IF(AND(AG71="Completed",AF71&lt;&gt;"Paid"),"Inconsistent","OK")</f>
        <v>OK</v>
      </c>
      <c r="AI71" s="2" t="n">
        <f aca="false">IF(OR(ISBLANK(B71),ISBLANK(C71)),"",C71-B71)</f>
        <v>5</v>
      </c>
      <c r="AJ71" s="2" t="str">
        <f aca="false">IF(AI71="","Unknown",IF(AI71&lt;0,"Invalid","OK"))</f>
        <v>OK</v>
      </c>
      <c r="AK71" s="2" t="str">
        <f aca="false">IF(ISBLANK(B71),"",TEXT(B71,"mmm"))</f>
        <v>Apr</v>
      </c>
      <c r="AL71" s="2" t="n">
        <f aca="false">IF(ISBLANK(B71),"",YEAR(B71))</f>
        <v>2024</v>
      </c>
      <c r="AM71" s="2" t="s">
        <v>41</v>
      </c>
      <c r="AN71" s="2" t="str">
        <f aca="false">IF(OR(W71="Invalid",AJ71="Invalid",AH71="Inconsistent",Z71="Mismatch",AD71="Mismatch",AM71="Yes",D71="Yes",E71="Yes"),"Invalid",IF(OR(J71="Yes",Q71="Yes",U71="Yes"),"Warning","Clean"))</f>
        <v>Clean</v>
      </c>
    </row>
    <row r="72" customFormat="false" ht="15" hidden="false" customHeight="false" outlineLevel="0" collapsed="false">
      <c r="A72" s="2" t="s">
        <v>340</v>
      </c>
      <c r="B72" s="3" t="n">
        <v>45891</v>
      </c>
      <c r="C72" s="3" t="n">
        <v>45896</v>
      </c>
      <c r="D72" s="2" t="s">
        <v>41</v>
      </c>
      <c r="E72" s="2" t="s">
        <v>41</v>
      </c>
      <c r="F72" s="2" t="s">
        <v>341</v>
      </c>
      <c r="G72" s="2" t="s">
        <v>43</v>
      </c>
      <c r="H72" s="2" t="s">
        <v>110</v>
      </c>
      <c r="I72" s="2" t="s">
        <v>74</v>
      </c>
      <c r="J72" s="2" t="s">
        <v>41</v>
      </c>
      <c r="K72" s="2" t="s">
        <v>104</v>
      </c>
      <c r="L72" s="2" t="s">
        <v>105</v>
      </c>
      <c r="M72" s="2" t="s">
        <v>94</v>
      </c>
      <c r="N72" s="2" t="s">
        <v>191</v>
      </c>
      <c r="O72" s="2" t="s">
        <v>342</v>
      </c>
      <c r="P72" s="2" t="s">
        <v>70</v>
      </c>
      <c r="Q72" s="2" t="s">
        <v>41</v>
      </c>
      <c r="R72" s="2" t="n">
        <v>2</v>
      </c>
      <c r="S72" s="2" t="n">
        <v>905.87</v>
      </c>
      <c r="T72" s="2" t="n">
        <v>0.15</v>
      </c>
      <c r="U72" s="2" t="str">
        <f aca="false">IF(ISBLANK(T72),"Yes","No")</f>
        <v>No</v>
      </c>
      <c r="V72" s="2" t="n">
        <f aca="false">IF(ISBLANK(T72),0,IF(ISNUMBER(T72),T72,VALUE(LEFT(T72,LEN(T72)-1))/100))</f>
        <v>0.15</v>
      </c>
      <c r="W72" s="2" t="str">
        <f aca="false">IF(AND(V72&gt;=0,V72&lt;=0.25),"Valid","Invalid")</f>
        <v>Valid</v>
      </c>
      <c r="X72" s="2" t="n">
        <v>1539.98</v>
      </c>
      <c r="Y72" s="2" t="n">
        <f aca="false">R72*S72*(1-V72)</f>
        <v>1539.979</v>
      </c>
      <c r="Z72" s="2" t="str">
        <f aca="false">IF(ABS(X72-Y72)&gt;1,"Mismatch","OK")</f>
        <v>OK</v>
      </c>
      <c r="AA72" s="2" t="n">
        <v>1070.2</v>
      </c>
      <c r="AB72" s="2" t="n">
        <v>469.78</v>
      </c>
      <c r="AC72" s="2" t="n">
        <f aca="false">Y72-AA72</f>
        <v>469.779</v>
      </c>
      <c r="AD72" s="2" t="str">
        <f aca="false">IF(ABS(AB72-AC72)&gt;1,"Mismatch","OK")</f>
        <v>OK</v>
      </c>
      <c r="AE72" s="4" t="n">
        <f aca="false">IF(Y72=0,0,AC72/Y72)</f>
        <v>0.305055458548461</v>
      </c>
      <c r="AF72" s="2" t="s">
        <v>52</v>
      </c>
      <c r="AG72" s="2" t="s">
        <v>53</v>
      </c>
      <c r="AH72" s="2" t="str">
        <f aca="false">IF(AND(AG72="Completed",AF72&lt;&gt;"Paid"),"Inconsistent","OK")</f>
        <v>OK</v>
      </c>
      <c r="AI72" s="2" t="n">
        <f aca="false">IF(OR(ISBLANK(B72),ISBLANK(C72)),"",C72-B72)</f>
        <v>5</v>
      </c>
      <c r="AJ72" s="2" t="str">
        <f aca="false">IF(AI72="","Unknown",IF(AI72&lt;0,"Invalid","OK"))</f>
        <v>OK</v>
      </c>
      <c r="AK72" s="2" t="str">
        <f aca="false">IF(ISBLANK(B72),"",TEXT(B72,"mmm"))</f>
        <v>Aug</v>
      </c>
      <c r="AL72" s="2" t="n">
        <f aca="false">IF(ISBLANK(B72),"",YEAR(B72))</f>
        <v>2025</v>
      </c>
      <c r="AM72" s="2" t="s">
        <v>41</v>
      </c>
      <c r="AN72" s="2" t="str">
        <f aca="false">IF(OR(W72="Invalid",AJ72="Invalid",AH72="Inconsistent",Z72="Mismatch",AD72="Mismatch",AM72="Yes",D72="Yes",E72="Yes"),"Invalid",IF(OR(J72="Yes",Q72="Yes",U72="Yes"),"Warning","Clean"))</f>
        <v>Clean</v>
      </c>
    </row>
    <row r="73" customFormat="false" ht="15" hidden="false" customHeight="false" outlineLevel="0" collapsed="false">
      <c r="A73" s="2" t="s">
        <v>343</v>
      </c>
      <c r="B73" s="3" t="n">
        <v>45763</v>
      </c>
      <c r="C73" s="3" t="n">
        <v>45770</v>
      </c>
      <c r="D73" s="2" t="s">
        <v>41</v>
      </c>
      <c r="E73" s="2" t="s">
        <v>41</v>
      </c>
      <c r="F73" s="2" t="s">
        <v>344</v>
      </c>
      <c r="G73" s="2" t="s">
        <v>56</v>
      </c>
      <c r="H73" s="2" t="s">
        <v>57</v>
      </c>
      <c r="I73" s="2" t="s">
        <v>83</v>
      </c>
      <c r="J73" s="2" t="s">
        <v>41</v>
      </c>
      <c r="K73" s="2" t="s">
        <v>210</v>
      </c>
      <c r="L73" s="2" t="s">
        <v>211</v>
      </c>
      <c r="M73" s="2" t="s">
        <v>94</v>
      </c>
      <c r="N73" s="2" t="s">
        <v>296</v>
      </c>
      <c r="O73" s="2" t="s">
        <v>345</v>
      </c>
      <c r="P73" s="2" t="s">
        <v>79</v>
      </c>
      <c r="Q73" s="2" t="s">
        <v>41</v>
      </c>
      <c r="R73" s="2" t="n">
        <v>6</v>
      </c>
      <c r="S73" s="2" t="n">
        <v>2027.32</v>
      </c>
      <c r="T73" s="2" t="n">
        <v>0.1</v>
      </c>
      <c r="U73" s="2" t="str">
        <f aca="false">IF(ISBLANK(T73),"Yes","No")</f>
        <v>No</v>
      </c>
      <c r="V73" s="2" t="n">
        <f aca="false">IF(ISBLANK(T73),0,IF(ISNUMBER(T73),T73,VALUE(LEFT(T73,LEN(T73)-1))/100))</f>
        <v>0.1</v>
      </c>
      <c r="W73" s="2" t="str">
        <f aca="false">IF(AND(V73&gt;=0,V73&lt;=0.25),"Valid","Invalid")</f>
        <v>Valid</v>
      </c>
      <c r="X73" s="2" t="n">
        <v>10947.53</v>
      </c>
      <c r="Y73" s="2" t="n">
        <f aca="false">R73*S73*(1-V73)</f>
        <v>10947.528</v>
      </c>
      <c r="Z73" s="2" t="str">
        <f aca="false">IF(ABS(X73-Y73)&gt;1,"Mismatch","OK")</f>
        <v>OK</v>
      </c>
      <c r="AA73" s="2" t="n">
        <v>6447.36</v>
      </c>
      <c r="AB73" s="2" t="n">
        <v>4500.17</v>
      </c>
      <c r="AC73" s="2" t="n">
        <f aca="false">Y73-AA73</f>
        <v>4500.168</v>
      </c>
      <c r="AD73" s="2" t="str">
        <f aca="false">IF(ABS(AB73-AC73)&gt;1,"Mismatch","OK")</f>
        <v>OK</v>
      </c>
      <c r="AE73" s="4" t="n">
        <f aca="false">IF(Y73=0,0,AC73/Y73)</f>
        <v>0.411067046368824</v>
      </c>
      <c r="AF73" s="2" t="s">
        <v>52</v>
      </c>
      <c r="AG73" s="2" t="s">
        <v>53</v>
      </c>
      <c r="AH73" s="2" t="str">
        <f aca="false">IF(AND(AG73="Completed",AF73&lt;&gt;"Paid"),"Inconsistent","OK")</f>
        <v>OK</v>
      </c>
      <c r="AI73" s="2" t="n">
        <f aca="false">IF(OR(ISBLANK(B73),ISBLANK(C73)),"",C73-B73)</f>
        <v>7</v>
      </c>
      <c r="AJ73" s="2" t="str">
        <f aca="false">IF(AI73="","Unknown",IF(AI73&lt;0,"Invalid","OK"))</f>
        <v>OK</v>
      </c>
      <c r="AK73" s="2" t="str">
        <f aca="false">IF(ISBLANK(B73),"",TEXT(B73,"mmm"))</f>
        <v>Apr</v>
      </c>
      <c r="AL73" s="2" t="n">
        <f aca="false">IF(ISBLANK(B73),"",YEAR(B73))</f>
        <v>2025</v>
      </c>
      <c r="AM73" s="2" t="s">
        <v>41</v>
      </c>
      <c r="AN73" s="2" t="str">
        <f aca="false">IF(OR(W73="Invalid",AJ73="Invalid",AH73="Inconsistent",Z73="Mismatch",AD73="Mismatch",AM73="Yes",D73="Yes",E73="Yes"),"Invalid",IF(OR(J73="Yes",Q73="Yes",U73="Yes"),"Warning","Clean"))</f>
        <v>Clean</v>
      </c>
    </row>
    <row r="74" customFormat="false" ht="15" hidden="false" customHeight="false" outlineLevel="0" collapsed="false">
      <c r="A74" s="2" t="s">
        <v>346</v>
      </c>
      <c r="B74" s="3" t="n">
        <v>45333</v>
      </c>
      <c r="C74" s="3" t="n">
        <v>45329</v>
      </c>
      <c r="D74" s="2" t="s">
        <v>41</v>
      </c>
      <c r="E74" s="2" t="s">
        <v>41</v>
      </c>
      <c r="F74" s="2" t="s">
        <v>347</v>
      </c>
      <c r="G74" s="2" t="s">
        <v>43</v>
      </c>
      <c r="H74" s="2" t="s">
        <v>115</v>
      </c>
      <c r="I74" s="2" t="s">
        <v>74</v>
      </c>
      <c r="J74" s="2" t="s">
        <v>41</v>
      </c>
      <c r="K74" s="2" t="s">
        <v>269</v>
      </c>
      <c r="L74" s="2" t="s">
        <v>270</v>
      </c>
      <c r="M74" s="2" t="s">
        <v>61</v>
      </c>
      <c r="N74" s="2" t="s">
        <v>62</v>
      </c>
      <c r="O74" s="2" t="s">
        <v>348</v>
      </c>
      <c r="P74" s="2" t="s">
        <v>70</v>
      </c>
      <c r="Q74" s="2" t="s">
        <v>41</v>
      </c>
      <c r="R74" s="2" t="n">
        <v>7</v>
      </c>
      <c r="S74" s="2" t="n">
        <v>2287.47</v>
      </c>
      <c r="T74" s="2" t="n">
        <v>0.15</v>
      </c>
      <c r="U74" s="2" t="str">
        <f aca="false">IF(ISBLANK(T74),"Yes","No")</f>
        <v>No</v>
      </c>
      <c r="V74" s="2" t="n">
        <f aca="false">IF(ISBLANK(T74),0,IF(ISNUMBER(T74),T74,VALUE(LEFT(T74,LEN(T74)-1))/100))</f>
        <v>0.15</v>
      </c>
      <c r="W74" s="2" t="str">
        <f aca="false">IF(AND(V74&gt;=0,V74&lt;=0.25),"Valid","Invalid")</f>
        <v>Valid</v>
      </c>
      <c r="X74" s="2" t="n">
        <v>13610.45</v>
      </c>
      <c r="Y74" s="2" t="n">
        <f aca="false">R74*S74*(1-V74)</f>
        <v>13610.4465</v>
      </c>
      <c r="Z74" s="2" t="str">
        <f aca="false">IF(ABS(X74-Y74)&gt;1,"Mismatch","OK")</f>
        <v>OK</v>
      </c>
      <c r="AA74" s="2" t="n">
        <v>10039.05</v>
      </c>
      <c r="AB74" s="2" t="n">
        <v>3571.4</v>
      </c>
      <c r="AC74" s="2" t="n">
        <f aca="false">Y74-AA74</f>
        <v>3571.3965</v>
      </c>
      <c r="AD74" s="2" t="str">
        <f aca="false">IF(ABS(AB74-AC74)&gt;1,"Mismatch","OK")</f>
        <v>OK</v>
      </c>
      <c r="AE74" s="4" t="n">
        <f aca="false">IF(Y74=0,0,AC74/Y74)</f>
        <v>0.262401126957885</v>
      </c>
      <c r="AF74" s="2" t="s">
        <v>52</v>
      </c>
      <c r="AG74" s="2" t="s">
        <v>53</v>
      </c>
      <c r="AH74" s="2" t="str">
        <f aca="false">IF(AND(AG74="Completed",AF74&lt;&gt;"Paid"),"Inconsistent","OK")</f>
        <v>OK</v>
      </c>
      <c r="AI74" s="2" t="n">
        <f aca="false">IF(OR(ISBLANK(B74),ISBLANK(C74)),"",C74-B74)</f>
        <v>-4</v>
      </c>
      <c r="AJ74" s="2" t="str">
        <f aca="false">IF(AI74="","Unknown",IF(AI74&lt;0,"Invalid","OK"))</f>
        <v>Invalid</v>
      </c>
      <c r="AK74" s="2" t="str">
        <f aca="false">IF(ISBLANK(B74),"",TEXT(B74,"mmm"))</f>
        <v>Feb</v>
      </c>
      <c r="AL74" s="2" t="n">
        <f aca="false">IF(ISBLANK(B74),"",YEAR(B74))</f>
        <v>2024</v>
      </c>
      <c r="AM74" s="2" t="s">
        <v>41</v>
      </c>
      <c r="AN74" s="2" t="str">
        <f aca="false">IF(OR(W74="Invalid",AJ74="Invalid",AH74="Inconsistent",Z74="Mismatch",AD74="Mismatch",AM74="Yes",D74="Yes",E74="Yes"),"Invalid",IF(OR(J74="Yes",Q74="Yes",U74="Yes"),"Warning","Clean"))</f>
        <v>Invalid</v>
      </c>
    </row>
    <row r="75" customFormat="false" ht="15" hidden="false" customHeight="false" outlineLevel="0" collapsed="false">
      <c r="A75" s="2" t="s">
        <v>349</v>
      </c>
      <c r="B75" s="3" t="n">
        <v>45745</v>
      </c>
      <c r="C75" s="3" t="n">
        <v>45750</v>
      </c>
      <c r="D75" s="2" t="s">
        <v>41</v>
      </c>
      <c r="E75" s="2" t="s">
        <v>41</v>
      </c>
      <c r="F75" s="2" t="s">
        <v>350</v>
      </c>
      <c r="G75" s="2" t="s">
        <v>152</v>
      </c>
      <c r="H75" s="2" t="s">
        <v>110</v>
      </c>
      <c r="I75" s="2" t="s">
        <v>58</v>
      </c>
      <c r="J75" s="2" t="s">
        <v>41</v>
      </c>
      <c r="K75" s="2" t="s">
        <v>119</v>
      </c>
      <c r="L75" s="2" t="s">
        <v>120</v>
      </c>
      <c r="M75" s="2" t="s">
        <v>61</v>
      </c>
      <c r="N75" s="2" t="s">
        <v>178</v>
      </c>
      <c r="O75" s="2" t="s">
        <v>351</v>
      </c>
      <c r="P75" s="2" t="s">
        <v>70</v>
      </c>
      <c r="Q75" s="2" t="s">
        <v>41</v>
      </c>
      <c r="R75" s="2" t="n">
        <v>5</v>
      </c>
      <c r="S75" s="2" t="n">
        <v>1425.74</v>
      </c>
      <c r="T75" s="2" t="n">
        <v>0</v>
      </c>
      <c r="U75" s="2" t="str">
        <f aca="false">IF(ISBLANK(T75),"Yes","No")</f>
        <v>No</v>
      </c>
      <c r="V75" s="2" t="n">
        <f aca="false">IF(ISBLANK(T75),0,IF(ISNUMBER(T75),T75,VALUE(LEFT(T75,LEN(T75)-1))/100))</f>
        <v>0</v>
      </c>
      <c r="W75" s="2" t="str">
        <f aca="false">IF(AND(V75&gt;=0,V75&lt;=0.25),"Valid","Invalid")</f>
        <v>Valid</v>
      </c>
      <c r="X75" s="2" t="n">
        <v>7128.7</v>
      </c>
      <c r="Y75" s="2" t="n">
        <f aca="false">R75*S75*(1-V75)</f>
        <v>7128.7</v>
      </c>
      <c r="Z75" s="2" t="str">
        <f aca="false">IF(ABS(X75-Y75)&gt;1,"Mismatch","OK")</f>
        <v>OK</v>
      </c>
      <c r="AA75" s="2" t="n">
        <v>4382.15</v>
      </c>
      <c r="AB75" s="2" t="n">
        <v>2746.55</v>
      </c>
      <c r="AC75" s="2" t="n">
        <f aca="false">Y75-AA75</f>
        <v>2746.55</v>
      </c>
      <c r="AD75" s="2" t="str">
        <f aca="false">IF(ABS(AB75-AC75)&gt;1,"Mismatch","OK")</f>
        <v>OK</v>
      </c>
      <c r="AE75" s="4" t="n">
        <f aca="false">IF(Y75=0,0,AC75/Y75)</f>
        <v>0.385280626201131</v>
      </c>
      <c r="AF75" s="2" t="s">
        <v>52</v>
      </c>
      <c r="AG75" s="2" t="s">
        <v>53</v>
      </c>
      <c r="AH75" s="2" t="str">
        <f aca="false">IF(AND(AG75="Completed",AF75&lt;&gt;"Paid"),"Inconsistent","OK")</f>
        <v>OK</v>
      </c>
      <c r="AI75" s="2" t="n">
        <f aca="false">IF(OR(ISBLANK(B75),ISBLANK(C75)),"",C75-B75)</f>
        <v>5</v>
      </c>
      <c r="AJ75" s="2" t="str">
        <f aca="false">IF(AI75="","Unknown",IF(AI75&lt;0,"Invalid","OK"))</f>
        <v>OK</v>
      </c>
      <c r="AK75" s="2" t="str">
        <f aca="false">IF(ISBLANK(B75),"",TEXT(B75,"mmm"))</f>
        <v>Mar</v>
      </c>
      <c r="AL75" s="2" t="n">
        <f aca="false">IF(ISBLANK(B75),"",YEAR(B75))</f>
        <v>2025</v>
      </c>
      <c r="AM75" s="2" t="s">
        <v>41</v>
      </c>
      <c r="AN75" s="2" t="str">
        <f aca="false">IF(OR(W75="Invalid",AJ75="Invalid",AH75="Inconsistent",Z75="Mismatch",AD75="Mismatch",AM75="Yes",D75="Yes",E75="Yes"),"Invalid",IF(OR(J75="Yes",Q75="Yes",U75="Yes"),"Warning","Clean"))</f>
        <v>Clean</v>
      </c>
    </row>
    <row r="76" customFormat="false" ht="15" hidden="false" customHeight="false" outlineLevel="0" collapsed="false">
      <c r="A76" s="2" t="s">
        <v>352</v>
      </c>
      <c r="B76" s="3" t="n">
        <v>45715</v>
      </c>
      <c r="C76" s="3" t="n">
        <v>45717</v>
      </c>
      <c r="D76" s="2" t="s">
        <v>41</v>
      </c>
      <c r="E76" s="2" t="s">
        <v>41</v>
      </c>
      <c r="F76" s="2" t="s">
        <v>353</v>
      </c>
      <c r="G76" s="2" t="s">
        <v>91</v>
      </c>
      <c r="H76" s="2" t="s">
        <v>57</v>
      </c>
      <c r="I76" s="2" t="s">
        <v>58</v>
      </c>
      <c r="J76" s="2" t="s">
        <v>41</v>
      </c>
      <c r="K76" s="2" t="s">
        <v>119</v>
      </c>
      <c r="L76" s="2" t="s">
        <v>120</v>
      </c>
      <c r="M76" s="2" t="s">
        <v>61</v>
      </c>
      <c r="N76" s="2" t="s">
        <v>86</v>
      </c>
      <c r="O76" s="2" t="s">
        <v>354</v>
      </c>
      <c r="P76" s="2" t="s">
        <v>79</v>
      </c>
      <c r="Q76" s="2" t="s">
        <v>41</v>
      </c>
      <c r="R76" s="2" t="n">
        <v>6</v>
      </c>
      <c r="S76" s="2" t="n">
        <v>551.64</v>
      </c>
      <c r="T76" s="2" t="n">
        <v>0</v>
      </c>
      <c r="U76" s="2" t="str">
        <f aca="false">IF(ISBLANK(T76),"Yes","No")</f>
        <v>No</v>
      </c>
      <c r="V76" s="2" t="n">
        <f aca="false">IF(ISBLANK(T76),0,IF(ISNUMBER(T76),T76,VALUE(LEFT(T76,LEN(T76)-1))/100))</f>
        <v>0</v>
      </c>
      <c r="W76" s="2" t="str">
        <f aca="false">IF(AND(V76&gt;=0,V76&lt;=0.25),"Valid","Invalid")</f>
        <v>Valid</v>
      </c>
      <c r="X76" s="2" t="n">
        <v>3309.84</v>
      </c>
      <c r="Y76" s="2" t="n">
        <f aca="false">R76*S76*(1-V76)</f>
        <v>3309.84</v>
      </c>
      <c r="Z76" s="2" t="str">
        <f aca="false">IF(ABS(X76-Y76)&gt;1,"Mismatch","OK")</f>
        <v>OK</v>
      </c>
      <c r="AA76" s="2" t="n">
        <v>2671.08</v>
      </c>
      <c r="AB76" s="2" t="n">
        <v>638.76</v>
      </c>
      <c r="AC76" s="2" t="n">
        <f aca="false">Y76-AA76</f>
        <v>638.76</v>
      </c>
      <c r="AD76" s="2" t="str">
        <f aca="false">IF(ABS(AB76-AC76)&gt;1,"Mismatch","OK")</f>
        <v>OK</v>
      </c>
      <c r="AE76" s="4" t="n">
        <f aca="false">IF(Y76=0,0,AC76/Y76)</f>
        <v>0.192988180697556</v>
      </c>
      <c r="AF76" s="2" t="s">
        <v>52</v>
      </c>
      <c r="AG76" s="2" t="s">
        <v>53</v>
      </c>
      <c r="AH76" s="2" t="str">
        <f aca="false">IF(AND(AG76="Completed",AF76&lt;&gt;"Paid"),"Inconsistent","OK")</f>
        <v>OK</v>
      </c>
      <c r="AI76" s="2" t="n">
        <f aca="false">IF(OR(ISBLANK(B76),ISBLANK(C76)),"",C76-B76)</f>
        <v>2</v>
      </c>
      <c r="AJ76" s="2" t="str">
        <f aca="false">IF(AI76="","Unknown",IF(AI76&lt;0,"Invalid","OK"))</f>
        <v>OK</v>
      </c>
      <c r="AK76" s="2" t="str">
        <f aca="false">IF(ISBLANK(B76),"",TEXT(B76,"mmm"))</f>
        <v>Feb</v>
      </c>
      <c r="AL76" s="2" t="n">
        <f aca="false">IF(ISBLANK(B76),"",YEAR(B76))</f>
        <v>2025</v>
      </c>
      <c r="AM76" s="2" t="s">
        <v>41</v>
      </c>
      <c r="AN76" s="2" t="str">
        <f aca="false">IF(OR(W76="Invalid",AJ76="Invalid",AH76="Inconsistent",Z76="Mismatch",AD76="Mismatch",AM76="Yes",D76="Yes",E76="Yes"),"Invalid",IF(OR(J76="Yes",Q76="Yes",U76="Yes"),"Warning","Clean"))</f>
        <v>Clean</v>
      </c>
    </row>
    <row r="77" customFormat="false" ht="15" hidden="false" customHeight="false" outlineLevel="0" collapsed="false">
      <c r="A77" s="2" t="s">
        <v>355</v>
      </c>
      <c r="B77" s="3" t="n">
        <v>45891</v>
      </c>
      <c r="C77" s="3" t="n">
        <v>45896</v>
      </c>
      <c r="D77" s="2" t="s">
        <v>41</v>
      </c>
      <c r="E77" s="2" t="s">
        <v>41</v>
      </c>
      <c r="F77" s="2" t="s">
        <v>356</v>
      </c>
      <c r="G77" s="2" t="s">
        <v>134</v>
      </c>
      <c r="H77" s="2" t="s">
        <v>57</v>
      </c>
      <c r="I77" s="2" t="s">
        <v>58</v>
      </c>
      <c r="J77" s="2" t="s">
        <v>41</v>
      </c>
      <c r="K77" s="2" t="s">
        <v>59</v>
      </c>
      <c r="L77" s="2" t="s">
        <v>60</v>
      </c>
      <c r="M77" s="2" t="s">
        <v>48</v>
      </c>
      <c r="N77" s="2" t="s">
        <v>111</v>
      </c>
      <c r="O77" s="2" t="s">
        <v>357</v>
      </c>
      <c r="P77" s="2" t="s">
        <v>70</v>
      </c>
      <c r="Q77" s="2" t="s">
        <v>41</v>
      </c>
      <c r="R77" s="2" t="n">
        <v>3</v>
      </c>
      <c r="S77" s="2" t="n">
        <v>3294.82</v>
      </c>
      <c r="T77" s="2" t="n">
        <v>0.2</v>
      </c>
      <c r="U77" s="2" t="str">
        <f aca="false">IF(ISBLANK(T77),"Yes","No")</f>
        <v>No</v>
      </c>
      <c r="V77" s="2" t="n">
        <f aca="false">IF(ISBLANK(T77),0,IF(ISNUMBER(T77),T77,VALUE(LEFT(T77,LEN(T77)-1))/100))</f>
        <v>0.2</v>
      </c>
      <c r="W77" s="2" t="str">
        <f aca="false">IF(AND(V77&gt;=0,V77&lt;=0.25),"Valid","Invalid")</f>
        <v>Valid</v>
      </c>
      <c r="X77" s="2" t="n">
        <v>7907.57</v>
      </c>
      <c r="Y77" s="2" t="n">
        <f aca="false">R77*S77*(1-V77)</f>
        <v>7907.568</v>
      </c>
      <c r="Z77" s="2" t="str">
        <f aca="false">IF(ABS(X77-Y77)&gt;1,"Mismatch","OK")</f>
        <v>OK</v>
      </c>
      <c r="AA77" s="2" t="n">
        <v>5391.18</v>
      </c>
      <c r="AB77" s="2" t="n">
        <v>2516.39</v>
      </c>
      <c r="AC77" s="2" t="n">
        <f aca="false">Y77-AA77</f>
        <v>2516.388</v>
      </c>
      <c r="AD77" s="2" t="str">
        <f aca="false">IF(ABS(AB77-AC77)&gt;1,"Mismatch","OK")</f>
        <v>OK</v>
      </c>
      <c r="AE77" s="4" t="n">
        <f aca="false">IF(Y77=0,0,AC77/Y77)</f>
        <v>0.318225274825332</v>
      </c>
      <c r="AF77" s="2" t="s">
        <v>52</v>
      </c>
      <c r="AG77" s="2" t="s">
        <v>53</v>
      </c>
      <c r="AH77" s="2" t="str">
        <f aca="false">IF(AND(AG77="Completed",AF77&lt;&gt;"Paid"),"Inconsistent","OK")</f>
        <v>OK</v>
      </c>
      <c r="AI77" s="2" t="n">
        <f aca="false">IF(OR(ISBLANK(B77),ISBLANK(C77)),"",C77-B77)</f>
        <v>5</v>
      </c>
      <c r="AJ77" s="2" t="str">
        <f aca="false">IF(AI77="","Unknown",IF(AI77&lt;0,"Invalid","OK"))</f>
        <v>OK</v>
      </c>
      <c r="AK77" s="2" t="str">
        <f aca="false">IF(ISBLANK(B77),"",TEXT(B77,"mmm"))</f>
        <v>Aug</v>
      </c>
      <c r="AL77" s="2" t="n">
        <f aca="false">IF(ISBLANK(B77),"",YEAR(B77))</f>
        <v>2025</v>
      </c>
      <c r="AM77" s="2" t="s">
        <v>41</v>
      </c>
      <c r="AN77" s="2" t="str">
        <f aca="false">IF(OR(W77="Invalid",AJ77="Invalid",AH77="Inconsistent",Z77="Mismatch",AD77="Mismatch",AM77="Yes",D77="Yes",E77="Yes"),"Invalid",IF(OR(J77="Yes",Q77="Yes",U77="Yes"),"Warning","Clean"))</f>
        <v>Clean</v>
      </c>
    </row>
    <row r="78" customFormat="false" ht="15" hidden="false" customHeight="false" outlineLevel="0" collapsed="false">
      <c r="A78" s="2" t="s">
        <v>358</v>
      </c>
      <c r="B78" s="3" t="n">
        <v>45599</v>
      </c>
      <c r="C78" s="3" t="n">
        <v>45607</v>
      </c>
      <c r="D78" s="2" t="s">
        <v>41</v>
      </c>
      <c r="E78" s="2" t="s">
        <v>41</v>
      </c>
      <c r="F78" s="2" t="s">
        <v>359</v>
      </c>
      <c r="G78" s="2" t="s">
        <v>82</v>
      </c>
      <c r="H78" s="2" t="s">
        <v>110</v>
      </c>
      <c r="I78" s="2" t="s">
        <v>58</v>
      </c>
      <c r="J78" s="2" t="s">
        <v>41</v>
      </c>
      <c r="K78" s="2" t="s">
        <v>250</v>
      </c>
      <c r="L78" s="2" t="s">
        <v>251</v>
      </c>
      <c r="M78" s="2" t="s">
        <v>48</v>
      </c>
      <c r="N78" s="2" t="s">
        <v>111</v>
      </c>
      <c r="O78" s="2" t="s">
        <v>360</v>
      </c>
      <c r="P78" s="2" t="s">
        <v>51</v>
      </c>
      <c r="Q78" s="2" t="s">
        <v>41</v>
      </c>
      <c r="R78" s="2" t="n">
        <v>3</v>
      </c>
      <c r="S78" s="2" t="n">
        <v>3406.27</v>
      </c>
      <c r="T78" s="2" t="n">
        <v>0</v>
      </c>
      <c r="U78" s="2" t="str">
        <f aca="false">IF(ISBLANK(T78),"Yes","No")</f>
        <v>No</v>
      </c>
      <c r="V78" s="2" t="n">
        <f aca="false">IF(ISBLANK(T78),0,IF(ISNUMBER(T78),T78,VALUE(LEFT(T78,LEN(T78)-1))/100))</f>
        <v>0</v>
      </c>
      <c r="W78" s="2" t="str">
        <f aca="false">IF(AND(V78&gt;=0,V78&lt;=0.25),"Valid","Invalid")</f>
        <v>Valid</v>
      </c>
      <c r="X78" s="2" t="n">
        <v>10218.81</v>
      </c>
      <c r="Y78" s="2" t="n">
        <f aca="false">R78*S78*(1-V78)</f>
        <v>10218.81</v>
      </c>
      <c r="Z78" s="2" t="str">
        <f aca="false">IF(ABS(X78-Y78)&gt;1,"Mismatch","OK")</f>
        <v>OK</v>
      </c>
      <c r="AA78" s="2" t="n">
        <v>7616.97</v>
      </c>
      <c r="AB78" s="2" t="n">
        <v>2601.84</v>
      </c>
      <c r="AC78" s="2" t="n">
        <f aca="false">Y78-AA78</f>
        <v>2601.84</v>
      </c>
      <c r="AD78" s="2" t="str">
        <f aca="false">IF(ABS(AB78-AC78)&gt;1,"Mismatch","OK")</f>
        <v>OK</v>
      </c>
      <c r="AE78" s="4" t="n">
        <f aca="false">IF(Y78=0,0,AC78/Y78)</f>
        <v>0.254612816952267</v>
      </c>
      <c r="AF78" s="2" t="s">
        <v>52</v>
      </c>
      <c r="AG78" s="2" t="s">
        <v>53</v>
      </c>
      <c r="AH78" s="2" t="str">
        <f aca="false">IF(AND(AG78="Completed",AF78&lt;&gt;"Paid"),"Inconsistent","OK")</f>
        <v>OK</v>
      </c>
      <c r="AI78" s="2" t="n">
        <f aca="false">IF(OR(ISBLANK(B78),ISBLANK(C78)),"",C78-B78)</f>
        <v>8</v>
      </c>
      <c r="AJ78" s="2" t="str">
        <f aca="false">IF(AI78="","Unknown",IF(AI78&lt;0,"Invalid","OK"))</f>
        <v>OK</v>
      </c>
      <c r="AK78" s="2" t="str">
        <f aca="false">IF(ISBLANK(B78),"",TEXT(B78,"mmm"))</f>
        <v>Nov</v>
      </c>
      <c r="AL78" s="2" t="n">
        <f aca="false">IF(ISBLANK(B78),"",YEAR(B78))</f>
        <v>2024</v>
      </c>
      <c r="AM78" s="2" t="s">
        <v>41</v>
      </c>
      <c r="AN78" s="2" t="str">
        <f aca="false">IF(OR(W78="Invalid",AJ78="Invalid",AH78="Inconsistent",Z78="Mismatch",AD78="Mismatch",AM78="Yes",D78="Yes",E78="Yes"),"Invalid",IF(OR(J78="Yes",Q78="Yes",U78="Yes"),"Warning","Clean"))</f>
        <v>Clean</v>
      </c>
    </row>
    <row r="79" customFormat="false" ht="15" hidden="false" customHeight="false" outlineLevel="0" collapsed="false">
      <c r="A79" s="2" t="s">
        <v>361</v>
      </c>
      <c r="B79" s="3" t="n">
        <v>45846</v>
      </c>
      <c r="C79" s="3" t="n">
        <v>45850</v>
      </c>
      <c r="D79" s="2" t="s">
        <v>41</v>
      </c>
      <c r="E79" s="2" t="s">
        <v>41</v>
      </c>
      <c r="F79" s="2" t="s">
        <v>362</v>
      </c>
      <c r="G79" s="2" t="s">
        <v>161</v>
      </c>
      <c r="H79" s="2" t="s">
        <v>115</v>
      </c>
      <c r="I79" s="2" t="s">
        <v>45</v>
      </c>
      <c r="J79" s="2" t="s">
        <v>41</v>
      </c>
      <c r="K79" s="2" t="s">
        <v>156</v>
      </c>
      <c r="L79" s="2" t="s">
        <v>157</v>
      </c>
      <c r="M79" s="2" t="s">
        <v>61</v>
      </c>
      <c r="N79" s="2" t="s">
        <v>77</v>
      </c>
      <c r="O79" s="2" t="s">
        <v>363</v>
      </c>
      <c r="P79" s="2" t="s">
        <v>79</v>
      </c>
      <c r="Q79" s="2" t="s">
        <v>41</v>
      </c>
      <c r="R79" s="2" t="n">
        <v>1</v>
      </c>
      <c r="S79" s="2" t="n">
        <v>2582.2</v>
      </c>
      <c r="T79" s="2" t="n">
        <v>0.15</v>
      </c>
      <c r="U79" s="2" t="str">
        <f aca="false">IF(ISBLANK(T79),"Yes","No")</f>
        <v>No</v>
      </c>
      <c r="V79" s="2" t="n">
        <f aca="false">IF(ISBLANK(T79),0,IF(ISNUMBER(T79),T79,VALUE(LEFT(T79,LEN(T79)-1))/100))</f>
        <v>0.15</v>
      </c>
      <c r="W79" s="2" t="str">
        <f aca="false">IF(AND(V79&gt;=0,V79&lt;=0.25),"Valid","Invalid")</f>
        <v>Valid</v>
      </c>
      <c r="X79" s="2" t="n">
        <v>2194.87</v>
      </c>
      <c r="Y79" s="2" t="n">
        <f aca="false">R79*S79*(1-V79)</f>
        <v>2194.87</v>
      </c>
      <c r="Z79" s="2" t="str">
        <f aca="false">IF(ABS(X79-Y79)&gt;1,"Mismatch","OK")</f>
        <v>OK</v>
      </c>
      <c r="AA79" s="2" t="n">
        <v>1223.17</v>
      </c>
      <c r="AB79" s="2" t="n">
        <v>971.7</v>
      </c>
      <c r="AC79" s="2" t="n">
        <f aca="false">Y79-AA79</f>
        <v>971.7</v>
      </c>
      <c r="AD79" s="2" t="str">
        <f aca="false">IF(ABS(AB79-AC79)&gt;1,"Mismatch","OK")</f>
        <v>OK</v>
      </c>
      <c r="AE79" s="4" t="n">
        <f aca="false">IF(Y79=0,0,AC79/Y79)</f>
        <v>0.442714147079326</v>
      </c>
      <c r="AF79" s="2" t="s">
        <v>122</v>
      </c>
      <c r="AG79" s="2" t="s">
        <v>88</v>
      </c>
      <c r="AH79" s="2" t="str">
        <f aca="false">IF(AND(AG79="Completed",AF79&lt;&gt;"Paid"),"Inconsistent","OK")</f>
        <v>OK</v>
      </c>
      <c r="AI79" s="2" t="n">
        <f aca="false">IF(OR(ISBLANK(B79),ISBLANK(C79)),"",C79-B79)</f>
        <v>4</v>
      </c>
      <c r="AJ79" s="2" t="str">
        <f aca="false">IF(AI79="","Unknown",IF(AI79&lt;0,"Invalid","OK"))</f>
        <v>OK</v>
      </c>
      <c r="AK79" s="2" t="str">
        <f aca="false">IF(ISBLANK(B79),"",TEXT(B79,"mmm"))</f>
        <v>Jul</v>
      </c>
      <c r="AL79" s="2" t="n">
        <f aca="false">IF(ISBLANK(B79),"",YEAR(B79))</f>
        <v>2025</v>
      </c>
      <c r="AM79" s="2" t="s">
        <v>41</v>
      </c>
      <c r="AN79" s="2" t="str">
        <f aca="false">IF(OR(W79="Invalid",AJ79="Invalid",AH79="Inconsistent",Z79="Mismatch",AD79="Mismatch",AM79="Yes",D79="Yes",E79="Yes"),"Invalid",IF(OR(J79="Yes",Q79="Yes",U79="Yes"),"Warning","Clean"))</f>
        <v>Clean</v>
      </c>
    </row>
    <row r="80" customFormat="false" ht="15" hidden="false" customHeight="false" outlineLevel="0" collapsed="false">
      <c r="A80" s="2" t="s">
        <v>364</v>
      </c>
      <c r="B80" s="3" t="n">
        <v>45854</v>
      </c>
      <c r="C80" s="3" t="n">
        <v>45859</v>
      </c>
      <c r="D80" s="2" t="s">
        <v>41</v>
      </c>
      <c r="E80" s="2" t="s">
        <v>41</v>
      </c>
      <c r="F80" s="2" t="s">
        <v>365</v>
      </c>
      <c r="G80" s="2" t="s">
        <v>152</v>
      </c>
      <c r="H80" s="2" t="s">
        <v>110</v>
      </c>
      <c r="I80" s="2" t="s">
        <v>58</v>
      </c>
      <c r="J80" s="2" t="s">
        <v>41</v>
      </c>
      <c r="K80" s="2" t="s">
        <v>119</v>
      </c>
      <c r="L80" s="2" t="s">
        <v>120</v>
      </c>
      <c r="M80" s="2" t="s">
        <v>61</v>
      </c>
      <c r="N80" s="2" t="s">
        <v>62</v>
      </c>
      <c r="O80" s="2" t="s">
        <v>366</v>
      </c>
      <c r="P80" s="2" t="s">
        <v>70</v>
      </c>
      <c r="Q80" s="2" t="s">
        <v>41</v>
      </c>
      <c r="R80" s="2" t="n">
        <v>5</v>
      </c>
      <c r="S80" s="2" t="n">
        <v>2129.51</v>
      </c>
      <c r="T80" s="2" t="n">
        <v>0.15</v>
      </c>
      <c r="U80" s="2" t="str">
        <f aca="false">IF(ISBLANK(T80),"Yes","No")</f>
        <v>No</v>
      </c>
      <c r="V80" s="2" t="n">
        <f aca="false">IF(ISBLANK(T80),0,IF(ISNUMBER(T80),T80,VALUE(LEFT(T80,LEN(T80)-1))/100))</f>
        <v>0.15</v>
      </c>
      <c r="W80" s="2" t="str">
        <f aca="false">IF(AND(V80&gt;=0,V80&lt;=0.25),"Valid","Invalid")</f>
        <v>Valid</v>
      </c>
      <c r="X80" s="2" t="n">
        <v>9050.42</v>
      </c>
      <c r="Y80" s="2" t="n">
        <f aca="false">R80*S80*(1-V80)</f>
        <v>9050.4175</v>
      </c>
      <c r="Z80" s="2" t="str">
        <f aca="false">IF(ABS(X80-Y80)&gt;1,"Mismatch","OK")</f>
        <v>OK</v>
      </c>
      <c r="AA80" s="2" t="n">
        <v>6778.85</v>
      </c>
      <c r="AB80" s="2" t="n">
        <v>2271.57</v>
      </c>
      <c r="AC80" s="2" t="n">
        <f aca="false">Y80-AA80</f>
        <v>2271.5675</v>
      </c>
      <c r="AD80" s="2" t="str">
        <f aca="false">IF(ABS(AB80-AC80)&gt;1,"Mismatch","OK")</f>
        <v>OK</v>
      </c>
      <c r="AE80" s="4" t="n">
        <f aca="false">IF(Y80=0,0,AC80/Y80)</f>
        <v>0.250990354864845</v>
      </c>
      <c r="AF80" s="2" t="s">
        <v>52</v>
      </c>
      <c r="AG80" s="2" t="s">
        <v>53</v>
      </c>
      <c r="AH80" s="2" t="str">
        <f aca="false">IF(AND(AG80="Completed",AF80&lt;&gt;"Paid"),"Inconsistent","OK")</f>
        <v>OK</v>
      </c>
      <c r="AI80" s="2" t="n">
        <f aca="false">IF(OR(ISBLANK(B80),ISBLANK(C80)),"",C80-B80)</f>
        <v>5</v>
      </c>
      <c r="AJ80" s="2" t="str">
        <f aca="false">IF(AI80="","Unknown",IF(AI80&lt;0,"Invalid","OK"))</f>
        <v>OK</v>
      </c>
      <c r="AK80" s="2" t="str">
        <f aca="false">IF(ISBLANK(B80),"",TEXT(B80,"mmm"))</f>
        <v>Jul</v>
      </c>
      <c r="AL80" s="2" t="n">
        <f aca="false">IF(ISBLANK(B80),"",YEAR(B80))</f>
        <v>2025</v>
      </c>
      <c r="AM80" s="2" t="s">
        <v>41</v>
      </c>
      <c r="AN80" s="2" t="str">
        <f aca="false">IF(OR(W80="Invalid",AJ80="Invalid",AH80="Inconsistent",Z80="Mismatch",AD80="Mismatch",AM80="Yes",D80="Yes",E80="Yes"),"Invalid",IF(OR(J80="Yes",Q80="Yes",U80="Yes"),"Warning","Clean"))</f>
        <v>Clean</v>
      </c>
    </row>
    <row r="81" customFormat="false" ht="15" hidden="false" customHeight="false" outlineLevel="0" collapsed="false">
      <c r="A81" s="2" t="s">
        <v>367</v>
      </c>
      <c r="B81" s="3" t="n">
        <v>45927</v>
      </c>
      <c r="C81" s="3" t="n">
        <v>45933</v>
      </c>
      <c r="D81" s="2" t="s">
        <v>41</v>
      </c>
      <c r="E81" s="2" t="s">
        <v>41</v>
      </c>
      <c r="F81" s="2" t="s">
        <v>368</v>
      </c>
      <c r="G81" s="2" t="s">
        <v>182</v>
      </c>
      <c r="H81" s="2" t="s">
        <v>115</v>
      </c>
      <c r="I81" s="2" t="s">
        <v>74</v>
      </c>
      <c r="J81" s="2" t="s">
        <v>41</v>
      </c>
      <c r="K81" s="2" t="s">
        <v>269</v>
      </c>
      <c r="L81" s="2" t="s">
        <v>270</v>
      </c>
      <c r="M81" s="2" t="s">
        <v>61</v>
      </c>
      <c r="N81" s="2" t="s">
        <v>86</v>
      </c>
      <c r="O81" s="2" t="s">
        <v>369</v>
      </c>
      <c r="P81" s="2" t="s">
        <v>64</v>
      </c>
      <c r="Q81" s="2" t="s">
        <v>41</v>
      </c>
      <c r="R81" s="2" t="n">
        <v>9</v>
      </c>
      <c r="S81" s="2" t="n">
        <v>4131.52</v>
      </c>
      <c r="T81" s="2" t="n">
        <v>0.1</v>
      </c>
      <c r="U81" s="2" t="str">
        <f aca="false">IF(ISBLANK(T81),"Yes","No")</f>
        <v>No</v>
      </c>
      <c r="V81" s="2" t="n">
        <f aca="false">IF(ISBLANK(T81),0,IF(ISNUMBER(T81),T81,VALUE(LEFT(T81,LEN(T81)-1))/100))</f>
        <v>0.1</v>
      </c>
      <c r="W81" s="2" t="str">
        <f aca="false">IF(AND(V81&gt;=0,V81&lt;=0.25),"Valid","Invalid")</f>
        <v>Valid</v>
      </c>
      <c r="X81" s="2" t="n">
        <v>33465.31</v>
      </c>
      <c r="Y81" s="2" t="n">
        <f aca="false">R81*S81*(1-V81)</f>
        <v>33465.312</v>
      </c>
      <c r="Z81" s="2" t="str">
        <f aca="false">IF(ABS(X81-Y81)&gt;1,"Mismatch","OK")</f>
        <v>OK</v>
      </c>
      <c r="AA81" s="2" t="n">
        <v>24781.26</v>
      </c>
      <c r="AB81" s="2" t="n">
        <v>8684.05</v>
      </c>
      <c r="AC81" s="2" t="n">
        <f aca="false">Y81-AA81</f>
        <v>8684.05200000001</v>
      </c>
      <c r="AD81" s="2" t="str">
        <f aca="false">IF(ABS(AB81-AC81)&gt;1,"Mismatch","OK")</f>
        <v>OK</v>
      </c>
      <c r="AE81" s="4" t="n">
        <f aca="false">IF(Y81=0,0,AC81/Y81)</f>
        <v>0.259494129324119</v>
      </c>
      <c r="AF81" s="2" t="s">
        <v>52</v>
      </c>
      <c r="AG81" s="2" t="s">
        <v>53</v>
      </c>
      <c r="AH81" s="2" t="str">
        <f aca="false">IF(AND(AG81="Completed",AF81&lt;&gt;"Paid"),"Inconsistent","OK")</f>
        <v>OK</v>
      </c>
      <c r="AI81" s="2" t="n">
        <f aca="false">IF(OR(ISBLANK(B81),ISBLANK(C81)),"",C81-B81)</f>
        <v>6</v>
      </c>
      <c r="AJ81" s="2" t="str">
        <f aca="false">IF(AI81="","Unknown",IF(AI81&lt;0,"Invalid","OK"))</f>
        <v>OK</v>
      </c>
      <c r="AK81" s="2" t="str">
        <f aca="false">IF(ISBLANK(B81),"",TEXT(B81,"mmm"))</f>
        <v>Sep</v>
      </c>
      <c r="AL81" s="2" t="n">
        <f aca="false">IF(ISBLANK(B81),"",YEAR(B81))</f>
        <v>2025</v>
      </c>
      <c r="AM81" s="2" t="s">
        <v>41</v>
      </c>
      <c r="AN81" s="2" t="str">
        <f aca="false">IF(OR(W81="Invalid",AJ81="Invalid",AH81="Inconsistent",Z81="Mismatch",AD81="Mismatch",AM81="Yes",D81="Yes",E81="Yes"),"Invalid",IF(OR(J81="Yes",Q81="Yes",U81="Yes"),"Warning","Clean"))</f>
        <v>Clean</v>
      </c>
    </row>
    <row r="82" customFormat="false" ht="15" hidden="false" customHeight="false" outlineLevel="0" collapsed="false">
      <c r="A82" s="2" t="s">
        <v>370</v>
      </c>
      <c r="B82" s="3" t="n">
        <v>45514</v>
      </c>
      <c r="C82" s="3" t="n">
        <v>45518</v>
      </c>
      <c r="D82" s="2" t="s">
        <v>41</v>
      </c>
      <c r="E82" s="2" t="s">
        <v>41</v>
      </c>
      <c r="F82" s="2" t="s">
        <v>371</v>
      </c>
      <c r="G82" s="2" t="s">
        <v>148</v>
      </c>
      <c r="H82" s="2" t="s">
        <v>57</v>
      </c>
      <c r="I82" s="2" t="s">
        <v>45</v>
      </c>
      <c r="J82" s="2" t="s">
        <v>41</v>
      </c>
      <c r="K82" s="2" t="s">
        <v>372</v>
      </c>
      <c r="L82" s="2" t="s">
        <v>373</v>
      </c>
      <c r="M82" s="2" t="s">
        <v>48</v>
      </c>
      <c r="N82" s="2" t="s">
        <v>144</v>
      </c>
      <c r="O82" s="2" t="s">
        <v>374</v>
      </c>
      <c r="P82" s="2" t="s">
        <v>51</v>
      </c>
      <c r="Q82" s="2" t="s">
        <v>41</v>
      </c>
      <c r="R82" s="2" t="n">
        <v>4</v>
      </c>
      <c r="S82" s="2" t="n">
        <v>1182.32</v>
      </c>
      <c r="T82" s="2" t="n">
        <v>0.1</v>
      </c>
      <c r="U82" s="2" t="str">
        <f aca="false">IF(ISBLANK(T82),"Yes","No")</f>
        <v>No</v>
      </c>
      <c r="V82" s="2" t="n">
        <f aca="false">IF(ISBLANK(T82),0,IF(ISNUMBER(T82),T82,VALUE(LEFT(T82,LEN(T82)-1))/100))</f>
        <v>0.1</v>
      </c>
      <c r="W82" s="2" t="str">
        <f aca="false">IF(AND(V82&gt;=0,V82&lt;=0.25),"Valid","Invalid")</f>
        <v>Valid</v>
      </c>
      <c r="X82" s="2" t="n">
        <v>4256.35</v>
      </c>
      <c r="Y82" s="2" t="n">
        <f aca="false">R82*S82*(1-V82)</f>
        <v>4256.352</v>
      </c>
      <c r="Z82" s="2" t="str">
        <f aca="false">IF(ABS(X82-Y82)&gt;1,"Mismatch","OK")</f>
        <v>OK</v>
      </c>
      <c r="AA82" s="2" t="n">
        <v>2495.33</v>
      </c>
      <c r="AB82" s="2" t="n">
        <v>1761.02</v>
      </c>
      <c r="AC82" s="2" t="n">
        <f aca="false">Y82-AA82</f>
        <v>1761.022</v>
      </c>
      <c r="AD82" s="2" t="str">
        <f aca="false">IF(ABS(AB82-AC82)&gt;1,"Mismatch","OK")</f>
        <v>OK</v>
      </c>
      <c r="AE82" s="4" t="n">
        <f aca="false">IF(Y82=0,0,AC82/Y82)</f>
        <v>0.413739747088587</v>
      </c>
      <c r="AF82" s="2" t="s">
        <v>131</v>
      </c>
      <c r="AG82" s="2" t="s">
        <v>123</v>
      </c>
      <c r="AH82" s="2" t="str">
        <f aca="false">IF(AND(AG82="Completed",AF82&lt;&gt;"Paid"),"Inconsistent","OK")</f>
        <v>OK</v>
      </c>
      <c r="AI82" s="2" t="n">
        <f aca="false">IF(OR(ISBLANK(B82),ISBLANK(C82)),"",C82-B82)</f>
        <v>4</v>
      </c>
      <c r="AJ82" s="2" t="str">
        <f aca="false">IF(AI82="","Unknown",IF(AI82&lt;0,"Invalid","OK"))</f>
        <v>OK</v>
      </c>
      <c r="AK82" s="2" t="str">
        <f aca="false">IF(ISBLANK(B82),"",TEXT(B82,"mmm"))</f>
        <v>Aug</v>
      </c>
      <c r="AL82" s="2" t="n">
        <f aca="false">IF(ISBLANK(B82),"",YEAR(B82))</f>
        <v>2024</v>
      </c>
      <c r="AM82" s="2" t="s">
        <v>41</v>
      </c>
      <c r="AN82" s="2" t="str">
        <f aca="false">IF(OR(W82="Invalid",AJ82="Invalid",AH82="Inconsistent",Z82="Mismatch",AD82="Mismatch",AM82="Yes",D82="Yes",E82="Yes"),"Invalid",IF(OR(J82="Yes",Q82="Yes",U82="Yes"),"Warning","Clean"))</f>
        <v>Clean</v>
      </c>
    </row>
    <row r="83" customFormat="false" ht="15" hidden="false" customHeight="false" outlineLevel="0" collapsed="false">
      <c r="A83" s="2" t="s">
        <v>375</v>
      </c>
      <c r="B83" s="3" t="n">
        <v>45732</v>
      </c>
      <c r="C83" s="3" t="n">
        <v>45733</v>
      </c>
      <c r="D83" s="2" t="s">
        <v>41</v>
      </c>
      <c r="E83" s="2" t="s">
        <v>41</v>
      </c>
      <c r="F83" s="2" t="s">
        <v>376</v>
      </c>
      <c r="G83" s="2" t="s">
        <v>43</v>
      </c>
      <c r="H83" s="2" t="s">
        <v>115</v>
      </c>
      <c r="I83" s="2" t="s">
        <v>83</v>
      </c>
      <c r="J83" s="2" t="s">
        <v>41</v>
      </c>
      <c r="K83" s="2" t="s">
        <v>210</v>
      </c>
      <c r="L83" s="2" t="s">
        <v>211</v>
      </c>
      <c r="M83" s="2" t="s">
        <v>48</v>
      </c>
      <c r="N83" s="2" t="s">
        <v>111</v>
      </c>
      <c r="O83" s="2" t="s">
        <v>377</v>
      </c>
      <c r="P83" s="2" t="s">
        <v>64</v>
      </c>
      <c r="Q83" s="2" t="s">
        <v>41</v>
      </c>
      <c r="R83" s="2" t="n">
        <v>3</v>
      </c>
      <c r="S83" s="2" t="n">
        <v>1841.91</v>
      </c>
      <c r="T83" s="2" t="n">
        <v>0</v>
      </c>
      <c r="U83" s="2" t="str">
        <f aca="false">IF(ISBLANK(T83),"Yes","No")</f>
        <v>No</v>
      </c>
      <c r="V83" s="2" t="n">
        <f aca="false">IF(ISBLANK(T83),0,IF(ISNUMBER(T83),T83,VALUE(LEFT(T83,LEN(T83)-1))/100))</f>
        <v>0</v>
      </c>
      <c r="W83" s="2" t="str">
        <f aca="false">IF(AND(V83&gt;=0,V83&lt;=0.25),"Valid","Invalid")</f>
        <v>Valid</v>
      </c>
      <c r="X83" s="2" t="n">
        <v>5525.73</v>
      </c>
      <c r="Y83" s="2" t="n">
        <f aca="false">R83*S83*(1-V83)</f>
        <v>5525.73</v>
      </c>
      <c r="Z83" s="2" t="str">
        <f aca="false">IF(ABS(X83-Y83)&gt;1,"Mismatch","OK")</f>
        <v>OK</v>
      </c>
      <c r="AA83" s="2" t="n">
        <v>3093.42</v>
      </c>
      <c r="AB83" s="2" t="n">
        <v>2432.31</v>
      </c>
      <c r="AC83" s="2" t="n">
        <f aca="false">Y83-AA83</f>
        <v>2432.31</v>
      </c>
      <c r="AD83" s="2" t="str">
        <f aca="false">IF(ABS(AB83-AC83)&gt;1,"Mismatch","OK")</f>
        <v>OK</v>
      </c>
      <c r="AE83" s="4" t="n">
        <f aca="false">IF(Y83=0,0,AC83/Y83)</f>
        <v>0.440178944682422</v>
      </c>
      <c r="AF83" s="2" t="s">
        <v>52</v>
      </c>
      <c r="AG83" s="2" t="s">
        <v>53</v>
      </c>
      <c r="AH83" s="2" t="str">
        <f aca="false">IF(AND(AG83="Completed",AF83&lt;&gt;"Paid"),"Inconsistent","OK")</f>
        <v>OK</v>
      </c>
      <c r="AI83" s="2" t="n">
        <f aca="false">IF(OR(ISBLANK(B83),ISBLANK(C83)),"",C83-B83)</f>
        <v>1</v>
      </c>
      <c r="AJ83" s="2" t="str">
        <f aca="false">IF(AI83="","Unknown",IF(AI83&lt;0,"Invalid","OK"))</f>
        <v>OK</v>
      </c>
      <c r="AK83" s="2" t="str">
        <f aca="false">IF(ISBLANK(B83),"",TEXT(B83,"mmm"))</f>
        <v>Mar</v>
      </c>
      <c r="AL83" s="2" t="n">
        <f aca="false">IF(ISBLANK(B83),"",YEAR(B83))</f>
        <v>2025</v>
      </c>
      <c r="AM83" s="2" t="s">
        <v>41</v>
      </c>
      <c r="AN83" s="2" t="str">
        <f aca="false">IF(OR(W83="Invalid",AJ83="Invalid",AH83="Inconsistent",Z83="Mismatch",AD83="Mismatch",AM83="Yes",D83="Yes",E83="Yes"),"Invalid",IF(OR(J83="Yes",Q83="Yes",U83="Yes"),"Warning","Clean"))</f>
        <v>Clean</v>
      </c>
    </row>
    <row r="84" customFormat="false" ht="15" hidden="false" customHeight="false" outlineLevel="0" collapsed="false">
      <c r="A84" s="2" t="s">
        <v>378</v>
      </c>
      <c r="B84" s="3" t="n">
        <v>45507</v>
      </c>
      <c r="C84" s="3" t="n">
        <v>45508</v>
      </c>
      <c r="D84" s="2" t="s">
        <v>41</v>
      </c>
      <c r="E84" s="2" t="s">
        <v>41</v>
      </c>
      <c r="F84" s="2" t="s">
        <v>379</v>
      </c>
      <c r="G84" s="2" t="s">
        <v>73</v>
      </c>
      <c r="H84" s="2" t="s">
        <v>44</v>
      </c>
      <c r="I84" s="2" t="s">
        <v>45</v>
      </c>
      <c r="J84" s="2" t="s">
        <v>41</v>
      </c>
      <c r="K84" s="2" t="s">
        <v>156</v>
      </c>
      <c r="L84" s="2" t="s">
        <v>157</v>
      </c>
      <c r="M84" s="2" t="s">
        <v>94</v>
      </c>
      <c r="N84" s="2" t="s">
        <v>100</v>
      </c>
      <c r="O84" s="2" t="s">
        <v>380</v>
      </c>
      <c r="P84" s="2" t="s">
        <v>51</v>
      </c>
      <c r="Q84" s="2" t="s">
        <v>41</v>
      </c>
      <c r="R84" s="2" t="n">
        <v>6</v>
      </c>
      <c r="S84" s="2" t="n">
        <v>1001.73</v>
      </c>
      <c r="T84" s="2" t="n">
        <v>0</v>
      </c>
      <c r="U84" s="2" t="str">
        <f aca="false">IF(ISBLANK(T84),"Yes","No")</f>
        <v>No</v>
      </c>
      <c r="V84" s="2" t="n">
        <f aca="false">IF(ISBLANK(T84),0,IF(ISNUMBER(T84),T84,VALUE(LEFT(T84,LEN(T84)-1))/100))</f>
        <v>0</v>
      </c>
      <c r="W84" s="2" t="str">
        <f aca="false">IF(AND(V84&gt;=0,V84&lt;=0.25),"Valid","Invalid")</f>
        <v>Valid</v>
      </c>
      <c r="X84" s="2" t="n">
        <v>6010.38</v>
      </c>
      <c r="Y84" s="2" t="n">
        <f aca="false">R84*S84*(1-V84)</f>
        <v>6010.38</v>
      </c>
      <c r="Z84" s="2" t="str">
        <f aca="false">IF(ABS(X84-Y84)&gt;1,"Mismatch","OK")</f>
        <v>OK</v>
      </c>
      <c r="AA84" s="2" t="n">
        <v>3762.85</v>
      </c>
      <c r="AB84" s="2" t="n">
        <v>2247.53</v>
      </c>
      <c r="AC84" s="2" t="n">
        <f aca="false">Y84-AA84</f>
        <v>2247.53</v>
      </c>
      <c r="AD84" s="2" t="str">
        <f aca="false">IF(ABS(AB84-AC84)&gt;1,"Mismatch","OK")</f>
        <v>OK</v>
      </c>
      <c r="AE84" s="4" t="n">
        <f aca="false">IF(Y84=0,0,AC84/Y84)</f>
        <v>0.373941414685927</v>
      </c>
      <c r="AF84" s="2" t="s">
        <v>175</v>
      </c>
      <c r="AG84" s="2" t="s">
        <v>123</v>
      </c>
      <c r="AH84" s="2" t="str">
        <f aca="false">IF(AND(AG84="Completed",AF84&lt;&gt;"Paid"),"Inconsistent","OK")</f>
        <v>OK</v>
      </c>
      <c r="AI84" s="2" t="n">
        <f aca="false">IF(OR(ISBLANK(B84),ISBLANK(C84)),"",C84-B84)</f>
        <v>1</v>
      </c>
      <c r="AJ84" s="2" t="str">
        <f aca="false">IF(AI84="","Unknown",IF(AI84&lt;0,"Invalid","OK"))</f>
        <v>OK</v>
      </c>
      <c r="AK84" s="2" t="str">
        <f aca="false">IF(ISBLANK(B84),"",TEXT(B84,"mmm"))</f>
        <v>Aug</v>
      </c>
      <c r="AL84" s="2" t="n">
        <f aca="false">IF(ISBLANK(B84),"",YEAR(B84))</f>
        <v>2024</v>
      </c>
      <c r="AM84" s="2" t="s">
        <v>41</v>
      </c>
      <c r="AN84" s="2" t="str">
        <f aca="false">IF(OR(W84="Invalid",AJ84="Invalid",AH84="Inconsistent",Z84="Mismatch",AD84="Mismatch",AM84="Yes",D84="Yes",E84="Yes"),"Invalid",IF(OR(J84="Yes",Q84="Yes",U84="Yes"),"Warning","Clean"))</f>
        <v>Clean</v>
      </c>
    </row>
    <row r="85" customFormat="false" ht="15" hidden="false" customHeight="false" outlineLevel="0" collapsed="false">
      <c r="A85" s="2" t="s">
        <v>381</v>
      </c>
      <c r="B85" s="3" t="n">
        <v>45591</v>
      </c>
      <c r="C85" s="3" t="n">
        <v>45594</v>
      </c>
      <c r="D85" s="2" t="s">
        <v>41</v>
      </c>
      <c r="E85" s="2" t="s">
        <v>41</v>
      </c>
      <c r="F85" s="2" t="s">
        <v>382</v>
      </c>
      <c r="G85" s="2" t="s">
        <v>109</v>
      </c>
      <c r="H85" s="2" t="s">
        <v>115</v>
      </c>
      <c r="I85" s="2" t="s">
        <v>83</v>
      </c>
      <c r="J85" s="2" t="s">
        <v>41</v>
      </c>
      <c r="K85" s="2" t="s">
        <v>84</v>
      </c>
      <c r="L85" s="2" t="s">
        <v>85</v>
      </c>
      <c r="M85" s="2" t="s">
        <v>61</v>
      </c>
      <c r="N85" s="2" t="s">
        <v>62</v>
      </c>
      <c r="O85" s="2" t="s">
        <v>383</v>
      </c>
      <c r="P85" s="2" t="s">
        <v>51</v>
      </c>
      <c r="Q85" s="2" t="s">
        <v>41</v>
      </c>
      <c r="R85" s="2" t="n">
        <v>9</v>
      </c>
      <c r="S85" s="2" t="n">
        <v>131.74</v>
      </c>
      <c r="T85" s="2" t="n">
        <v>0.2</v>
      </c>
      <c r="U85" s="2" t="str">
        <f aca="false">IF(ISBLANK(T85),"Yes","No")</f>
        <v>No</v>
      </c>
      <c r="V85" s="2" t="n">
        <f aca="false">IF(ISBLANK(T85),0,IF(ISNUMBER(T85),T85,VALUE(LEFT(T85,LEN(T85)-1))/100))</f>
        <v>0.2</v>
      </c>
      <c r="W85" s="2" t="str">
        <f aca="false">IF(AND(V85&gt;=0,V85&lt;=0.25),"Valid","Invalid")</f>
        <v>Valid</v>
      </c>
      <c r="X85" s="2" t="n">
        <v>948.53</v>
      </c>
      <c r="Y85" s="2" t="n">
        <f aca="false">R85*S85*(1-V85)</f>
        <v>948.528</v>
      </c>
      <c r="Z85" s="2" t="str">
        <f aca="false">IF(ABS(X85-Y85)&gt;1,"Mismatch","OK")</f>
        <v>OK</v>
      </c>
      <c r="AA85" s="2" t="n">
        <v>674.62</v>
      </c>
      <c r="AB85" s="2" t="n">
        <v>273.91</v>
      </c>
      <c r="AC85" s="2" t="n">
        <f aca="false">Y85-AA85</f>
        <v>273.908</v>
      </c>
      <c r="AD85" s="2" t="str">
        <f aca="false">IF(ABS(AB85-AC85)&gt;1,"Mismatch","OK")</f>
        <v>OK</v>
      </c>
      <c r="AE85" s="4" t="n">
        <f aca="false">IF(Y85=0,0,AC85/Y85)</f>
        <v>0.288771654605874</v>
      </c>
      <c r="AF85" s="2" t="s">
        <v>52</v>
      </c>
      <c r="AG85" s="2" t="s">
        <v>53</v>
      </c>
      <c r="AH85" s="2" t="str">
        <f aca="false">IF(AND(AG85="Completed",AF85&lt;&gt;"Paid"),"Inconsistent","OK")</f>
        <v>OK</v>
      </c>
      <c r="AI85" s="2" t="n">
        <f aca="false">IF(OR(ISBLANK(B85),ISBLANK(C85)),"",C85-B85)</f>
        <v>3</v>
      </c>
      <c r="AJ85" s="2" t="str">
        <f aca="false">IF(AI85="","Unknown",IF(AI85&lt;0,"Invalid","OK"))</f>
        <v>OK</v>
      </c>
      <c r="AK85" s="2" t="str">
        <f aca="false">IF(ISBLANK(B85),"",TEXT(B85,"mmm"))</f>
        <v>Oct</v>
      </c>
      <c r="AL85" s="2" t="n">
        <f aca="false">IF(ISBLANK(B85),"",YEAR(B85))</f>
        <v>2024</v>
      </c>
      <c r="AM85" s="2" t="s">
        <v>41</v>
      </c>
      <c r="AN85" s="2" t="str">
        <f aca="false">IF(OR(W85="Invalid",AJ85="Invalid",AH85="Inconsistent",Z85="Mismatch",AD85="Mismatch",AM85="Yes",D85="Yes",E85="Yes"),"Invalid",IF(OR(J85="Yes",Q85="Yes",U85="Yes"),"Warning","Clean"))</f>
        <v>Clean</v>
      </c>
    </row>
    <row r="86" customFormat="false" ht="15" hidden="false" customHeight="false" outlineLevel="0" collapsed="false">
      <c r="A86" s="2" t="s">
        <v>384</v>
      </c>
      <c r="B86" s="3" t="n">
        <v>45566</v>
      </c>
      <c r="C86" s="3" t="n">
        <v>45568</v>
      </c>
      <c r="D86" s="2" t="s">
        <v>41</v>
      </c>
      <c r="E86" s="2" t="s">
        <v>41</v>
      </c>
      <c r="F86" s="2" t="s">
        <v>385</v>
      </c>
      <c r="G86" s="2" t="s">
        <v>161</v>
      </c>
      <c r="H86" s="2" t="s">
        <v>110</v>
      </c>
      <c r="I86" s="2" t="s">
        <v>74</v>
      </c>
      <c r="J86" s="2" t="s">
        <v>41</v>
      </c>
      <c r="K86" s="2" t="s">
        <v>269</v>
      </c>
      <c r="L86" s="2" t="s">
        <v>270</v>
      </c>
      <c r="M86" s="2" t="s">
        <v>94</v>
      </c>
      <c r="N86" s="2" t="s">
        <v>191</v>
      </c>
      <c r="O86" s="2" t="s">
        <v>386</v>
      </c>
      <c r="P86" s="2" t="s">
        <v>51</v>
      </c>
      <c r="Q86" s="2" t="s">
        <v>41</v>
      </c>
      <c r="R86" s="2" t="n">
        <v>6</v>
      </c>
      <c r="S86" s="2" t="n">
        <v>570.28</v>
      </c>
      <c r="T86" s="2" t="n">
        <v>0.2</v>
      </c>
      <c r="U86" s="2" t="str">
        <f aca="false">IF(ISBLANK(T86),"Yes","No")</f>
        <v>No</v>
      </c>
      <c r="V86" s="2" t="n">
        <f aca="false">IF(ISBLANK(T86),0,IF(ISNUMBER(T86),T86,VALUE(LEFT(T86,LEN(T86)-1))/100))</f>
        <v>0.2</v>
      </c>
      <c r="W86" s="2" t="str">
        <f aca="false">IF(AND(V86&gt;=0,V86&lt;=0.25),"Valid","Invalid")</f>
        <v>Valid</v>
      </c>
      <c r="X86" s="2" t="n">
        <v>2737.34</v>
      </c>
      <c r="Y86" s="2" t="n">
        <f aca="false">R86*S86*(1-V86)</f>
        <v>2737.344</v>
      </c>
      <c r="Z86" s="2" t="str">
        <f aca="false">IF(ABS(X86-Y86)&gt;1,"Mismatch","OK")</f>
        <v>OK</v>
      </c>
      <c r="AA86" s="2" t="n">
        <v>2085.44</v>
      </c>
      <c r="AB86" s="2" t="n">
        <v>651.9</v>
      </c>
      <c r="AC86" s="2" t="n">
        <f aca="false">Y86-AA86</f>
        <v>651.904</v>
      </c>
      <c r="AD86" s="2" t="str">
        <f aca="false">IF(ABS(AB86-AC86)&gt;1,"Mismatch","OK")</f>
        <v>OK</v>
      </c>
      <c r="AE86" s="4" t="n">
        <f aca="false">IF(Y86=0,0,AC86/Y86)</f>
        <v>0.238152018891305</v>
      </c>
      <c r="AF86" s="2" t="s">
        <v>52</v>
      </c>
      <c r="AG86" s="2" t="s">
        <v>53</v>
      </c>
      <c r="AH86" s="2" t="str">
        <f aca="false">IF(AND(AG86="Completed",AF86&lt;&gt;"Paid"),"Inconsistent","OK")</f>
        <v>OK</v>
      </c>
      <c r="AI86" s="2" t="n">
        <f aca="false">IF(OR(ISBLANK(B86),ISBLANK(C86)),"",C86-B86)</f>
        <v>2</v>
      </c>
      <c r="AJ86" s="2" t="str">
        <f aca="false">IF(AI86="","Unknown",IF(AI86&lt;0,"Invalid","OK"))</f>
        <v>OK</v>
      </c>
      <c r="AK86" s="2" t="str">
        <f aca="false">IF(ISBLANK(B86),"",TEXT(B86,"mmm"))</f>
        <v>Oct</v>
      </c>
      <c r="AL86" s="2" t="n">
        <f aca="false">IF(ISBLANK(B86),"",YEAR(B86))</f>
        <v>2024</v>
      </c>
      <c r="AM86" s="2" t="s">
        <v>41</v>
      </c>
      <c r="AN86" s="2" t="str">
        <f aca="false">IF(OR(W86="Invalid",AJ86="Invalid",AH86="Inconsistent",Z86="Mismatch",AD86="Mismatch",AM86="Yes",D86="Yes",E86="Yes"),"Invalid",IF(OR(J86="Yes",Q86="Yes",U86="Yes"),"Warning","Clean"))</f>
        <v>Clean</v>
      </c>
    </row>
    <row r="87" customFormat="false" ht="15" hidden="false" customHeight="false" outlineLevel="0" collapsed="false">
      <c r="A87" s="2" t="s">
        <v>387</v>
      </c>
      <c r="B87" s="3" t="n">
        <v>45503</v>
      </c>
      <c r="C87" s="3" t="n">
        <v>45509</v>
      </c>
      <c r="D87" s="2" t="s">
        <v>41</v>
      </c>
      <c r="E87" s="2" t="s">
        <v>41</v>
      </c>
      <c r="F87" s="2" t="s">
        <v>388</v>
      </c>
      <c r="G87" s="2" t="s">
        <v>286</v>
      </c>
      <c r="H87" s="2" t="s">
        <v>110</v>
      </c>
      <c r="I87" s="2" t="s">
        <v>45</v>
      </c>
      <c r="J87" s="2" t="s">
        <v>41</v>
      </c>
      <c r="K87" s="2" t="s">
        <v>372</v>
      </c>
      <c r="L87" s="2" t="s">
        <v>373</v>
      </c>
      <c r="M87" s="2" t="s">
        <v>48</v>
      </c>
      <c r="N87" s="2" t="s">
        <v>173</v>
      </c>
      <c r="O87" s="2" t="s">
        <v>389</v>
      </c>
      <c r="P87" s="2" t="s">
        <v>79</v>
      </c>
      <c r="Q87" s="2" t="s">
        <v>41</v>
      </c>
      <c r="R87" s="2" t="n">
        <v>1</v>
      </c>
      <c r="S87" s="2" t="n">
        <v>608.64</v>
      </c>
      <c r="T87" s="2" t="n">
        <v>0</v>
      </c>
      <c r="U87" s="2" t="str">
        <f aca="false">IF(ISBLANK(T87),"Yes","No")</f>
        <v>No</v>
      </c>
      <c r="V87" s="2" t="n">
        <f aca="false">IF(ISBLANK(T87),0,IF(ISNUMBER(T87),T87,VALUE(LEFT(T87,LEN(T87)-1))/100))</f>
        <v>0</v>
      </c>
      <c r="W87" s="2" t="str">
        <f aca="false">IF(AND(V87&gt;=0,V87&lt;=0.25),"Valid","Invalid")</f>
        <v>Valid</v>
      </c>
      <c r="X87" s="2" t="n">
        <v>608.64</v>
      </c>
      <c r="Y87" s="2" t="n">
        <f aca="false">R87*S87*(1-V87)</f>
        <v>608.64</v>
      </c>
      <c r="Z87" s="2" t="str">
        <f aca="false">IF(ABS(X87-Y87)&gt;1,"Mismatch","OK")</f>
        <v>OK</v>
      </c>
      <c r="AA87" s="2" t="n">
        <v>343.99</v>
      </c>
      <c r="AB87" s="2" t="n">
        <v>264.65</v>
      </c>
      <c r="AC87" s="2" t="n">
        <f aca="false">Y87-AA87</f>
        <v>264.65</v>
      </c>
      <c r="AD87" s="2" t="str">
        <f aca="false">IF(ABS(AB87-AC87)&gt;1,"Mismatch","OK")</f>
        <v>OK</v>
      </c>
      <c r="AE87" s="4" t="n">
        <f aca="false">IF(Y87=0,0,AC87/Y87)</f>
        <v>0.434821898002103</v>
      </c>
      <c r="AF87" s="2" t="s">
        <v>52</v>
      </c>
      <c r="AG87" s="2" t="s">
        <v>88</v>
      </c>
      <c r="AH87" s="2" t="str">
        <f aca="false">IF(AND(AG87="Completed",AF87&lt;&gt;"Paid"),"Inconsistent","OK")</f>
        <v>OK</v>
      </c>
      <c r="AI87" s="2" t="n">
        <f aca="false">IF(OR(ISBLANK(B87),ISBLANK(C87)),"",C87-B87)</f>
        <v>6</v>
      </c>
      <c r="AJ87" s="2" t="str">
        <f aca="false">IF(AI87="","Unknown",IF(AI87&lt;0,"Invalid","OK"))</f>
        <v>OK</v>
      </c>
      <c r="AK87" s="2" t="str">
        <f aca="false">IF(ISBLANK(B87),"",TEXT(B87,"mmm"))</f>
        <v>Jul</v>
      </c>
      <c r="AL87" s="2" t="n">
        <f aca="false">IF(ISBLANK(B87),"",YEAR(B87))</f>
        <v>2024</v>
      </c>
      <c r="AM87" s="2" t="s">
        <v>41</v>
      </c>
      <c r="AN87" s="2" t="str">
        <f aca="false">IF(OR(W87="Invalid",AJ87="Invalid",AH87="Inconsistent",Z87="Mismatch",AD87="Mismatch",AM87="Yes",D87="Yes",E87="Yes"),"Invalid",IF(OR(J87="Yes",Q87="Yes",U87="Yes"),"Warning","Clean"))</f>
        <v>Clean</v>
      </c>
    </row>
    <row r="88" customFormat="false" ht="15" hidden="false" customHeight="false" outlineLevel="0" collapsed="false">
      <c r="A88" s="2" t="s">
        <v>390</v>
      </c>
      <c r="B88" s="3" t="n">
        <v>45474</v>
      </c>
      <c r="C88" s="3" t="n">
        <v>45474</v>
      </c>
      <c r="D88" s="2" t="s">
        <v>41</v>
      </c>
      <c r="E88" s="2" t="s">
        <v>41</v>
      </c>
      <c r="F88" s="2" t="s">
        <v>391</v>
      </c>
      <c r="G88" s="2" t="s">
        <v>82</v>
      </c>
      <c r="H88" s="2" t="s">
        <v>57</v>
      </c>
      <c r="I88" s="2" t="s">
        <v>45</v>
      </c>
      <c r="J88" s="2" t="s">
        <v>41</v>
      </c>
      <c r="K88" s="2" t="s">
        <v>372</v>
      </c>
      <c r="L88" s="2" t="s">
        <v>373</v>
      </c>
      <c r="M88" s="2" t="s">
        <v>94</v>
      </c>
      <c r="N88" s="2" t="s">
        <v>100</v>
      </c>
      <c r="O88" s="2" t="s">
        <v>392</v>
      </c>
      <c r="P88" s="2" t="s">
        <v>51</v>
      </c>
      <c r="Q88" s="2" t="s">
        <v>41</v>
      </c>
      <c r="R88" s="2" t="n">
        <v>3</v>
      </c>
      <c r="S88" s="2" t="n">
        <v>885.28</v>
      </c>
      <c r="T88" s="2" t="n">
        <v>0.1</v>
      </c>
      <c r="U88" s="2" t="str">
        <f aca="false">IF(ISBLANK(T88),"Yes","No")</f>
        <v>No</v>
      </c>
      <c r="V88" s="2" t="n">
        <f aca="false">IF(ISBLANK(T88),0,IF(ISNUMBER(T88),T88,VALUE(LEFT(T88,LEN(T88)-1))/100))</f>
        <v>0.1</v>
      </c>
      <c r="W88" s="2" t="str">
        <f aca="false">IF(AND(V88&gt;=0,V88&lt;=0.25),"Valid","Invalid")</f>
        <v>Valid</v>
      </c>
      <c r="X88" s="2" t="n">
        <v>2390.26</v>
      </c>
      <c r="Y88" s="2" t="n">
        <f aca="false">R88*S88*(1-V88)</f>
        <v>2390.256</v>
      </c>
      <c r="Z88" s="2" t="str">
        <f aca="false">IF(ABS(X88-Y88)&gt;1,"Mismatch","OK")</f>
        <v>OK</v>
      </c>
      <c r="AA88" s="2" t="n">
        <v>1495.94</v>
      </c>
      <c r="AB88" s="2" t="n">
        <v>894.32</v>
      </c>
      <c r="AC88" s="2" t="n">
        <f aca="false">Y88-AA88</f>
        <v>894.316</v>
      </c>
      <c r="AD88" s="2" t="str">
        <f aca="false">IF(ABS(AB88-AC88)&gt;1,"Mismatch","OK")</f>
        <v>OK</v>
      </c>
      <c r="AE88" s="4" t="n">
        <f aca="false">IF(Y88=0,0,AC88/Y88)</f>
        <v>0.374150718584118</v>
      </c>
      <c r="AF88" s="2" t="s">
        <v>122</v>
      </c>
      <c r="AG88" s="2" t="s">
        <v>88</v>
      </c>
      <c r="AH88" s="2" t="str">
        <f aca="false">IF(AND(AG88="Completed",AF88&lt;&gt;"Paid"),"Inconsistent","OK")</f>
        <v>OK</v>
      </c>
      <c r="AI88" s="2" t="n">
        <f aca="false">IF(OR(ISBLANK(B88),ISBLANK(C88)),"",C88-B88)</f>
        <v>0</v>
      </c>
      <c r="AJ88" s="2" t="str">
        <f aca="false">IF(AI88="","Unknown",IF(AI88&lt;0,"Invalid","OK"))</f>
        <v>OK</v>
      </c>
      <c r="AK88" s="2" t="str">
        <f aca="false">IF(ISBLANK(B88),"",TEXT(B88,"mmm"))</f>
        <v>Jul</v>
      </c>
      <c r="AL88" s="2" t="n">
        <f aca="false">IF(ISBLANK(B88),"",YEAR(B88))</f>
        <v>2024</v>
      </c>
      <c r="AM88" s="2" t="s">
        <v>41</v>
      </c>
      <c r="AN88" s="2" t="str">
        <f aca="false">IF(OR(W88="Invalid",AJ88="Invalid",AH88="Inconsistent",Z88="Mismatch",AD88="Mismatch",AM88="Yes",D88="Yes",E88="Yes"),"Invalid",IF(OR(J88="Yes",Q88="Yes",U88="Yes"),"Warning","Clean"))</f>
        <v>Clean</v>
      </c>
    </row>
    <row r="89" customFormat="false" ht="15" hidden="false" customHeight="false" outlineLevel="0" collapsed="false">
      <c r="A89" s="2" t="s">
        <v>393</v>
      </c>
      <c r="B89" s="3" t="n">
        <v>45506</v>
      </c>
      <c r="C89" s="3" t="n">
        <v>45507</v>
      </c>
      <c r="D89" s="2" t="s">
        <v>41</v>
      </c>
      <c r="E89" s="2" t="s">
        <v>41</v>
      </c>
      <c r="F89" s="2" t="s">
        <v>394</v>
      </c>
      <c r="G89" s="2" t="s">
        <v>91</v>
      </c>
      <c r="H89" s="2" t="s">
        <v>44</v>
      </c>
      <c r="I89" s="2" t="s">
        <v>58</v>
      </c>
      <c r="J89" s="2" t="s">
        <v>41</v>
      </c>
      <c r="K89" s="2" t="s">
        <v>186</v>
      </c>
      <c r="L89" s="2" t="s">
        <v>187</v>
      </c>
      <c r="M89" s="2" t="s">
        <v>48</v>
      </c>
      <c r="N89" s="2" t="s">
        <v>173</v>
      </c>
      <c r="O89" s="2" t="s">
        <v>395</v>
      </c>
      <c r="P89" s="2" t="s">
        <v>79</v>
      </c>
      <c r="Q89" s="2" t="s">
        <v>41</v>
      </c>
      <c r="R89" s="2" t="n">
        <v>7</v>
      </c>
      <c r="S89" s="2" t="n">
        <v>3345.22</v>
      </c>
      <c r="T89" s="2" t="n">
        <v>0</v>
      </c>
      <c r="U89" s="2" t="str">
        <f aca="false">IF(ISBLANK(T89),"Yes","No")</f>
        <v>No</v>
      </c>
      <c r="V89" s="2" t="n">
        <f aca="false">IF(ISBLANK(T89),0,IF(ISNUMBER(T89),T89,VALUE(LEFT(T89,LEN(T89)-1))/100))</f>
        <v>0</v>
      </c>
      <c r="W89" s="2" t="str">
        <f aca="false">IF(AND(V89&gt;=0,V89&lt;=0.25),"Valid","Invalid")</f>
        <v>Valid</v>
      </c>
      <c r="X89" s="2" t="n">
        <v>23416.54</v>
      </c>
      <c r="Y89" s="2" t="n">
        <f aca="false">R89*S89*(1-V89)</f>
        <v>23416.54</v>
      </c>
      <c r="Z89" s="2" t="str">
        <f aca="false">IF(ABS(X89-Y89)&gt;1,"Mismatch","OK")</f>
        <v>OK</v>
      </c>
      <c r="AA89" s="2" t="n">
        <v>15490.89</v>
      </c>
      <c r="AB89" s="2" t="n">
        <v>7925.65</v>
      </c>
      <c r="AC89" s="2" t="n">
        <f aca="false">Y89-AA89</f>
        <v>7925.65</v>
      </c>
      <c r="AD89" s="2" t="str">
        <f aca="false">IF(ABS(AB89-AC89)&gt;1,"Mismatch","OK")</f>
        <v>OK</v>
      </c>
      <c r="AE89" s="4" t="n">
        <f aca="false">IF(Y89=0,0,AC89/Y89)</f>
        <v>0.338463752544142</v>
      </c>
      <c r="AF89" s="2" t="s">
        <v>52</v>
      </c>
      <c r="AG89" s="2" t="s">
        <v>53</v>
      </c>
      <c r="AH89" s="2" t="str">
        <f aca="false">IF(AND(AG89="Completed",AF89&lt;&gt;"Paid"),"Inconsistent","OK")</f>
        <v>OK</v>
      </c>
      <c r="AI89" s="2" t="n">
        <f aca="false">IF(OR(ISBLANK(B89),ISBLANK(C89)),"",C89-B89)</f>
        <v>1</v>
      </c>
      <c r="AJ89" s="2" t="str">
        <f aca="false">IF(AI89="","Unknown",IF(AI89&lt;0,"Invalid","OK"))</f>
        <v>OK</v>
      </c>
      <c r="AK89" s="2" t="str">
        <f aca="false">IF(ISBLANK(B89),"",TEXT(B89,"mmm"))</f>
        <v>Aug</v>
      </c>
      <c r="AL89" s="2" t="n">
        <f aca="false">IF(ISBLANK(B89),"",YEAR(B89))</f>
        <v>2024</v>
      </c>
      <c r="AM89" s="2" t="s">
        <v>41</v>
      </c>
      <c r="AN89" s="2" t="str">
        <f aca="false">IF(OR(W89="Invalid",AJ89="Invalid",AH89="Inconsistent",Z89="Mismatch",AD89="Mismatch",AM89="Yes",D89="Yes",E89="Yes"),"Invalid",IF(OR(J89="Yes",Q89="Yes",U89="Yes"),"Warning","Clean"))</f>
        <v>Clean</v>
      </c>
    </row>
    <row r="90" customFormat="false" ht="15" hidden="false" customHeight="false" outlineLevel="0" collapsed="false">
      <c r="A90" s="2" t="s">
        <v>396</v>
      </c>
      <c r="B90" s="3" t="n">
        <v>45375</v>
      </c>
      <c r="C90" s="3" t="n">
        <v>45378</v>
      </c>
      <c r="D90" s="2" t="s">
        <v>41</v>
      </c>
      <c r="E90" s="2" t="s">
        <v>41</v>
      </c>
      <c r="F90" s="2" t="s">
        <v>397</v>
      </c>
      <c r="G90" s="2" t="s">
        <v>161</v>
      </c>
      <c r="H90" s="2" t="s">
        <v>57</v>
      </c>
      <c r="I90" s="2" t="s">
        <v>83</v>
      </c>
      <c r="J90" s="2" t="s">
        <v>41</v>
      </c>
      <c r="K90" s="2" t="s">
        <v>84</v>
      </c>
      <c r="L90" s="2" t="s">
        <v>85</v>
      </c>
      <c r="M90" s="2" t="s">
        <v>61</v>
      </c>
      <c r="N90" s="2" t="s">
        <v>178</v>
      </c>
      <c r="O90" s="2" t="s">
        <v>398</v>
      </c>
      <c r="P90" s="2" t="s">
        <v>79</v>
      </c>
      <c r="Q90" s="2" t="s">
        <v>41</v>
      </c>
      <c r="R90" s="2" t="n">
        <v>2</v>
      </c>
      <c r="S90" s="2" t="n">
        <v>3284.75</v>
      </c>
      <c r="T90" s="2" t="n">
        <v>0.05</v>
      </c>
      <c r="U90" s="2" t="str">
        <f aca="false">IF(ISBLANK(T90),"Yes","No")</f>
        <v>No</v>
      </c>
      <c r="V90" s="2" t="n">
        <f aca="false">IF(ISBLANK(T90),0,IF(ISNUMBER(T90),T90,VALUE(LEFT(T90,LEN(T90)-1))/100))</f>
        <v>0.05</v>
      </c>
      <c r="W90" s="2" t="str">
        <f aca="false">IF(AND(V90&gt;=0,V90&lt;=0.25),"Valid","Invalid")</f>
        <v>Valid</v>
      </c>
      <c r="X90" s="2" t="n">
        <v>6241.02</v>
      </c>
      <c r="Y90" s="2" t="n">
        <f aca="false">R90*S90*(1-V90)</f>
        <v>6241.025</v>
      </c>
      <c r="Z90" s="2" t="str">
        <f aca="false">IF(ABS(X90-Y90)&gt;1,"Mismatch","OK")</f>
        <v>OK</v>
      </c>
      <c r="AA90" s="2" t="n">
        <v>5345.88</v>
      </c>
      <c r="AB90" s="2" t="n">
        <v>895.14</v>
      </c>
      <c r="AC90" s="2" t="n">
        <f aca="false">Y90-AA90</f>
        <v>895.145</v>
      </c>
      <c r="AD90" s="2" t="str">
        <f aca="false">IF(ABS(AB90-AC90)&gt;1,"Mismatch","OK")</f>
        <v>OK</v>
      </c>
      <c r="AE90" s="4" t="n">
        <f aca="false">IF(Y90=0,0,AC90/Y90)</f>
        <v>0.143429164279906</v>
      </c>
      <c r="AF90" s="2" t="s">
        <v>52</v>
      </c>
      <c r="AG90" s="2" t="s">
        <v>53</v>
      </c>
      <c r="AH90" s="2" t="str">
        <f aca="false">IF(AND(AG90="Completed",AF90&lt;&gt;"Paid"),"Inconsistent","OK")</f>
        <v>OK</v>
      </c>
      <c r="AI90" s="2" t="n">
        <f aca="false">IF(OR(ISBLANK(B90),ISBLANK(C90)),"",C90-B90)</f>
        <v>3</v>
      </c>
      <c r="AJ90" s="2" t="str">
        <f aca="false">IF(AI90="","Unknown",IF(AI90&lt;0,"Invalid","OK"))</f>
        <v>OK</v>
      </c>
      <c r="AK90" s="2" t="str">
        <f aca="false">IF(ISBLANK(B90),"",TEXT(B90,"mmm"))</f>
        <v>Mar</v>
      </c>
      <c r="AL90" s="2" t="n">
        <f aca="false">IF(ISBLANK(B90),"",YEAR(B90))</f>
        <v>2024</v>
      </c>
      <c r="AM90" s="2" t="s">
        <v>41</v>
      </c>
      <c r="AN90" s="2" t="str">
        <f aca="false">IF(OR(W90="Invalid",AJ90="Invalid",AH90="Inconsistent",Z90="Mismatch",AD90="Mismatch",AM90="Yes",D90="Yes",E90="Yes"),"Invalid",IF(OR(J90="Yes",Q90="Yes",U90="Yes"),"Warning","Clean"))</f>
        <v>Clean</v>
      </c>
    </row>
    <row r="91" customFormat="false" ht="15" hidden="false" customHeight="false" outlineLevel="0" collapsed="false">
      <c r="A91" s="2" t="s">
        <v>399</v>
      </c>
      <c r="B91" s="3" t="n">
        <v>45540</v>
      </c>
      <c r="C91" s="3" t="n">
        <v>45540</v>
      </c>
      <c r="D91" s="2" t="s">
        <v>41</v>
      </c>
      <c r="E91" s="2" t="s">
        <v>41</v>
      </c>
      <c r="F91" s="2" t="s">
        <v>400</v>
      </c>
      <c r="G91" s="2" t="s">
        <v>286</v>
      </c>
      <c r="H91" s="2" t="s">
        <v>44</v>
      </c>
      <c r="I91" s="2" t="s">
        <v>74</v>
      </c>
      <c r="J91" s="2" t="s">
        <v>41</v>
      </c>
      <c r="K91" s="2" t="s">
        <v>104</v>
      </c>
      <c r="L91" s="2" t="s">
        <v>105</v>
      </c>
      <c r="M91" s="2" t="s">
        <v>61</v>
      </c>
      <c r="N91" s="2" t="s">
        <v>178</v>
      </c>
      <c r="O91" s="2" t="s">
        <v>401</v>
      </c>
      <c r="P91" s="2" t="s">
        <v>79</v>
      </c>
      <c r="Q91" s="2" t="s">
        <v>41</v>
      </c>
      <c r="R91" s="2" t="n">
        <v>7</v>
      </c>
      <c r="S91" s="2" t="n">
        <v>3761.09</v>
      </c>
      <c r="T91" s="2" t="n">
        <v>0.2</v>
      </c>
      <c r="U91" s="2" t="str">
        <f aca="false">IF(ISBLANK(T91),"Yes","No")</f>
        <v>No</v>
      </c>
      <c r="V91" s="2" t="n">
        <f aca="false">IF(ISBLANK(T91),0,IF(ISNUMBER(T91),T91,VALUE(LEFT(T91,LEN(T91)-1))/100))</f>
        <v>0.2</v>
      </c>
      <c r="W91" s="2" t="str">
        <f aca="false">IF(AND(V91&gt;=0,V91&lt;=0.25),"Valid","Invalid")</f>
        <v>Valid</v>
      </c>
      <c r="X91" s="2" t="n">
        <v>21062.1</v>
      </c>
      <c r="Y91" s="2" t="n">
        <f aca="false">R91*S91*(1-V91)</f>
        <v>21062.104</v>
      </c>
      <c r="Z91" s="2" t="str">
        <f aca="false">IF(ABS(X91-Y91)&gt;1,"Mismatch","OK")</f>
        <v>OK</v>
      </c>
      <c r="AA91" s="2" t="n">
        <v>12057.13</v>
      </c>
      <c r="AB91" s="2" t="n">
        <v>9004.97</v>
      </c>
      <c r="AC91" s="2" t="n">
        <f aca="false">Y91-AA91</f>
        <v>9004.974</v>
      </c>
      <c r="AD91" s="2" t="str">
        <f aca="false">IF(ABS(AB91-AC91)&gt;1,"Mismatch","OK")</f>
        <v>OK</v>
      </c>
      <c r="AE91" s="4" t="n">
        <f aca="false">IF(Y91=0,0,AC91/Y91)</f>
        <v>0.427543895899479</v>
      </c>
      <c r="AF91" s="2" t="s">
        <v>131</v>
      </c>
      <c r="AG91" s="2" t="s">
        <v>88</v>
      </c>
      <c r="AH91" s="2" t="str">
        <f aca="false">IF(AND(AG91="Completed",AF91&lt;&gt;"Paid"),"Inconsistent","OK")</f>
        <v>OK</v>
      </c>
      <c r="AI91" s="2" t="n">
        <f aca="false">IF(OR(ISBLANK(B91),ISBLANK(C91)),"",C91-B91)</f>
        <v>0</v>
      </c>
      <c r="AJ91" s="2" t="str">
        <f aca="false">IF(AI91="","Unknown",IF(AI91&lt;0,"Invalid","OK"))</f>
        <v>OK</v>
      </c>
      <c r="AK91" s="2" t="str">
        <f aca="false">IF(ISBLANK(B91),"",TEXT(B91,"mmm"))</f>
        <v>Sep</v>
      </c>
      <c r="AL91" s="2" t="n">
        <f aca="false">IF(ISBLANK(B91),"",YEAR(B91))</f>
        <v>2024</v>
      </c>
      <c r="AM91" s="2" t="s">
        <v>41</v>
      </c>
      <c r="AN91" s="2" t="str">
        <f aca="false">IF(OR(W91="Invalid",AJ91="Invalid",AH91="Inconsistent",Z91="Mismatch",AD91="Mismatch",AM91="Yes",D91="Yes",E91="Yes"),"Invalid",IF(OR(J91="Yes",Q91="Yes",U91="Yes"),"Warning","Clean"))</f>
        <v>Clean</v>
      </c>
    </row>
    <row r="92" customFormat="false" ht="15" hidden="false" customHeight="false" outlineLevel="0" collapsed="false">
      <c r="A92" s="2" t="s">
        <v>402</v>
      </c>
      <c r="B92" s="3" t="n">
        <v>45893</v>
      </c>
      <c r="C92" s="3" t="n">
        <v>45898</v>
      </c>
      <c r="D92" s="2" t="s">
        <v>41</v>
      </c>
      <c r="E92" s="2" t="s">
        <v>41</v>
      </c>
      <c r="F92" s="2" t="s">
        <v>403</v>
      </c>
      <c r="G92" s="2" t="s">
        <v>148</v>
      </c>
      <c r="H92" s="2" t="s">
        <v>57</v>
      </c>
      <c r="I92" s="2" t="s">
        <v>58</v>
      </c>
      <c r="J92" s="2" t="s">
        <v>41</v>
      </c>
      <c r="K92" s="2" t="s">
        <v>165</v>
      </c>
      <c r="L92" s="2" t="s">
        <v>166</v>
      </c>
      <c r="M92" s="2" t="s">
        <v>94</v>
      </c>
      <c r="N92" s="2" t="s">
        <v>100</v>
      </c>
      <c r="O92" s="2" t="s">
        <v>404</v>
      </c>
      <c r="P92" s="2" t="s">
        <v>70</v>
      </c>
      <c r="Q92" s="2" t="s">
        <v>41</v>
      </c>
      <c r="R92" s="2" t="n">
        <v>3</v>
      </c>
      <c r="S92" s="2" t="n">
        <v>3703.96</v>
      </c>
      <c r="T92" s="2" t="n">
        <v>0.15</v>
      </c>
      <c r="U92" s="2" t="str">
        <f aca="false">IF(ISBLANK(T92),"Yes","No")</f>
        <v>No</v>
      </c>
      <c r="V92" s="2" t="n">
        <f aca="false">IF(ISBLANK(T92),0,IF(ISNUMBER(T92),T92,VALUE(LEFT(T92,LEN(T92)-1))/100))</f>
        <v>0.15</v>
      </c>
      <c r="W92" s="2" t="str">
        <f aca="false">IF(AND(V92&gt;=0,V92&lt;=0.25),"Valid","Invalid")</f>
        <v>Valid</v>
      </c>
      <c r="X92" s="2" t="n">
        <v>9445.1</v>
      </c>
      <c r="Y92" s="2" t="n">
        <f aca="false">R92*S92*(1-V92)</f>
        <v>9445.098</v>
      </c>
      <c r="Z92" s="2" t="str">
        <f aca="false">IF(ABS(X92-Y92)&gt;1,"Mismatch","OK")</f>
        <v>OK</v>
      </c>
      <c r="AA92" s="2" t="n">
        <v>5586.28</v>
      </c>
      <c r="AB92" s="2" t="n">
        <v>3858.82</v>
      </c>
      <c r="AC92" s="2" t="n">
        <f aca="false">Y92-AA92</f>
        <v>3858.818</v>
      </c>
      <c r="AD92" s="2" t="str">
        <f aca="false">IF(ABS(AB92-AC92)&gt;1,"Mismatch","OK")</f>
        <v>OK</v>
      </c>
      <c r="AE92" s="4" t="n">
        <f aca="false">IF(Y92=0,0,AC92/Y92)</f>
        <v>0.4085524575817</v>
      </c>
      <c r="AF92" s="2" t="s">
        <v>52</v>
      </c>
      <c r="AG92" s="2" t="s">
        <v>53</v>
      </c>
      <c r="AH92" s="2" t="str">
        <f aca="false">IF(AND(AG92="Completed",AF92&lt;&gt;"Paid"),"Inconsistent","OK")</f>
        <v>OK</v>
      </c>
      <c r="AI92" s="2" t="n">
        <f aca="false">IF(OR(ISBLANK(B92),ISBLANK(C92)),"",C92-B92)</f>
        <v>5</v>
      </c>
      <c r="AJ92" s="2" t="str">
        <f aca="false">IF(AI92="","Unknown",IF(AI92&lt;0,"Invalid","OK"))</f>
        <v>OK</v>
      </c>
      <c r="AK92" s="2" t="str">
        <f aca="false">IF(ISBLANK(B92),"",TEXT(B92,"mmm"))</f>
        <v>Aug</v>
      </c>
      <c r="AL92" s="2" t="n">
        <f aca="false">IF(ISBLANK(B92),"",YEAR(B92))</f>
        <v>2025</v>
      </c>
      <c r="AM92" s="2" t="s">
        <v>226</v>
      </c>
      <c r="AN92" s="2" t="str">
        <f aca="false">IF(OR(W92="Invalid",AJ92="Invalid",AH92="Inconsistent",Z92="Mismatch",AD92="Mismatch",AM92="Yes",D92="Yes",E92="Yes"),"Invalid",IF(OR(J92="Yes",Q92="Yes",U92="Yes"),"Warning","Clean"))</f>
        <v>Invalid</v>
      </c>
    </row>
    <row r="93" customFormat="false" ht="15" hidden="false" customHeight="false" outlineLevel="0" collapsed="false">
      <c r="A93" s="2" t="s">
        <v>405</v>
      </c>
      <c r="B93" s="3" t="n">
        <v>45718</v>
      </c>
      <c r="C93" s="3" t="n">
        <v>45724</v>
      </c>
      <c r="D93" s="2" t="s">
        <v>41</v>
      </c>
      <c r="E93" s="2" t="s">
        <v>41</v>
      </c>
      <c r="F93" s="2" t="s">
        <v>406</v>
      </c>
      <c r="G93" s="2" t="s">
        <v>152</v>
      </c>
      <c r="H93" s="2" t="s">
        <v>110</v>
      </c>
      <c r="I93" s="2" t="s">
        <v>83</v>
      </c>
      <c r="J93" s="2" t="s">
        <v>41</v>
      </c>
      <c r="K93" s="2" t="s">
        <v>92</v>
      </c>
      <c r="L93" s="2" t="s">
        <v>93</v>
      </c>
      <c r="M93" s="2" t="s">
        <v>94</v>
      </c>
      <c r="N93" s="2" t="s">
        <v>100</v>
      </c>
      <c r="O93" s="2" t="s">
        <v>407</v>
      </c>
      <c r="P93" s="2" t="s">
        <v>51</v>
      </c>
      <c r="Q93" s="2" t="s">
        <v>41</v>
      </c>
      <c r="R93" s="2" t="n">
        <v>9</v>
      </c>
      <c r="S93" s="2" t="n">
        <v>269.68</v>
      </c>
      <c r="T93" s="2" t="n">
        <v>0</v>
      </c>
      <c r="U93" s="2" t="str">
        <f aca="false">IF(ISBLANK(T93),"Yes","No")</f>
        <v>No</v>
      </c>
      <c r="V93" s="2" t="n">
        <f aca="false">IF(ISBLANK(T93),0,IF(ISNUMBER(T93),T93,VALUE(LEFT(T93,LEN(T93)-1))/100))</f>
        <v>0</v>
      </c>
      <c r="W93" s="2" t="str">
        <f aca="false">IF(AND(V93&gt;=0,V93&lt;=0.25),"Valid","Invalid")</f>
        <v>Valid</v>
      </c>
      <c r="X93" s="2" t="n">
        <v>2427.12</v>
      </c>
      <c r="Y93" s="2" t="n">
        <f aca="false">R93*S93*(1-V93)</f>
        <v>2427.12</v>
      </c>
      <c r="Z93" s="2" t="str">
        <f aca="false">IF(ABS(X93-Y93)&gt;1,"Mismatch","OK")</f>
        <v>OK</v>
      </c>
      <c r="AA93" s="2" t="n">
        <v>1538.35</v>
      </c>
      <c r="AB93" s="2" t="n">
        <v>804.53</v>
      </c>
      <c r="AC93" s="2" t="n">
        <f aca="false">Y93-AA93</f>
        <v>888.77</v>
      </c>
      <c r="AD93" s="2" t="str">
        <f aca="false">IF(ABS(AB93-AC93)&gt;1,"Mismatch","OK")</f>
        <v>Mismatch</v>
      </c>
      <c r="AE93" s="4" t="n">
        <f aca="false">IF(Y93=0,0,AC93/Y93)</f>
        <v>0.366182965819572</v>
      </c>
      <c r="AF93" s="2" t="s">
        <v>52</v>
      </c>
      <c r="AG93" s="2" t="s">
        <v>53</v>
      </c>
      <c r="AH93" s="2" t="str">
        <f aca="false">IF(AND(AG93="Completed",AF93&lt;&gt;"Paid"),"Inconsistent","OK")</f>
        <v>OK</v>
      </c>
      <c r="AI93" s="2" t="n">
        <f aca="false">IF(OR(ISBLANK(B93),ISBLANK(C93)),"",C93-B93)</f>
        <v>6</v>
      </c>
      <c r="AJ93" s="2" t="str">
        <f aca="false">IF(AI93="","Unknown",IF(AI93&lt;0,"Invalid","OK"))</f>
        <v>OK</v>
      </c>
      <c r="AK93" s="2" t="str">
        <f aca="false">IF(ISBLANK(B93),"",TEXT(B93,"mmm"))</f>
        <v>Mar</v>
      </c>
      <c r="AL93" s="2" t="n">
        <f aca="false">IF(ISBLANK(B93),"",YEAR(B93))</f>
        <v>2025</v>
      </c>
      <c r="AM93" s="2" t="s">
        <v>41</v>
      </c>
      <c r="AN93" s="2" t="str">
        <f aca="false">IF(OR(W93="Invalid",AJ93="Invalid",AH93="Inconsistent",Z93="Mismatch",AD93="Mismatch",AM93="Yes",D93="Yes",E93="Yes"),"Invalid",IF(OR(J93="Yes",Q93="Yes",U93="Yes"),"Warning","Clean"))</f>
        <v>Invalid</v>
      </c>
    </row>
    <row r="94" customFormat="false" ht="15" hidden="false" customHeight="false" outlineLevel="0" collapsed="false">
      <c r="A94" s="2" t="s">
        <v>408</v>
      </c>
      <c r="B94" s="3" t="n">
        <v>45680</v>
      </c>
      <c r="C94" s="3" t="n">
        <v>45683</v>
      </c>
      <c r="D94" s="2" t="s">
        <v>41</v>
      </c>
      <c r="E94" s="2" t="s">
        <v>41</v>
      </c>
      <c r="F94" s="2" t="s">
        <v>409</v>
      </c>
      <c r="G94" s="2" t="s">
        <v>148</v>
      </c>
      <c r="H94" s="2" t="s">
        <v>44</v>
      </c>
      <c r="I94" s="2" t="s">
        <v>83</v>
      </c>
      <c r="J94" s="2" t="s">
        <v>41</v>
      </c>
      <c r="K94" s="2" t="s">
        <v>92</v>
      </c>
      <c r="L94" s="2" t="s">
        <v>93</v>
      </c>
      <c r="M94" s="2" t="s">
        <v>48</v>
      </c>
      <c r="N94" s="2" t="s">
        <v>49</v>
      </c>
      <c r="O94" s="2" t="s">
        <v>410</v>
      </c>
      <c r="P94" s="2" t="s">
        <v>79</v>
      </c>
      <c r="Q94" s="2" t="s">
        <v>41</v>
      </c>
      <c r="R94" s="2" t="n">
        <v>9</v>
      </c>
      <c r="S94" s="2" t="n">
        <v>4458.26</v>
      </c>
      <c r="T94" s="2" t="n">
        <v>0.1</v>
      </c>
      <c r="U94" s="2" t="str">
        <f aca="false">IF(ISBLANK(T94),"Yes","No")</f>
        <v>No</v>
      </c>
      <c r="V94" s="2" t="n">
        <f aca="false">IF(ISBLANK(T94),0,IF(ISNUMBER(T94),T94,VALUE(LEFT(T94,LEN(T94)-1))/100))</f>
        <v>0.1</v>
      </c>
      <c r="W94" s="2" t="str">
        <f aca="false">IF(AND(V94&gt;=0,V94&lt;=0.25),"Valid","Invalid")</f>
        <v>Valid</v>
      </c>
      <c r="X94" s="2" t="n">
        <v>36111.91</v>
      </c>
      <c r="Y94" s="2" t="n">
        <f aca="false">R94*S94*(1-V94)</f>
        <v>36111.906</v>
      </c>
      <c r="Z94" s="2" t="str">
        <f aca="false">IF(ABS(X94-Y94)&gt;1,"Mismatch","OK")</f>
        <v>OK</v>
      </c>
      <c r="AA94" s="2" t="n">
        <v>29194.5</v>
      </c>
      <c r="AB94" s="2" t="n">
        <v>6917.41</v>
      </c>
      <c r="AC94" s="2" t="n">
        <f aca="false">Y94-AA94</f>
        <v>6917.406</v>
      </c>
      <c r="AD94" s="2" t="str">
        <f aca="false">IF(ABS(AB94-AC94)&gt;1,"Mismatch","OK")</f>
        <v>OK</v>
      </c>
      <c r="AE94" s="4" t="n">
        <f aca="false">IF(Y94=0,0,AC94/Y94)</f>
        <v>0.191554718823205</v>
      </c>
      <c r="AF94" s="2" t="s">
        <v>52</v>
      </c>
      <c r="AG94" s="2" t="s">
        <v>53</v>
      </c>
      <c r="AH94" s="2" t="str">
        <f aca="false">IF(AND(AG94="Completed",AF94&lt;&gt;"Paid"),"Inconsistent","OK")</f>
        <v>OK</v>
      </c>
      <c r="AI94" s="2" t="n">
        <f aca="false">IF(OR(ISBLANK(B94),ISBLANK(C94)),"",C94-B94)</f>
        <v>3</v>
      </c>
      <c r="AJ94" s="2" t="str">
        <f aca="false">IF(AI94="","Unknown",IF(AI94&lt;0,"Invalid","OK"))</f>
        <v>OK</v>
      </c>
      <c r="AK94" s="2" t="str">
        <f aca="false">IF(ISBLANK(B94),"",TEXT(B94,"mmm"))</f>
        <v>Jan</v>
      </c>
      <c r="AL94" s="2" t="n">
        <f aca="false">IF(ISBLANK(B94),"",YEAR(B94))</f>
        <v>2025</v>
      </c>
      <c r="AM94" s="2" t="s">
        <v>41</v>
      </c>
      <c r="AN94" s="2" t="str">
        <f aca="false">IF(OR(W94="Invalid",AJ94="Invalid",AH94="Inconsistent",Z94="Mismatch",AD94="Mismatch",AM94="Yes",D94="Yes",E94="Yes"),"Invalid",IF(OR(J94="Yes",Q94="Yes",U94="Yes"),"Warning","Clean"))</f>
        <v>Clean</v>
      </c>
    </row>
    <row r="95" customFormat="false" ht="15" hidden="false" customHeight="false" outlineLevel="0" collapsed="false">
      <c r="A95" s="2" t="s">
        <v>411</v>
      </c>
      <c r="B95" s="3" t="n">
        <v>45298</v>
      </c>
      <c r="C95" s="3" t="n">
        <v>45304</v>
      </c>
      <c r="D95" s="2" t="s">
        <v>41</v>
      </c>
      <c r="E95" s="2" t="s">
        <v>41</v>
      </c>
      <c r="F95" s="2" t="s">
        <v>412</v>
      </c>
      <c r="G95" s="2" t="s">
        <v>161</v>
      </c>
      <c r="H95" s="2" t="s">
        <v>110</v>
      </c>
      <c r="I95" s="2" t="s">
        <v>45</v>
      </c>
      <c r="J95" s="2" t="s">
        <v>41</v>
      </c>
      <c r="K95" s="2" t="s">
        <v>156</v>
      </c>
      <c r="L95" s="2" t="s">
        <v>157</v>
      </c>
      <c r="M95" s="2" t="s">
        <v>48</v>
      </c>
      <c r="N95" s="2" t="s">
        <v>173</v>
      </c>
      <c r="O95" s="2" t="s">
        <v>413</v>
      </c>
      <c r="P95" s="2" t="s">
        <v>79</v>
      </c>
      <c r="Q95" s="2" t="s">
        <v>41</v>
      </c>
      <c r="R95" s="2" t="n">
        <v>7</v>
      </c>
      <c r="S95" s="2" t="n">
        <v>2788.97</v>
      </c>
      <c r="T95" s="2" t="n">
        <v>-0.09</v>
      </c>
      <c r="U95" s="2" t="str">
        <f aca="false">IF(ISBLANK(T95),"Yes","No")</f>
        <v>No</v>
      </c>
      <c r="V95" s="2" t="n">
        <f aca="false">IF(ISBLANK(T95),0,IF(ISNUMBER(T95),T95,VALUE(LEFT(T95,LEN(T95)-1))/100))</f>
        <v>-0.09</v>
      </c>
      <c r="W95" s="2" t="str">
        <f aca="false">IF(AND(V95&gt;=0,V95&lt;=0.25),"Valid","Invalid")</f>
        <v>Invalid</v>
      </c>
      <c r="X95" s="2" t="n">
        <v>19522.79</v>
      </c>
      <c r="Y95" s="2" t="n">
        <f aca="false">R95*S95*(1-V95)</f>
        <v>21279.8411</v>
      </c>
      <c r="Z95" s="2" t="str">
        <f aca="false">IF(ABS(X95-Y95)&gt;1,"Mismatch","OK")</f>
        <v>Mismatch</v>
      </c>
      <c r="AA95" s="2" t="n">
        <v>12455.78</v>
      </c>
      <c r="AB95" s="2" t="n">
        <v>7067.01</v>
      </c>
      <c r="AC95" s="2" t="n">
        <f aca="false">Y95-AA95</f>
        <v>8824.0611</v>
      </c>
      <c r="AD95" s="2" t="str">
        <f aca="false">IF(ABS(AB95-AC95)&gt;1,"Mismatch","OK")</f>
        <v>Mismatch</v>
      </c>
      <c r="AE95" s="4" t="n">
        <f aca="false">IF(Y95=0,0,AC95/Y95)</f>
        <v>0.414667621742721</v>
      </c>
      <c r="AF95" s="2" t="s">
        <v>52</v>
      </c>
      <c r="AG95" s="2" t="s">
        <v>53</v>
      </c>
      <c r="AH95" s="2" t="str">
        <f aca="false">IF(AND(AG95="Completed",AF95&lt;&gt;"Paid"),"Inconsistent","OK")</f>
        <v>OK</v>
      </c>
      <c r="AI95" s="2" t="n">
        <f aca="false">IF(OR(ISBLANK(B95),ISBLANK(C95)),"",C95-B95)</f>
        <v>6</v>
      </c>
      <c r="AJ95" s="2" t="str">
        <f aca="false">IF(AI95="","Unknown",IF(AI95&lt;0,"Invalid","OK"))</f>
        <v>OK</v>
      </c>
      <c r="AK95" s="2" t="str">
        <f aca="false">IF(ISBLANK(B95),"",TEXT(B95,"mmm"))</f>
        <v>Jan</v>
      </c>
      <c r="AL95" s="2" t="n">
        <f aca="false">IF(ISBLANK(B95),"",YEAR(B95))</f>
        <v>2024</v>
      </c>
      <c r="AM95" s="2" t="s">
        <v>41</v>
      </c>
      <c r="AN95" s="2" t="str">
        <f aca="false">IF(OR(W95="Invalid",AJ95="Invalid",AH95="Inconsistent",Z95="Mismatch",AD95="Mismatch",AM95="Yes",D95="Yes",E95="Yes"),"Invalid",IF(OR(J95="Yes",Q95="Yes",U95="Yes"),"Warning","Clean"))</f>
        <v>Invalid</v>
      </c>
    </row>
    <row r="96" customFormat="false" ht="15" hidden="false" customHeight="false" outlineLevel="0" collapsed="false">
      <c r="A96" s="2" t="s">
        <v>414</v>
      </c>
      <c r="B96" s="3" t="n">
        <v>45541</v>
      </c>
      <c r="C96" s="3" t="n">
        <v>45544</v>
      </c>
      <c r="D96" s="2" t="s">
        <v>41</v>
      </c>
      <c r="E96" s="2" t="s">
        <v>41</v>
      </c>
      <c r="F96" s="2" t="s">
        <v>415</v>
      </c>
      <c r="G96" s="2" t="s">
        <v>182</v>
      </c>
      <c r="H96" s="2" t="s">
        <v>44</v>
      </c>
      <c r="I96" s="2" t="s">
        <v>45</v>
      </c>
      <c r="J96" s="2" t="s">
        <v>41</v>
      </c>
      <c r="K96" s="2" t="s">
        <v>258</v>
      </c>
      <c r="L96" s="2" t="s">
        <v>259</v>
      </c>
      <c r="M96" s="2" t="s">
        <v>94</v>
      </c>
      <c r="N96" s="2" t="s">
        <v>191</v>
      </c>
      <c r="O96" s="2" t="s">
        <v>416</v>
      </c>
      <c r="P96" s="2" t="s">
        <v>51</v>
      </c>
      <c r="Q96" s="2" t="s">
        <v>41</v>
      </c>
      <c r="R96" s="2" t="n">
        <v>7</v>
      </c>
      <c r="S96" s="2" t="n">
        <v>3781.53</v>
      </c>
      <c r="T96" s="2" t="n">
        <v>0</v>
      </c>
      <c r="U96" s="2" t="str">
        <f aca="false">IF(ISBLANK(T96),"Yes","No")</f>
        <v>No</v>
      </c>
      <c r="V96" s="2" t="n">
        <f aca="false">IF(ISBLANK(T96),0,IF(ISNUMBER(T96),T96,VALUE(LEFT(T96,LEN(T96)-1))/100))</f>
        <v>0</v>
      </c>
      <c r="W96" s="2" t="str">
        <f aca="false">IF(AND(V96&gt;=0,V96&lt;=0.25),"Valid","Invalid")</f>
        <v>Valid</v>
      </c>
      <c r="X96" s="2" t="n">
        <v>26470.71</v>
      </c>
      <c r="Y96" s="2" t="n">
        <f aca="false">R96*S96*(1-V96)</f>
        <v>26470.71</v>
      </c>
      <c r="Z96" s="2" t="str">
        <f aca="false">IF(ABS(X96-Y96)&gt;1,"Mismatch","OK")</f>
        <v>OK</v>
      </c>
      <c r="AA96" s="2" t="n">
        <v>21367.6</v>
      </c>
      <c r="AB96" s="2" t="n">
        <v>5103.11</v>
      </c>
      <c r="AC96" s="2" t="n">
        <f aca="false">Y96-AA96</f>
        <v>5103.11</v>
      </c>
      <c r="AD96" s="2" t="str">
        <f aca="false">IF(ABS(AB96-AC96)&gt;1,"Mismatch","OK")</f>
        <v>OK</v>
      </c>
      <c r="AE96" s="4" t="n">
        <f aca="false">IF(Y96=0,0,AC96/Y96)</f>
        <v>0.192783268752519</v>
      </c>
      <c r="AF96" s="2" t="s">
        <v>131</v>
      </c>
      <c r="AG96" s="2" t="s">
        <v>88</v>
      </c>
      <c r="AH96" s="2" t="str">
        <f aca="false">IF(AND(AG96="Completed",AF96&lt;&gt;"Paid"),"Inconsistent","OK")</f>
        <v>OK</v>
      </c>
      <c r="AI96" s="2" t="n">
        <f aca="false">IF(OR(ISBLANK(B96),ISBLANK(C96)),"",C96-B96)</f>
        <v>3</v>
      </c>
      <c r="AJ96" s="2" t="str">
        <f aca="false">IF(AI96="","Unknown",IF(AI96&lt;0,"Invalid","OK"))</f>
        <v>OK</v>
      </c>
      <c r="AK96" s="2" t="str">
        <f aca="false">IF(ISBLANK(B96),"",TEXT(B96,"mmm"))</f>
        <v>Sep</v>
      </c>
      <c r="AL96" s="2" t="n">
        <f aca="false">IF(ISBLANK(B96),"",YEAR(B96))</f>
        <v>2024</v>
      </c>
      <c r="AM96" s="2" t="s">
        <v>41</v>
      </c>
      <c r="AN96" s="2" t="str">
        <f aca="false">IF(OR(W96="Invalid",AJ96="Invalid",AH96="Inconsistent",Z96="Mismatch",AD96="Mismatch",AM96="Yes",D96="Yes",E96="Yes"),"Invalid",IF(OR(J96="Yes",Q96="Yes",U96="Yes"),"Warning","Clean"))</f>
        <v>Clean</v>
      </c>
    </row>
    <row r="97" customFormat="false" ht="15" hidden="false" customHeight="false" outlineLevel="0" collapsed="false">
      <c r="A97" s="2" t="s">
        <v>417</v>
      </c>
      <c r="B97" s="3" t="n">
        <v>45905</v>
      </c>
      <c r="C97" s="3" t="n">
        <v>45910</v>
      </c>
      <c r="D97" s="2" t="s">
        <v>41</v>
      </c>
      <c r="E97" s="2" t="s">
        <v>41</v>
      </c>
      <c r="F97" s="2" t="s">
        <v>418</v>
      </c>
      <c r="G97" s="2" t="s">
        <v>152</v>
      </c>
      <c r="H97" s="2" t="s">
        <v>110</v>
      </c>
      <c r="I97" s="2" t="s">
        <v>83</v>
      </c>
      <c r="J97" s="2" t="s">
        <v>41</v>
      </c>
      <c r="K97" s="2" t="s">
        <v>210</v>
      </c>
      <c r="L97" s="2" t="s">
        <v>211</v>
      </c>
      <c r="M97" s="2" t="s">
        <v>61</v>
      </c>
      <c r="N97" s="2" t="s">
        <v>178</v>
      </c>
      <c r="O97" s="2" t="s">
        <v>419</v>
      </c>
      <c r="P97" s="2" t="s">
        <v>64</v>
      </c>
      <c r="Q97" s="2" t="s">
        <v>41</v>
      </c>
      <c r="R97" s="2" t="n">
        <v>6</v>
      </c>
      <c r="S97" s="2" t="n">
        <v>1754.13</v>
      </c>
      <c r="T97" s="2" t="n">
        <v>0</v>
      </c>
      <c r="U97" s="2" t="str">
        <f aca="false">IF(ISBLANK(T97),"Yes","No")</f>
        <v>No</v>
      </c>
      <c r="V97" s="2" t="n">
        <f aca="false">IF(ISBLANK(T97),0,IF(ISNUMBER(T97),T97,VALUE(LEFT(T97,LEN(T97)-1))/100))</f>
        <v>0</v>
      </c>
      <c r="W97" s="2" t="str">
        <f aca="false">IF(AND(V97&gt;=0,V97&lt;=0.25),"Valid","Invalid")</f>
        <v>Valid</v>
      </c>
      <c r="X97" s="2" t="n">
        <v>10524.78</v>
      </c>
      <c r="Y97" s="2" t="n">
        <f aca="false">R97*S97*(1-V97)</f>
        <v>10524.78</v>
      </c>
      <c r="Z97" s="2" t="str">
        <f aca="false">IF(ABS(X97-Y97)&gt;1,"Mismatch","OK")</f>
        <v>OK</v>
      </c>
      <c r="AA97" s="2" t="n">
        <v>8841.05</v>
      </c>
      <c r="AB97" s="2" t="n">
        <v>1683.73</v>
      </c>
      <c r="AC97" s="2" t="n">
        <f aca="false">Y97-AA97</f>
        <v>1683.73</v>
      </c>
      <c r="AD97" s="2" t="str">
        <f aca="false">IF(ABS(AB97-AC97)&gt;1,"Mismatch","OK")</f>
        <v>OK</v>
      </c>
      <c r="AE97" s="4" t="n">
        <f aca="false">IF(Y97=0,0,AC97/Y97)</f>
        <v>0.15997769074508</v>
      </c>
      <c r="AF97" s="2" t="s">
        <v>52</v>
      </c>
      <c r="AG97" s="2" t="s">
        <v>53</v>
      </c>
      <c r="AH97" s="2" t="str">
        <f aca="false">IF(AND(AG97="Completed",AF97&lt;&gt;"Paid"),"Inconsistent","OK")</f>
        <v>OK</v>
      </c>
      <c r="AI97" s="2" t="n">
        <f aca="false">IF(OR(ISBLANK(B97),ISBLANK(C97)),"",C97-B97)</f>
        <v>5</v>
      </c>
      <c r="AJ97" s="2" t="str">
        <f aca="false">IF(AI97="","Unknown",IF(AI97&lt;0,"Invalid","OK"))</f>
        <v>OK</v>
      </c>
      <c r="AK97" s="2" t="str">
        <f aca="false">IF(ISBLANK(B97),"",TEXT(B97,"mmm"))</f>
        <v>Sep</v>
      </c>
      <c r="AL97" s="2" t="n">
        <f aca="false">IF(ISBLANK(B97),"",YEAR(B97))</f>
        <v>2025</v>
      </c>
      <c r="AM97" s="2" t="s">
        <v>41</v>
      </c>
      <c r="AN97" s="2" t="str">
        <f aca="false">IF(OR(W97="Invalid",AJ97="Invalid",AH97="Inconsistent",Z97="Mismatch",AD97="Mismatch",AM97="Yes",D97="Yes",E97="Yes"),"Invalid",IF(OR(J97="Yes",Q97="Yes",U97="Yes"),"Warning","Clean"))</f>
        <v>Clean</v>
      </c>
    </row>
    <row r="98" customFormat="false" ht="15" hidden="false" customHeight="false" outlineLevel="0" collapsed="false">
      <c r="A98" s="2" t="s">
        <v>420</v>
      </c>
      <c r="B98" s="3" t="n">
        <v>45448</v>
      </c>
      <c r="C98" s="3" t="n">
        <v>45450</v>
      </c>
      <c r="D98" s="2" t="s">
        <v>41</v>
      </c>
      <c r="E98" s="2" t="s">
        <v>41</v>
      </c>
      <c r="F98" s="2" t="s">
        <v>421</v>
      </c>
      <c r="G98" s="2" t="s">
        <v>138</v>
      </c>
      <c r="H98" s="2" t="s">
        <v>115</v>
      </c>
      <c r="I98" s="2" t="s">
        <v>58</v>
      </c>
      <c r="J98" s="2" t="s">
        <v>41</v>
      </c>
      <c r="K98" s="2" t="s">
        <v>59</v>
      </c>
      <c r="L98" s="2" t="s">
        <v>60</v>
      </c>
      <c r="M98" s="2" t="s">
        <v>94</v>
      </c>
      <c r="N98" s="2" t="s">
        <v>100</v>
      </c>
      <c r="O98" s="2" t="s">
        <v>422</v>
      </c>
      <c r="P98" s="2" t="s">
        <v>51</v>
      </c>
      <c r="Q98" s="2" t="s">
        <v>41</v>
      </c>
      <c r="R98" s="2" t="n">
        <v>2</v>
      </c>
      <c r="S98" s="2" t="n">
        <v>2259.24</v>
      </c>
      <c r="T98" s="2" t="n">
        <v>0.15</v>
      </c>
      <c r="U98" s="2" t="str">
        <f aca="false">IF(ISBLANK(T98),"Yes","No")</f>
        <v>No</v>
      </c>
      <c r="V98" s="2" t="n">
        <f aca="false">IF(ISBLANK(T98),0,IF(ISNUMBER(T98),T98,VALUE(LEFT(T98,LEN(T98)-1))/100))</f>
        <v>0.15</v>
      </c>
      <c r="W98" s="2" t="str">
        <f aca="false">IF(AND(V98&gt;=0,V98&lt;=0.25),"Valid","Invalid")</f>
        <v>Valid</v>
      </c>
      <c r="X98" s="2" t="n">
        <v>3840.71</v>
      </c>
      <c r="Y98" s="2" t="n">
        <f aca="false">R98*S98*(1-V98)</f>
        <v>3840.708</v>
      </c>
      <c r="Z98" s="2" t="str">
        <f aca="false">IF(ABS(X98-Y98)&gt;1,"Mismatch","OK")</f>
        <v>OK</v>
      </c>
      <c r="AA98" s="2" t="n">
        <v>2516.29</v>
      </c>
      <c r="AB98" s="2" t="n">
        <v>1324.42</v>
      </c>
      <c r="AC98" s="2" t="n">
        <f aca="false">Y98-AA98</f>
        <v>1324.418</v>
      </c>
      <c r="AD98" s="2" t="str">
        <f aca="false">IF(ABS(AB98-AC98)&gt;1,"Mismatch","OK")</f>
        <v>OK</v>
      </c>
      <c r="AE98" s="4" t="n">
        <f aca="false">IF(Y98=0,0,AC98/Y98)</f>
        <v>0.34483694152224</v>
      </c>
      <c r="AF98" s="2" t="s">
        <v>52</v>
      </c>
      <c r="AG98" s="2" t="s">
        <v>53</v>
      </c>
      <c r="AH98" s="2" t="str">
        <f aca="false">IF(AND(AG98="Completed",AF98&lt;&gt;"Paid"),"Inconsistent","OK")</f>
        <v>OK</v>
      </c>
      <c r="AI98" s="2" t="n">
        <f aca="false">IF(OR(ISBLANK(B98),ISBLANK(C98)),"",C98-B98)</f>
        <v>2</v>
      </c>
      <c r="AJ98" s="2" t="str">
        <f aca="false">IF(AI98="","Unknown",IF(AI98&lt;0,"Invalid","OK"))</f>
        <v>OK</v>
      </c>
      <c r="AK98" s="2" t="str">
        <f aca="false">IF(ISBLANK(B98),"",TEXT(B98,"mmm"))</f>
        <v>Jun</v>
      </c>
      <c r="AL98" s="2" t="n">
        <f aca="false">IF(ISBLANK(B98),"",YEAR(B98))</f>
        <v>2024</v>
      </c>
      <c r="AM98" s="2" t="s">
        <v>41</v>
      </c>
      <c r="AN98" s="2" t="str">
        <f aca="false">IF(OR(W98="Invalid",AJ98="Invalid",AH98="Inconsistent",Z98="Mismatch",AD98="Mismatch",AM98="Yes",D98="Yes",E98="Yes"),"Invalid",IF(OR(J98="Yes",Q98="Yes",U98="Yes"),"Warning","Clean"))</f>
        <v>Clean</v>
      </c>
    </row>
    <row r="99" customFormat="false" ht="15" hidden="false" customHeight="false" outlineLevel="0" collapsed="false">
      <c r="A99" s="2" t="s">
        <v>423</v>
      </c>
      <c r="B99" s="3" t="n">
        <v>45877</v>
      </c>
      <c r="C99" s="3" t="n">
        <v>45880</v>
      </c>
      <c r="D99" s="2" t="s">
        <v>41</v>
      </c>
      <c r="E99" s="2" t="s">
        <v>41</v>
      </c>
      <c r="F99" s="2" t="s">
        <v>424</v>
      </c>
      <c r="G99" s="2" t="s">
        <v>182</v>
      </c>
      <c r="H99" s="2" t="s">
        <v>57</v>
      </c>
      <c r="I99" s="2" t="s">
        <v>83</v>
      </c>
      <c r="J99" s="2" t="s">
        <v>41</v>
      </c>
      <c r="K99" s="2" t="s">
        <v>200</v>
      </c>
      <c r="L99" s="2" t="s">
        <v>201</v>
      </c>
      <c r="M99" s="2" t="s">
        <v>48</v>
      </c>
      <c r="N99" s="2" t="s">
        <v>144</v>
      </c>
      <c r="O99" s="2" t="s">
        <v>425</v>
      </c>
      <c r="P99" s="2" t="s">
        <v>64</v>
      </c>
      <c r="Q99" s="2" t="s">
        <v>41</v>
      </c>
      <c r="R99" s="2" t="n">
        <v>5</v>
      </c>
      <c r="S99" s="2" t="n">
        <v>3602.36</v>
      </c>
      <c r="T99" s="2" t="n">
        <v>0.2</v>
      </c>
      <c r="U99" s="2" t="str">
        <f aca="false">IF(ISBLANK(T99),"Yes","No")</f>
        <v>No</v>
      </c>
      <c r="V99" s="2" t="n">
        <f aca="false">IF(ISBLANK(T99),0,IF(ISNUMBER(T99),T99,VALUE(LEFT(T99,LEN(T99)-1))/100))</f>
        <v>0.2</v>
      </c>
      <c r="W99" s="2" t="str">
        <f aca="false">IF(AND(V99&gt;=0,V99&lt;=0.25),"Valid","Invalid")</f>
        <v>Valid</v>
      </c>
      <c r="X99" s="2" t="n">
        <v>14409.44</v>
      </c>
      <c r="Y99" s="2" t="n">
        <f aca="false">R99*S99*(1-V99)</f>
        <v>14409.44</v>
      </c>
      <c r="Z99" s="2" t="str">
        <f aca="false">IF(ABS(X99-Y99)&gt;1,"Mismatch","OK")</f>
        <v>OK</v>
      </c>
      <c r="AA99" s="2" t="n">
        <v>8809.97</v>
      </c>
      <c r="AB99" s="2" t="n">
        <v>5599.47</v>
      </c>
      <c r="AC99" s="2" t="n">
        <f aca="false">Y99-AA99</f>
        <v>5599.47</v>
      </c>
      <c r="AD99" s="2" t="str">
        <f aca="false">IF(ABS(AB99-AC99)&gt;1,"Mismatch","OK")</f>
        <v>OK</v>
      </c>
      <c r="AE99" s="4" t="n">
        <f aca="false">IF(Y99=0,0,AC99/Y99)</f>
        <v>0.38859733619072</v>
      </c>
      <c r="AF99" s="2" t="s">
        <v>131</v>
      </c>
      <c r="AG99" s="2" t="s">
        <v>123</v>
      </c>
      <c r="AH99" s="2" t="str">
        <f aca="false">IF(AND(AG99="Completed",AF99&lt;&gt;"Paid"),"Inconsistent","OK")</f>
        <v>OK</v>
      </c>
      <c r="AI99" s="2" t="n">
        <f aca="false">IF(OR(ISBLANK(B99),ISBLANK(C99)),"",C99-B99)</f>
        <v>3</v>
      </c>
      <c r="AJ99" s="2" t="str">
        <f aca="false">IF(AI99="","Unknown",IF(AI99&lt;0,"Invalid","OK"))</f>
        <v>OK</v>
      </c>
      <c r="AK99" s="2" t="str">
        <f aca="false">IF(ISBLANK(B99),"",TEXT(B99,"mmm"))</f>
        <v>Aug</v>
      </c>
      <c r="AL99" s="2" t="n">
        <f aca="false">IF(ISBLANK(B99),"",YEAR(B99))</f>
        <v>2025</v>
      </c>
      <c r="AM99" s="2" t="s">
        <v>41</v>
      </c>
      <c r="AN99" s="2" t="str">
        <f aca="false">IF(OR(W99="Invalid",AJ99="Invalid",AH99="Inconsistent",Z99="Mismatch",AD99="Mismatch",AM99="Yes",D99="Yes",E99="Yes"),"Invalid",IF(OR(J99="Yes",Q99="Yes",U99="Yes"),"Warning","Clean"))</f>
        <v>Clean</v>
      </c>
    </row>
    <row r="100" customFormat="false" ht="15" hidden="false" customHeight="false" outlineLevel="0" collapsed="false">
      <c r="A100" s="2" t="s">
        <v>426</v>
      </c>
      <c r="B100" s="3" t="n">
        <v>45317</v>
      </c>
      <c r="C100" s="3" t="n">
        <v>45323</v>
      </c>
      <c r="D100" s="2" t="s">
        <v>41</v>
      </c>
      <c r="E100" s="2" t="s">
        <v>41</v>
      </c>
      <c r="F100" s="2" t="s">
        <v>427</v>
      </c>
      <c r="G100" s="2" t="s">
        <v>161</v>
      </c>
      <c r="H100" s="2" t="s">
        <v>115</v>
      </c>
      <c r="I100" s="2" t="s">
        <v>74</v>
      </c>
      <c r="J100" s="2" t="s">
        <v>41</v>
      </c>
      <c r="K100" s="2" t="s">
        <v>205</v>
      </c>
      <c r="L100" s="2" t="s">
        <v>206</v>
      </c>
      <c r="M100" s="2" t="s">
        <v>94</v>
      </c>
      <c r="N100" s="2" t="s">
        <v>100</v>
      </c>
      <c r="O100" s="2" t="s">
        <v>428</v>
      </c>
      <c r="P100" s="2" t="s">
        <v>225</v>
      </c>
      <c r="Q100" s="2" t="s">
        <v>226</v>
      </c>
      <c r="R100" s="2" t="n">
        <v>8</v>
      </c>
      <c r="S100" s="2" t="n">
        <v>2108.93</v>
      </c>
      <c r="T100" s="2" t="n">
        <v>0.1</v>
      </c>
      <c r="U100" s="2" t="str">
        <f aca="false">IF(ISBLANK(T100),"Yes","No")</f>
        <v>No</v>
      </c>
      <c r="V100" s="2" t="n">
        <f aca="false">IF(ISBLANK(T100),0,IF(ISNUMBER(T100),T100,VALUE(LEFT(T100,LEN(T100)-1))/100))</f>
        <v>0.1</v>
      </c>
      <c r="W100" s="2" t="str">
        <f aca="false">IF(AND(V100&gt;=0,V100&lt;=0.25),"Valid","Invalid")</f>
        <v>Valid</v>
      </c>
      <c r="X100" s="2" t="n">
        <v>15184.3</v>
      </c>
      <c r="Y100" s="2" t="n">
        <f aca="false">R100*S100*(1-V100)</f>
        <v>15184.296</v>
      </c>
      <c r="Z100" s="2" t="str">
        <f aca="false">IF(ABS(X100-Y100)&gt;1,"Mismatch","OK")</f>
        <v>OK</v>
      </c>
      <c r="AA100" s="2" t="n">
        <v>11270.74</v>
      </c>
      <c r="AB100" s="2" t="n">
        <v>3913.56</v>
      </c>
      <c r="AC100" s="2" t="n">
        <f aca="false">Y100-AA100</f>
        <v>3913.556</v>
      </c>
      <c r="AD100" s="2" t="str">
        <f aca="false">IF(ABS(AB100-AC100)&gt;1,"Mismatch","OK")</f>
        <v>OK</v>
      </c>
      <c r="AE100" s="4" t="n">
        <f aca="false">IF(Y100=0,0,AC100/Y100)</f>
        <v>0.257737072564971</v>
      </c>
      <c r="AF100" s="2" t="s">
        <v>52</v>
      </c>
      <c r="AG100" s="2" t="s">
        <v>53</v>
      </c>
      <c r="AH100" s="2" t="str">
        <f aca="false">IF(AND(AG100="Completed",AF100&lt;&gt;"Paid"),"Inconsistent","OK")</f>
        <v>OK</v>
      </c>
      <c r="AI100" s="2" t="n">
        <f aca="false">IF(OR(ISBLANK(B100),ISBLANK(C100)),"",C100-B100)</f>
        <v>6</v>
      </c>
      <c r="AJ100" s="2" t="str">
        <f aca="false">IF(AI100="","Unknown",IF(AI100&lt;0,"Invalid","OK"))</f>
        <v>OK</v>
      </c>
      <c r="AK100" s="2" t="str">
        <f aca="false">IF(ISBLANK(B100),"",TEXT(B100,"mmm"))</f>
        <v>Jan</v>
      </c>
      <c r="AL100" s="2" t="n">
        <f aca="false">IF(ISBLANK(B100),"",YEAR(B100))</f>
        <v>2024</v>
      </c>
      <c r="AM100" s="2" t="s">
        <v>41</v>
      </c>
      <c r="AN100" s="2" t="str">
        <f aca="false">IF(OR(W100="Invalid",AJ100="Invalid",AH100="Inconsistent",Z100="Mismatch",AD100="Mismatch",AM100="Yes",D100="Yes",E100="Yes"),"Invalid",IF(OR(J100="Yes",Q100="Yes",U100="Yes"),"Warning","Clean"))</f>
        <v>Warning</v>
      </c>
    </row>
    <row r="101" customFormat="false" ht="15" hidden="false" customHeight="false" outlineLevel="0" collapsed="false">
      <c r="A101" s="2" t="s">
        <v>429</v>
      </c>
      <c r="B101" s="3" t="n">
        <v>45668</v>
      </c>
      <c r="C101" s="3" t="n">
        <v>45668</v>
      </c>
      <c r="D101" s="2" t="s">
        <v>41</v>
      </c>
      <c r="E101" s="2" t="s">
        <v>41</v>
      </c>
      <c r="F101" s="2" t="s">
        <v>430</v>
      </c>
      <c r="G101" s="2" t="s">
        <v>109</v>
      </c>
      <c r="H101" s="2" t="s">
        <v>57</v>
      </c>
      <c r="I101" s="2" t="s">
        <v>83</v>
      </c>
      <c r="J101" s="2" t="s">
        <v>41</v>
      </c>
      <c r="K101" s="2" t="s">
        <v>46</v>
      </c>
      <c r="L101" s="2" t="s">
        <v>129</v>
      </c>
      <c r="M101" s="2" t="s">
        <v>94</v>
      </c>
      <c r="N101" s="2" t="s">
        <v>95</v>
      </c>
      <c r="O101" s="2" t="s">
        <v>431</v>
      </c>
      <c r="P101" s="2" t="s">
        <v>64</v>
      </c>
      <c r="Q101" s="2" t="s">
        <v>41</v>
      </c>
      <c r="R101" s="2" t="n">
        <v>3</v>
      </c>
      <c r="S101" s="2" t="n">
        <v>2165.29</v>
      </c>
      <c r="T101" s="2" t="n">
        <v>0</v>
      </c>
      <c r="U101" s="2" t="str">
        <f aca="false">IF(ISBLANK(T101),"Yes","No")</f>
        <v>No</v>
      </c>
      <c r="V101" s="2" t="n">
        <f aca="false">IF(ISBLANK(T101),0,IF(ISNUMBER(T101),T101,VALUE(LEFT(T101,LEN(T101)-1))/100))</f>
        <v>0</v>
      </c>
      <c r="W101" s="2" t="str">
        <f aca="false">IF(AND(V101&gt;=0,V101&lt;=0.25),"Valid","Invalid")</f>
        <v>Valid</v>
      </c>
      <c r="X101" s="2" t="n">
        <v>6495.87</v>
      </c>
      <c r="Y101" s="2" t="n">
        <f aca="false">R101*S101*(1-V101)</f>
        <v>6495.87</v>
      </c>
      <c r="Z101" s="2" t="str">
        <f aca="false">IF(ABS(X101-Y101)&gt;1,"Mismatch","OK")</f>
        <v>OK</v>
      </c>
      <c r="AA101" s="2" t="n">
        <v>4700.89</v>
      </c>
      <c r="AB101" s="2" t="n">
        <v>1794.98</v>
      </c>
      <c r="AC101" s="2" t="n">
        <f aca="false">Y101-AA101</f>
        <v>1794.98</v>
      </c>
      <c r="AD101" s="2" t="str">
        <f aca="false">IF(ABS(AB101-AC101)&gt;1,"Mismatch","OK")</f>
        <v>OK</v>
      </c>
      <c r="AE101" s="4" t="n">
        <f aca="false">IF(Y101=0,0,AC101/Y101)</f>
        <v>0.27632634273777</v>
      </c>
      <c r="AF101" s="2" t="s">
        <v>52</v>
      </c>
      <c r="AG101" s="2" t="s">
        <v>53</v>
      </c>
      <c r="AH101" s="2" t="str">
        <f aca="false">IF(AND(AG101="Completed",AF101&lt;&gt;"Paid"),"Inconsistent","OK")</f>
        <v>OK</v>
      </c>
      <c r="AI101" s="2" t="n">
        <f aca="false">IF(OR(ISBLANK(B101),ISBLANK(C101)),"",C101-B101)</f>
        <v>0</v>
      </c>
      <c r="AJ101" s="2" t="str">
        <f aca="false">IF(AI101="","Unknown",IF(AI101&lt;0,"Invalid","OK"))</f>
        <v>OK</v>
      </c>
      <c r="AK101" s="2" t="str">
        <f aca="false">IF(ISBLANK(B101),"",TEXT(B101,"mmm"))</f>
        <v>Jan</v>
      </c>
      <c r="AL101" s="2" t="n">
        <f aca="false">IF(ISBLANK(B101),"",YEAR(B101))</f>
        <v>2025</v>
      </c>
      <c r="AM101" s="2" t="s">
        <v>41</v>
      </c>
      <c r="AN101" s="2" t="str">
        <f aca="false">IF(OR(W101="Invalid",AJ101="Invalid",AH101="Inconsistent",Z101="Mismatch",AD101="Mismatch",AM101="Yes",D101="Yes",E101="Yes"),"Invalid",IF(OR(J101="Yes",Q101="Yes",U101="Yes"),"Warning","Clean"))</f>
        <v>Clean</v>
      </c>
    </row>
    <row r="102" customFormat="false" ht="15" hidden="false" customHeight="false" outlineLevel="0" collapsed="false">
      <c r="A102" s="2" t="s">
        <v>432</v>
      </c>
      <c r="B102" s="3" t="n">
        <v>45912</v>
      </c>
      <c r="C102" s="3" t="n">
        <v>45918</v>
      </c>
      <c r="D102" s="2" t="s">
        <v>41</v>
      </c>
      <c r="E102" s="2" t="s">
        <v>41</v>
      </c>
      <c r="F102" s="2" t="s">
        <v>433</v>
      </c>
      <c r="G102" s="2" t="s">
        <v>148</v>
      </c>
      <c r="H102" s="2" t="s">
        <v>115</v>
      </c>
      <c r="I102" s="2" t="s">
        <v>74</v>
      </c>
      <c r="J102" s="2" t="s">
        <v>41</v>
      </c>
      <c r="K102" s="2" t="s">
        <v>205</v>
      </c>
      <c r="L102" s="2" t="s">
        <v>206</v>
      </c>
      <c r="M102" s="2" t="s">
        <v>48</v>
      </c>
      <c r="N102" s="2" t="s">
        <v>144</v>
      </c>
      <c r="O102" s="2" t="s">
        <v>434</v>
      </c>
      <c r="P102" s="2" t="s">
        <v>79</v>
      </c>
      <c r="Q102" s="2" t="s">
        <v>41</v>
      </c>
      <c r="R102" s="2" t="n">
        <v>6</v>
      </c>
      <c r="S102" s="2" t="n">
        <v>1673.8</v>
      </c>
      <c r="T102" s="2" t="n">
        <v>0.05</v>
      </c>
      <c r="U102" s="2" t="str">
        <f aca="false">IF(ISBLANK(T102),"Yes","No")</f>
        <v>No</v>
      </c>
      <c r="V102" s="2" t="n">
        <f aca="false">IF(ISBLANK(T102),0,IF(ISNUMBER(T102),T102,VALUE(LEFT(T102,LEN(T102)-1))/100))</f>
        <v>0.05</v>
      </c>
      <c r="W102" s="2" t="str">
        <f aca="false">IF(AND(V102&gt;=0,V102&lt;=0.25),"Valid","Invalid")</f>
        <v>Valid</v>
      </c>
      <c r="X102" s="2" t="n">
        <v>9540.66</v>
      </c>
      <c r="Y102" s="2" t="n">
        <f aca="false">R102*S102*(1-V102)</f>
        <v>9540.66</v>
      </c>
      <c r="Z102" s="2" t="str">
        <f aca="false">IF(ABS(X102-Y102)&gt;1,"Mismatch","OK")</f>
        <v>OK</v>
      </c>
      <c r="AA102" s="2" t="n">
        <v>5561.49</v>
      </c>
      <c r="AB102" s="2" t="n">
        <v>3979.17</v>
      </c>
      <c r="AC102" s="2" t="n">
        <f aca="false">Y102-AA102</f>
        <v>3979.17</v>
      </c>
      <c r="AD102" s="2" t="str">
        <f aca="false">IF(ABS(AB102-AC102)&gt;1,"Mismatch","OK")</f>
        <v>OK</v>
      </c>
      <c r="AE102" s="4" t="n">
        <f aca="false">IF(Y102=0,0,AC102/Y102)</f>
        <v>0.417074919345202</v>
      </c>
      <c r="AF102" s="2" t="s">
        <v>52</v>
      </c>
      <c r="AG102" s="2" t="s">
        <v>53</v>
      </c>
      <c r="AH102" s="2" t="str">
        <f aca="false">IF(AND(AG102="Completed",AF102&lt;&gt;"Paid"),"Inconsistent","OK")</f>
        <v>OK</v>
      </c>
      <c r="AI102" s="2" t="n">
        <f aca="false">IF(OR(ISBLANK(B102),ISBLANK(C102)),"",C102-B102)</f>
        <v>6</v>
      </c>
      <c r="AJ102" s="2" t="str">
        <f aca="false">IF(AI102="","Unknown",IF(AI102&lt;0,"Invalid","OK"))</f>
        <v>OK</v>
      </c>
      <c r="AK102" s="2" t="str">
        <f aca="false">IF(ISBLANK(B102),"",TEXT(B102,"mmm"))</f>
        <v>Sep</v>
      </c>
      <c r="AL102" s="2" t="n">
        <f aca="false">IF(ISBLANK(B102),"",YEAR(B102))</f>
        <v>2025</v>
      </c>
      <c r="AM102" s="2" t="s">
        <v>41</v>
      </c>
      <c r="AN102" s="2" t="str">
        <f aca="false">IF(OR(W102="Invalid",AJ102="Invalid",AH102="Inconsistent",Z102="Mismatch",AD102="Mismatch",AM102="Yes",D102="Yes",E102="Yes"),"Invalid",IF(OR(J102="Yes",Q102="Yes",U102="Yes"),"Warning","Clean"))</f>
        <v>Clean</v>
      </c>
    </row>
    <row r="103" customFormat="false" ht="15" hidden="false" customHeight="false" outlineLevel="0" collapsed="false">
      <c r="A103" s="2" t="s">
        <v>435</v>
      </c>
      <c r="B103" s="3" t="n">
        <v>45465</v>
      </c>
      <c r="C103" s="3" t="n">
        <v>45469</v>
      </c>
      <c r="D103" s="2" t="s">
        <v>41</v>
      </c>
      <c r="E103" s="2" t="s">
        <v>41</v>
      </c>
      <c r="F103" s="2" t="s">
        <v>436</v>
      </c>
      <c r="G103" s="2" t="s">
        <v>161</v>
      </c>
      <c r="H103" s="2" t="s">
        <v>115</v>
      </c>
      <c r="I103" s="2" t="s">
        <v>58</v>
      </c>
      <c r="J103" s="2" t="s">
        <v>41</v>
      </c>
      <c r="K103" s="2" t="s">
        <v>165</v>
      </c>
      <c r="L103" s="2" t="s">
        <v>166</v>
      </c>
      <c r="M103" s="2" t="s">
        <v>61</v>
      </c>
      <c r="N103" s="2" t="s">
        <v>77</v>
      </c>
      <c r="O103" s="2" t="s">
        <v>437</v>
      </c>
      <c r="P103" s="2" t="s">
        <v>70</v>
      </c>
      <c r="Q103" s="2" t="s">
        <v>41</v>
      </c>
      <c r="R103" s="2" t="n">
        <v>5</v>
      </c>
      <c r="S103" s="2" t="n">
        <v>4396.52</v>
      </c>
      <c r="T103" s="2" t="n">
        <v>0.25</v>
      </c>
      <c r="U103" s="2" t="str">
        <f aca="false">IF(ISBLANK(T103),"Yes","No")</f>
        <v>No</v>
      </c>
      <c r="V103" s="2" t="n">
        <f aca="false">IF(ISBLANK(T103),0,IF(ISNUMBER(T103),T103,VALUE(LEFT(T103,LEN(T103)-1))/100))</f>
        <v>0.25</v>
      </c>
      <c r="W103" s="2" t="str">
        <f aca="false">IF(AND(V103&gt;=0,V103&lt;=0.25),"Valid","Invalid")</f>
        <v>Valid</v>
      </c>
      <c r="X103" s="2" t="n">
        <v>16486.95</v>
      </c>
      <c r="Y103" s="2" t="n">
        <f aca="false">R103*S103*(1-V103)</f>
        <v>16486.95</v>
      </c>
      <c r="Z103" s="2" t="str">
        <f aca="false">IF(ABS(X103-Y103)&gt;1,"Mismatch","OK")</f>
        <v>OK</v>
      </c>
      <c r="AA103" s="2" t="n">
        <v>12054.14</v>
      </c>
      <c r="AB103" s="2" t="n">
        <v>4432.81</v>
      </c>
      <c r="AC103" s="2" t="n">
        <f aca="false">Y103-AA103</f>
        <v>4432.81</v>
      </c>
      <c r="AD103" s="2" t="str">
        <f aca="false">IF(ABS(AB103-AC103)&gt;1,"Mismatch","OK")</f>
        <v>OK</v>
      </c>
      <c r="AE103" s="4" t="n">
        <f aca="false">IF(Y103=0,0,AC103/Y103)</f>
        <v>0.268867801503614</v>
      </c>
      <c r="AF103" s="2" t="s">
        <v>52</v>
      </c>
      <c r="AG103" s="2" t="s">
        <v>53</v>
      </c>
      <c r="AH103" s="2" t="str">
        <f aca="false">IF(AND(AG103="Completed",AF103&lt;&gt;"Paid"),"Inconsistent","OK")</f>
        <v>OK</v>
      </c>
      <c r="AI103" s="2" t="n">
        <f aca="false">IF(OR(ISBLANK(B103),ISBLANK(C103)),"",C103-B103)</f>
        <v>4</v>
      </c>
      <c r="AJ103" s="2" t="str">
        <f aca="false">IF(AI103="","Unknown",IF(AI103&lt;0,"Invalid","OK"))</f>
        <v>OK</v>
      </c>
      <c r="AK103" s="2" t="str">
        <f aca="false">IF(ISBLANK(B103),"",TEXT(B103,"mmm"))</f>
        <v>Jun</v>
      </c>
      <c r="AL103" s="2" t="n">
        <f aca="false">IF(ISBLANK(B103),"",YEAR(B103))</f>
        <v>2024</v>
      </c>
      <c r="AM103" s="2" t="s">
        <v>41</v>
      </c>
      <c r="AN103" s="2" t="str">
        <f aca="false">IF(OR(W103="Invalid",AJ103="Invalid",AH103="Inconsistent",Z103="Mismatch",AD103="Mismatch",AM103="Yes",D103="Yes",E103="Yes"),"Invalid",IF(OR(J103="Yes",Q103="Yes",U103="Yes"),"Warning","Clean"))</f>
        <v>Clean</v>
      </c>
    </row>
    <row r="104" customFormat="false" ht="15" hidden="false" customHeight="false" outlineLevel="0" collapsed="false">
      <c r="A104" s="2" t="s">
        <v>438</v>
      </c>
      <c r="B104" s="3" t="n">
        <v>45850</v>
      </c>
      <c r="C104" s="3" t="n">
        <v>45854</v>
      </c>
      <c r="D104" s="2" t="s">
        <v>41</v>
      </c>
      <c r="E104" s="2" t="s">
        <v>41</v>
      </c>
      <c r="F104" s="2" t="s">
        <v>439</v>
      </c>
      <c r="G104" s="2" t="s">
        <v>91</v>
      </c>
      <c r="H104" s="2" t="s">
        <v>44</v>
      </c>
      <c r="I104" s="2" t="s">
        <v>74</v>
      </c>
      <c r="J104" s="2" t="s">
        <v>41</v>
      </c>
      <c r="K104" s="2" t="s">
        <v>195</v>
      </c>
      <c r="L104" s="2" t="s">
        <v>196</v>
      </c>
      <c r="M104" s="2" t="s">
        <v>61</v>
      </c>
      <c r="N104" s="2" t="s">
        <v>86</v>
      </c>
      <c r="O104" s="2" t="s">
        <v>440</v>
      </c>
      <c r="P104" s="2" t="s">
        <v>70</v>
      </c>
      <c r="Q104" s="2" t="s">
        <v>41</v>
      </c>
      <c r="R104" s="2" t="n">
        <v>4</v>
      </c>
      <c r="S104" s="2" t="n">
        <v>2865.71</v>
      </c>
      <c r="T104" s="2" t="n">
        <v>0</v>
      </c>
      <c r="U104" s="2" t="str">
        <f aca="false">IF(ISBLANK(T104),"Yes","No")</f>
        <v>No</v>
      </c>
      <c r="V104" s="2" t="n">
        <f aca="false">IF(ISBLANK(T104),0,IF(ISNUMBER(T104),T104,VALUE(LEFT(T104,LEN(T104)-1))/100))</f>
        <v>0</v>
      </c>
      <c r="W104" s="2" t="str">
        <f aca="false">IF(AND(V104&gt;=0,V104&lt;=0.25),"Valid","Invalid")</f>
        <v>Valid</v>
      </c>
      <c r="X104" s="2" t="n">
        <v>11462.84</v>
      </c>
      <c r="Y104" s="2" t="n">
        <f aca="false">R104*S104*(1-V104)</f>
        <v>11462.84</v>
      </c>
      <c r="Z104" s="2" t="str">
        <f aca="false">IF(ABS(X104-Y104)&gt;1,"Mismatch","OK")</f>
        <v>OK</v>
      </c>
      <c r="AA104" s="2" t="n">
        <v>8979.78</v>
      </c>
      <c r="AB104" s="2" t="n">
        <v>2483.06</v>
      </c>
      <c r="AC104" s="2" t="n">
        <f aca="false">Y104-AA104</f>
        <v>2483.06</v>
      </c>
      <c r="AD104" s="2" t="str">
        <f aca="false">IF(ABS(AB104-AC104)&gt;1,"Mismatch","OK")</f>
        <v>OK</v>
      </c>
      <c r="AE104" s="4" t="n">
        <f aca="false">IF(Y104=0,0,AC104/Y104)</f>
        <v>0.216618220266531</v>
      </c>
      <c r="AF104" s="2" t="s">
        <v>122</v>
      </c>
      <c r="AG104" s="2" t="s">
        <v>88</v>
      </c>
      <c r="AH104" s="2" t="str">
        <f aca="false">IF(AND(AG104="Completed",AF104&lt;&gt;"Paid"),"Inconsistent","OK")</f>
        <v>OK</v>
      </c>
      <c r="AI104" s="2" t="n">
        <f aca="false">IF(OR(ISBLANK(B104),ISBLANK(C104)),"",C104-B104)</f>
        <v>4</v>
      </c>
      <c r="AJ104" s="2" t="str">
        <f aca="false">IF(AI104="","Unknown",IF(AI104&lt;0,"Invalid","OK"))</f>
        <v>OK</v>
      </c>
      <c r="AK104" s="2" t="str">
        <f aca="false">IF(ISBLANK(B104),"",TEXT(B104,"mmm"))</f>
        <v>Jul</v>
      </c>
      <c r="AL104" s="2" t="n">
        <f aca="false">IF(ISBLANK(B104),"",YEAR(B104))</f>
        <v>2025</v>
      </c>
      <c r="AM104" s="2" t="s">
        <v>41</v>
      </c>
      <c r="AN104" s="2" t="str">
        <f aca="false">IF(OR(W104="Invalid",AJ104="Invalid",AH104="Inconsistent",Z104="Mismatch",AD104="Mismatch",AM104="Yes",D104="Yes",E104="Yes"),"Invalid",IF(OR(J104="Yes",Q104="Yes",U104="Yes"),"Warning","Clean"))</f>
        <v>Clean</v>
      </c>
    </row>
    <row r="105" customFormat="false" ht="15" hidden="false" customHeight="false" outlineLevel="0" collapsed="false">
      <c r="A105" s="2" t="s">
        <v>441</v>
      </c>
      <c r="B105" s="3" t="n">
        <v>45779</v>
      </c>
      <c r="C105" s="3" t="n">
        <v>45787</v>
      </c>
      <c r="D105" s="2" t="s">
        <v>41</v>
      </c>
      <c r="E105" s="2" t="s">
        <v>41</v>
      </c>
      <c r="F105" s="2" t="s">
        <v>442</v>
      </c>
      <c r="G105" s="2" t="s">
        <v>286</v>
      </c>
      <c r="H105" s="2" t="s">
        <v>110</v>
      </c>
      <c r="I105" s="2" t="s">
        <v>83</v>
      </c>
      <c r="J105" s="2" t="s">
        <v>41</v>
      </c>
      <c r="K105" s="2" t="s">
        <v>84</v>
      </c>
      <c r="L105" s="2" t="s">
        <v>85</v>
      </c>
      <c r="M105" s="2" t="s">
        <v>61</v>
      </c>
      <c r="N105" s="2" t="s">
        <v>62</v>
      </c>
      <c r="O105" s="2" t="s">
        <v>443</v>
      </c>
      <c r="P105" s="2" t="s">
        <v>70</v>
      </c>
      <c r="Q105" s="2" t="s">
        <v>41</v>
      </c>
      <c r="R105" s="2" t="n">
        <v>4</v>
      </c>
      <c r="S105" s="2" t="n">
        <v>2440.34</v>
      </c>
      <c r="T105" s="2" t="n">
        <v>0.2</v>
      </c>
      <c r="U105" s="2" t="str">
        <f aca="false">IF(ISBLANK(T105),"Yes","No")</f>
        <v>No</v>
      </c>
      <c r="V105" s="2" t="n">
        <f aca="false">IF(ISBLANK(T105),0,IF(ISNUMBER(T105),T105,VALUE(LEFT(T105,LEN(T105)-1))/100))</f>
        <v>0.2</v>
      </c>
      <c r="W105" s="2" t="str">
        <f aca="false">IF(AND(V105&gt;=0,V105&lt;=0.25),"Valid","Invalid")</f>
        <v>Valid</v>
      </c>
      <c r="X105" s="2" t="n">
        <v>7809.09</v>
      </c>
      <c r="Y105" s="2" t="n">
        <f aca="false">R105*S105*(1-V105)</f>
        <v>7809.088</v>
      </c>
      <c r="Z105" s="2" t="str">
        <f aca="false">IF(ABS(X105-Y105)&gt;1,"Mismatch","OK")</f>
        <v>OK</v>
      </c>
      <c r="AA105" s="2" t="n">
        <v>6657.75</v>
      </c>
      <c r="AB105" s="2" t="n">
        <v>1151.34</v>
      </c>
      <c r="AC105" s="2" t="n">
        <f aca="false">Y105-AA105</f>
        <v>1151.338</v>
      </c>
      <c r="AD105" s="2" t="str">
        <f aca="false">IF(ABS(AB105-AC105)&gt;1,"Mismatch","OK")</f>
        <v>OK</v>
      </c>
      <c r="AE105" s="4" t="n">
        <f aca="false">IF(Y105=0,0,AC105/Y105)</f>
        <v>0.147435654457985</v>
      </c>
      <c r="AF105" s="2" t="s">
        <v>52</v>
      </c>
      <c r="AG105" s="2" t="s">
        <v>53</v>
      </c>
      <c r="AH105" s="2" t="str">
        <f aca="false">IF(AND(AG105="Completed",AF105&lt;&gt;"Paid"),"Inconsistent","OK")</f>
        <v>OK</v>
      </c>
      <c r="AI105" s="2" t="n">
        <f aca="false">IF(OR(ISBLANK(B105),ISBLANK(C105)),"",C105-B105)</f>
        <v>8</v>
      </c>
      <c r="AJ105" s="2" t="str">
        <f aca="false">IF(AI105="","Unknown",IF(AI105&lt;0,"Invalid","OK"))</f>
        <v>OK</v>
      </c>
      <c r="AK105" s="2" t="str">
        <f aca="false">IF(ISBLANK(B105),"",TEXT(B105,"mmm"))</f>
        <v>May</v>
      </c>
      <c r="AL105" s="2" t="n">
        <f aca="false">IF(ISBLANK(B105),"",YEAR(B105))</f>
        <v>2025</v>
      </c>
      <c r="AM105" s="2" t="s">
        <v>41</v>
      </c>
      <c r="AN105" s="2" t="str">
        <f aca="false">IF(OR(W105="Invalid",AJ105="Invalid",AH105="Inconsistent",Z105="Mismatch",AD105="Mismatch",AM105="Yes",D105="Yes",E105="Yes"),"Invalid",IF(OR(J105="Yes",Q105="Yes",U105="Yes"),"Warning","Clean"))</f>
        <v>Clean</v>
      </c>
    </row>
    <row r="106" customFormat="false" ht="15" hidden="false" customHeight="false" outlineLevel="0" collapsed="false">
      <c r="A106" s="2" t="s">
        <v>444</v>
      </c>
      <c r="B106" s="3" t="n">
        <v>45689</v>
      </c>
      <c r="C106" s="3" t="n">
        <v>45696</v>
      </c>
      <c r="D106" s="2" t="s">
        <v>41</v>
      </c>
      <c r="E106" s="2" t="s">
        <v>41</v>
      </c>
      <c r="F106" s="2" t="s">
        <v>445</v>
      </c>
      <c r="G106" s="2" t="s">
        <v>82</v>
      </c>
      <c r="H106" s="2" t="s">
        <v>44</v>
      </c>
      <c r="I106" s="2" t="s">
        <v>74</v>
      </c>
      <c r="J106" s="2" t="s">
        <v>41</v>
      </c>
      <c r="K106" s="2" t="s">
        <v>195</v>
      </c>
      <c r="L106" s="2" t="s">
        <v>196</v>
      </c>
      <c r="M106" s="2" t="s">
        <v>48</v>
      </c>
      <c r="N106" s="2" t="s">
        <v>111</v>
      </c>
      <c r="O106" s="2" t="s">
        <v>446</v>
      </c>
      <c r="P106" s="2" t="s">
        <v>64</v>
      </c>
      <c r="Q106" s="2" t="s">
        <v>41</v>
      </c>
      <c r="R106" s="2" t="n">
        <v>5</v>
      </c>
      <c r="S106" s="2" t="n">
        <v>2112.54</v>
      </c>
      <c r="T106" s="2" t="n">
        <v>0.25</v>
      </c>
      <c r="U106" s="2" t="str">
        <f aca="false">IF(ISBLANK(T106),"Yes","No")</f>
        <v>No</v>
      </c>
      <c r="V106" s="2" t="n">
        <f aca="false">IF(ISBLANK(T106),0,IF(ISNUMBER(T106),T106,VALUE(LEFT(T106,LEN(T106)-1))/100))</f>
        <v>0.25</v>
      </c>
      <c r="W106" s="2" t="str">
        <f aca="false">IF(AND(V106&gt;=0,V106&lt;=0.25),"Valid","Invalid")</f>
        <v>Valid</v>
      </c>
      <c r="X106" s="2" t="n">
        <v>8260.46</v>
      </c>
      <c r="Y106" s="2" t="n">
        <f aca="false">R106*S106*(1-V106)</f>
        <v>7922.025</v>
      </c>
      <c r="Z106" s="2" t="str">
        <f aca="false">IF(ABS(X106-Y106)&gt;1,"Mismatch","OK")</f>
        <v>Mismatch</v>
      </c>
      <c r="AA106" s="2" t="n">
        <v>5619.95</v>
      </c>
      <c r="AB106" s="2" t="n">
        <v>2302.08</v>
      </c>
      <c r="AC106" s="2" t="n">
        <f aca="false">Y106-AA106</f>
        <v>2302.075</v>
      </c>
      <c r="AD106" s="2" t="str">
        <f aca="false">IF(ABS(AB106-AC106)&gt;1,"Mismatch","OK")</f>
        <v>OK</v>
      </c>
      <c r="AE106" s="4" t="n">
        <f aca="false">IF(Y106=0,0,AC106/Y106)</f>
        <v>0.290591736330042</v>
      </c>
      <c r="AF106" s="2" t="s">
        <v>52</v>
      </c>
      <c r="AG106" s="2" t="s">
        <v>88</v>
      </c>
      <c r="AH106" s="2" t="str">
        <f aca="false">IF(AND(AG106="Completed",AF106&lt;&gt;"Paid"),"Inconsistent","OK")</f>
        <v>OK</v>
      </c>
      <c r="AI106" s="2" t="n">
        <f aca="false">IF(OR(ISBLANK(B106),ISBLANK(C106)),"",C106-B106)</f>
        <v>7</v>
      </c>
      <c r="AJ106" s="2" t="str">
        <f aca="false">IF(AI106="","Unknown",IF(AI106&lt;0,"Invalid","OK"))</f>
        <v>OK</v>
      </c>
      <c r="AK106" s="2" t="str">
        <f aca="false">IF(ISBLANK(B106),"",TEXT(B106,"mmm"))</f>
        <v>Feb</v>
      </c>
      <c r="AL106" s="2" t="n">
        <f aca="false">IF(ISBLANK(B106),"",YEAR(B106))</f>
        <v>2025</v>
      </c>
      <c r="AM106" s="2" t="s">
        <v>41</v>
      </c>
      <c r="AN106" s="2" t="str">
        <f aca="false">IF(OR(W106="Invalid",AJ106="Invalid",AH106="Inconsistent",Z106="Mismatch",AD106="Mismatch",AM106="Yes",D106="Yes",E106="Yes"),"Invalid",IF(OR(J106="Yes",Q106="Yes",U106="Yes"),"Warning","Clean"))</f>
        <v>Invalid</v>
      </c>
    </row>
    <row r="107" customFormat="false" ht="15" hidden="false" customHeight="false" outlineLevel="0" collapsed="false">
      <c r="A107" s="2" t="s">
        <v>447</v>
      </c>
      <c r="B107" s="3" t="n">
        <v>45467</v>
      </c>
      <c r="C107" s="3" t="n">
        <v>45472</v>
      </c>
      <c r="D107" s="2" t="s">
        <v>41</v>
      </c>
      <c r="E107" s="2" t="s">
        <v>41</v>
      </c>
      <c r="F107" s="2" t="s">
        <v>448</v>
      </c>
      <c r="G107" s="2" t="s">
        <v>56</v>
      </c>
      <c r="H107" s="2" t="s">
        <v>115</v>
      </c>
      <c r="I107" s="2" t="s">
        <v>58</v>
      </c>
      <c r="J107" s="2" t="s">
        <v>41</v>
      </c>
      <c r="K107" s="2" t="s">
        <v>119</v>
      </c>
      <c r="L107" s="2" t="s">
        <v>120</v>
      </c>
      <c r="M107" s="2" t="s">
        <v>61</v>
      </c>
      <c r="N107" s="2" t="s">
        <v>62</v>
      </c>
      <c r="O107" s="2" t="s">
        <v>449</v>
      </c>
      <c r="P107" s="2" t="s">
        <v>51</v>
      </c>
      <c r="Q107" s="2" t="s">
        <v>41</v>
      </c>
      <c r="R107" s="2" t="n">
        <v>2</v>
      </c>
      <c r="S107" s="2" t="n">
        <v>685</v>
      </c>
      <c r="T107" s="2" t="n">
        <v>0.1</v>
      </c>
      <c r="U107" s="2" t="str">
        <f aca="false">IF(ISBLANK(T107),"Yes","No")</f>
        <v>No</v>
      </c>
      <c r="V107" s="2" t="n">
        <f aca="false">IF(ISBLANK(T107),0,IF(ISNUMBER(T107),T107,VALUE(LEFT(T107,LEN(T107)-1))/100))</f>
        <v>0.1</v>
      </c>
      <c r="W107" s="2" t="str">
        <f aca="false">IF(AND(V107&gt;=0,V107&lt;=0.25),"Valid","Invalid")</f>
        <v>Valid</v>
      </c>
      <c r="X107" s="2" t="n">
        <v>1233</v>
      </c>
      <c r="Y107" s="2" t="n">
        <f aca="false">R107*S107*(1-V107)</f>
        <v>1233</v>
      </c>
      <c r="Z107" s="2" t="str">
        <f aca="false">IF(ABS(X107-Y107)&gt;1,"Mismatch","OK")</f>
        <v>OK</v>
      </c>
      <c r="AA107" s="2" t="n">
        <v>1006.9</v>
      </c>
      <c r="AB107" s="2" t="n">
        <v>226.1</v>
      </c>
      <c r="AC107" s="2" t="n">
        <f aca="false">Y107-AA107</f>
        <v>226.1</v>
      </c>
      <c r="AD107" s="2" t="str">
        <f aca="false">IF(ABS(AB107-AC107)&gt;1,"Mismatch","OK")</f>
        <v>OK</v>
      </c>
      <c r="AE107" s="4" t="n">
        <f aca="false">IF(Y107=0,0,AC107/Y107)</f>
        <v>0.183373884833739</v>
      </c>
      <c r="AF107" s="2" t="s">
        <v>52</v>
      </c>
      <c r="AG107" s="2" t="s">
        <v>53</v>
      </c>
      <c r="AH107" s="2" t="str">
        <f aca="false">IF(AND(AG107="Completed",AF107&lt;&gt;"Paid"),"Inconsistent","OK")</f>
        <v>OK</v>
      </c>
      <c r="AI107" s="2" t="n">
        <f aca="false">IF(OR(ISBLANK(B107),ISBLANK(C107)),"",C107-B107)</f>
        <v>5</v>
      </c>
      <c r="AJ107" s="2" t="str">
        <f aca="false">IF(AI107="","Unknown",IF(AI107&lt;0,"Invalid","OK"))</f>
        <v>OK</v>
      </c>
      <c r="AK107" s="2" t="str">
        <f aca="false">IF(ISBLANK(B107),"",TEXT(B107,"mmm"))</f>
        <v>Jun</v>
      </c>
      <c r="AL107" s="2" t="n">
        <f aca="false">IF(ISBLANK(B107),"",YEAR(B107))</f>
        <v>2024</v>
      </c>
      <c r="AM107" s="2" t="s">
        <v>41</v>
      </c>
      <c r="AN107" s="2" t="str">
        <f aca="false">IF(OR(W107="Invalid",AJ107="Invalid",AH107="Inconsistent",Z107="Mismatch",AD107="Mismatch",AM107="Yes",D107="Yes",E107="Yes"),"Invalid",IF(OR(J107="Yes",Q107="Yes",U107="Yes"),"Warning","Clean"))</f>
        <v>Clean</v>
      </c>
    </row>
    <row r="108" customFormat="false" ht="15" hidden="false" customHeight="false" outlineLevel="0" collapsed="false">
      <c r="A108" s="2" t="s">
        <v>450</v>
      </c>
      <c r="B108" s="3" t="n">
        <v>45342</v>
      </c>
      <c r="C108" s="3" t="n">
        <v>45350</v>
      </c>
      <c r="D108" s="2" t="s">
        <v>41</v>
      </c>
      <c r="E108" s="2" t="s">
        <v>41</v>
      </c>
      <c r="F108" s="2" t="s">
        <v>451</v>
      </c>
      <c r="G108" s="2" t="s">
        <v>73</v>
      </c>
      <c r="H108" s="2" t="s">
        <v>115</v>
      </c>
      <c r="I108" s="2" t="s">
        <v>58</v>
      </c>
      <c r="J108" s="2" t="s">
        <v>41</v>
      </c>
      <c r="K108" s="2" t="s">
        <v>119</v>
      </c>
      <c r="L108" s="2" t="s">
        <v>120</v>
      </c>
      <c r="M108" s="2" t="s">
        <v>48</v>
      </c>
      <c r="N108" s="2" t="s">
        <v>49</v>
      </c>
      <c r="O108" s="2" t="s">
        <v>452</v>
      </c>
      <c r="P108" s="2" t="s">
        <v>79</v>
      </c>
      <c r="Q108" s="2" t="s">
        <v>41</v>
      </c>
      <c r="R108" s="2" t="n">
        <v>2</v>
      </c>
      <c r="S108" s="2" t="n">
        <v>4004.04</v>
      </c>
      <c r="T108" s="2"/>
      <c r="U108" s="2" t="str">
        <f aca="false">IF(ISBLANK(T108),"Yes","No")</f>
        <v>Yes</v>
      </c>
      <c r="V108" s="2" t="n">
        <f aca="false">IF(ISBLANK(T108),0,IF(ISNUMBER(T108),T108,VALUE(LEFT(T108,LEN(T108)-1))/100))</f>
        <v>0</v>
      </c>
      <c r="W108" s="2" t="str">
        <f aca="false">IF(AND(V108&gt;=0,V108&lt;=0.25),"Valid","Invalid")</f>
        <v>Valid</v>
      </c>
      <c r="X108" s="2" t="n">
        <v>7207.27</v>
      </c>
      <c r="Y108" s="2" t="n">
        <f aca="false">R108*S108*(1-V108)</f>
        <v>8008.08</v>
      </c>
      <c r="Z108" s="2" t="str">
        <f aca="false">IF(ABS(X108-Y108)&gt;1,"Mismatch","OK")</f>
        <v>Mismatch</v>
      </c>
      <c r="AA108" s="2" t="n">
        <v>5709.39</v>
      </c>
      <c r="AB108" s="2" t="n">
        <v>1497.88</v>
      </c>
      <c r="AC108" s="2" t="n">
        <f aca="false">Y108-AA108</f>
        <v>2298.69</v>
      </c>
      <c r="AD108" s="2" t="str">
        <f aca="false">IF(ABS(AB108-AC108)&gt;1,"Mismatch","OK")</f>
        <v>Mismatch</v>
      </c>
      <c r="AE108" s="4" t="n">
        <f aca="false">IF(Y108=0,0,AC108/Y108)</f>
        <v>0.287046333203464</v>
      </c>
      <c r="AF108" s="2" t="s">
        <v>52</v>
      </c>
      <c r="AG108" s="2" t="s">
        <v>88</v>
      </c>
      <c r="AH108" s="2" t="str">
        <f aca="false">IF(AND(AG108="Completed",AF108&lt;&gt;"Paid"),"Inconsistent","OK")</f>
        <v>OK</v>
      </c>
      <c r="AI108" s="2" t="n">
        <f aca="false">IF(OR(ISBLANK(B108),ISBLANK(C108)),"",C108-B108)</f>
        <v>8</v>
      </c>
      <c r="AJ108" s="2" t="str">
        <f aca="false">IF(AI108="","Unknown",IF(AI108&lt;0,"Invalid","OK"))</f>
        <v>OK</v>
      </c>
      <c r="AK108" s="2" t="str">
        <f aca="false">IF(ISBLANK(B108),"",TEXT(B108,"mmm"))</f>
        <v>Feb</v>
      </c>
      <c r="AL108" s="2" t="n">
        <f aca="false">IF(ISBLANK(B108),"",YEAR(B108))</f>
        <v>2024</v>
      </c>
      <c r="AM108" s="2" t="s">
        <v>41</v>
      </c>
      <c r="AN108" s="2" t="str">
        <f aca="false">IF(OR(W108="Invalid",AJ108="Invalid",AH108="Inconsistent",Z108="Mismatch",AD108="Mismatch",AM108="Yes",D108="Yes",E108="Yes"),"Invalid",IF(OR(J108="Yes",Q108="Yes",U108="Yes"),"Warning","Clean"))</f>
        <v>Invalid</v>
      </c>
    </row>
    <row r="109" customFormat="false" ht="15" hidden="false" customHeight="false" outlineLevel="0" collapsed="false">
      <c r="A109" s="2" t="s">
        <v>453</v>
      </c>
      <c r="B109" s="3" t="n">
        <v>45594</v>
      </c>
      <c r="C109" s="3" t="n">
        <v>45600</v>
      </c>
      <c r="D109" s="2" t="s">
        <v>41</v>
      </c>
      <c r="E109" s="2" t="s">
        <v>41</v>
      </c>
      <c r="F109" s="2" t="s">
        <v>454</v>
      </c>
      <c r="G109" s="2" t="s">
        <v>161</v>
      </c>
      <c r="H109" s="2" t="s">
        <v>115</v>
      </c>
      <c r="I109" s="2" t="s">
        <v>58</v>
      </c>
      <c r="J109" s="2" t="s">
        <v>41</v>
      </c>
      <c r="K109" s="2" t="s">
        <v>119</v>
      </c>
      <c r="L109" s="2" t="s">
        <v>120</v>
      </c>
      <c r="M109" s="2" t="s">
        <v>61</v>
      </c>
      <c r="N109" s="2" t="s">
        <v>77</v>
      </c>
      <c r="O109" s="2" t="s">
        <v>455</v>
      </c>
      <c r="P109" s="2" t="s">
        <v>70</v>
      </c>
      <c r="Q109" s="2" t="s">
        <v>41</v>
      </c>
      <c r="R109" s="2" t="n">
        <v>3</v>
      </c>
      <c r="S109" s="2" t="n">
        <v>4302.89</v>
      </c>
      <c r="T109" s="2" t="n">
        <v>0.05</v>
      </c>
      <c r="U109" s="2" t="str">
        <f aca="false">IF(ISBLANK(T109),"Yes","No")</f>
        <v>No</v>
      </c>
      <c r="V109" s="2" t="n">
        <f aca="false">IF(ISBLANK(T109),0,IF(ISNUMBER(T109),T109,VALUE(LEFT(T109,LEN(T109)-1))/100))</f>
        <v>0.05</v>
      </c>
      <c r="W109" s="2" t="str">
        <f aca="false">IF(AND(V109&gt;=0,V109&lt;=0.25),"Valid","Invalid")</f>
        <v>Valid</v>
      </c>
      <c r="X109" s="2" t="n">
        <v>12263.24</v>
      </c>
      <c r="Y109" s="2" t="n">
        <f aca="false">R109*S109*(1-V109)</f>
        <v>12263.2365</v>
      </c>
      <c r="Z109" s="2" t="str">
        <f aca="false">IF(ABS(X109-Y109)&gt;1,"Mismatch","OK")</f>
        <v>OK</v>
      </c>
      <c r="AA109" s="2" t="n">
        <v>8925.57</v>
      </c>
      <c r="AB109" s="2" t="n">
        <v>3337.67</v>
      </c>
      <c r="AC109" s="2" t="n">
        <f aca="false">Y109-AA109</f>
        <v>3337.6665</v>
      </c>
      <c r="AD109" s="2" t="str">
        <f aca="false">IF(ABS(AB109-AC109)&gt;1,"Mismatch","OK")</f>
        <v>OK</v>
      </c>
      <c r="AE109" s="4" t="n">
        <f aca="false">IF(Y109=0,0,AC109/Y109)</f>
        <v>0.272168485048788</v>
      </c>
      <c r="AF109" s="2" t="s">
        <v>52</v>
      </c>
      <c r="AG109" s="2" t="s">
        <v>53</v>
      </c>
      <c r="AH109" s="2" t="str">
        <f aca="false">IF(AND(AG109="Completed",AF109&lt;&gt;"Paid"),"Inconsistent","OK")</f>
        <v>OK</v>
      </c>
      <c r="AI109" s="2" t="n">
        <f aca="false">IF(OR(ISBLANK(B109),ISBLANK(C109)),"",C109-B109)</f>
        <v>6</v>
      </c>
      <c r="AJ109" s="2" t="str">
        <f aca="false">IF(AI109="","Unknown",IF(AI109&lt;0,"Invalid","OK"))</f>
        <v>OK</v>
      </c>
      <c r="AK109" s="2" t="str">
        <f aca="false">IF(ISBLANK(B109),"",TEXT(B109,"mmm"))</f>
        <v>Oct</v>
      </c>
      <c r="AL109" s="2" t="n">
        <f aca="false">IF(ISBLANK(B109),"",YEAR(B109))</f>
        <v>2024</v>
      </c>
      <c r="AM109" s="2" t="s">
        <v>41</v>
      </c>
      <c r="AN109" s="2" t="str">
        <f aca="false">IF(OR(W109="Invalid",AJ109="Invalid",AH109="Inconsistent",Z109="Mismatch",AD109="Mismatch",AM109="Yes",D109="Yes",E109="Yes"),"Invalid",IF(OR(J109="Yes",Q109="Yes",U109="Yes"),"Warning","Clean"))</f>
        <v>Clean</v>
      </c>
    </row>
    <row r="110" customFormat="false" ht="15" hidden="false" customHeight="false" outlineLevel="0" collapsed="false">
      <c r="A110" s="2" t="s">
        <v>456</v>
      </c>
      <c r="B110" s="3" t="n">
        <v>45519</v>
      </c>
      <c r="C110" s="3" t="n">
        <v>45527</v>
      </c>
      <c r="D110" s="2" t="s">
        <v>41</v>
      </c>
      <c r="E110" s="2" t="s">
        <v>41</v>
      </c>
      <c r="F110" s="2" t="s">
        <v>457</v>
      </c>
      <c r="G110" s="2" t="s">
        <v>109</v>
      </c>
      <c r="H110" s="2" t="s">
        <v>57</v>
      </c>
      <c r="I110" s="2" t="s">
        <v>58</v>
      </c>
      <c r="J110" s="2" t="s">
        <v>41</v>
      </c>
      <c r="K110" s="2" t="s">
        <v>59</v>
      </c>
      <c r="L110" s="2" t="s">
        <v>60</v>
      </c>
      <c r="M110" s="2" t="s">
        <v>61</v>
      </c>
      <c r="N110" s="2" t="s">
        <v>178</v>
      </c>
      <c r="O110" s="2" t="s">
        <v>458</v>
      </c>
      <c r="P110" s="2" t="s">
        <v>64</v>
      </c>
      <c r="Q110" s="2" t="s">
        <v>41</v>
      </c>
      <c r="R110" s="2" t="n">
        <v>2</v>
      </c>
      <c r="S110" s="2" t="n">
        <v>537.54</v>
      </c>
      <c r="T110" s="2" t="n">
        <v>0.25</v>
      </c>
      <c r="U110" s="2" t="str">
        <f aca="false">IF(ISBLANK(T110),"Yes","No")</f>
        <v>No</v>
      </c>
      <c r="V110" s="2" t="n">
        <f aca="false">IF(ISBLANK(T110),0,IF(ISNUMBER(T110),T110,VALUE(LEFT(T110,LEN(T110)-1))/100))</f>
        <v>0.25</v>
      </c>
      <c r="W110" s="2" t="str">
        <f aca="false">IF(AND(V110&gt;=0,V110&lt;=0.25),"Valid","Invalid")</f>
        <v>Valid</v>
      </c>
      <c r="X110" s="2" t="n">
        <v>806.31</v>
      </c>
      <c r="Y110" s="2" t="n">
        <f aca="false">R110*S110*(1-V110)</f>
        <v>806.31</v>
      </c>
      <c r="Z110" s="2" t="str">
        <f aca="false">IF(ABS(X110-Y110)&gt;1,"Mismatch","OK")</f>
        <v>OK</v>
      </c>
      <c r="AA110" s="2" t="n">
        <v>498.5</v>
      </c>
      <c r="AB110" s="2" t="n">
        <v>307.81</v>
      </c>
      <c r="AC110" s="2" t="n">
        <f aca="false">Y110-AA110</f>
        <v>307.81</v>
      </c>
      <c r="AD110" s="2" t="str">
        <f aca="false">IF(ABS(AB110-AC110)&gt;1,"Mismatch","OK")</f>
        <v>OK</v>
      </c>
      <c r="AE110" s="4" t="n">
        <f aca="false">IF(Y110=0,0,AC110/Y110)</f>
        <v>0.381751435552083</v>
      </c>
      <c r="AF110" s="2" t="s">
        <v>52</v>
      </c>
      <c r="AG110" s="2" t="s">
        <v>53</v>
      </c>
      <c r="AH110" s="2" t="str">
        <f aca="false">IF(AND(AG110="Completed",AF110&lt;&gt;"Paid"),"Inconsistent","OK")</f>
        <v>OK</v>
      </c>
      <c r="AI110" s="2" t="n">
        <f aca="false">IF(OR(ISBLANK(B110),ISBLANK(C110)),"",C110-B110)</f>
        <v>8</v>
      </c>
      <c r="AJ110" s="2" t="str">
        <f aca="false">IF(AI110="","Unknown",IF(AI110&lt;0,"Invalid","OK"))</f>
        <v>OK</v>
      </c>
      <c r="AK110" s="2" t="str">
        <f aca="false">IF(ISBLANK(B110),"",TEXT(B110,"mmm"))</f>
        <v>Aug</v>
      </c>
      <c r="AL110" s="2" t="n">
        <f aca="false">IF(ISBLANK(B110),"",YEAR(B110))</f>
        <v>2024</v>
      </c>
      <c r="AM110" s="2" t="s">
        <v>41</v>
      </c>
      <c r="AN110" s="2" t="str">
        <f aca="false">IF(OR(W110="Invalid",AJ110="Invalid",AH110="Inconsistent",Z110="Mismatch",AD110="Mismatch",AM110="Yes",D110="Yes",E110="Yes"),"Invalid",IF(OR(J110="Yes",Q110="Yes",U110="Yes"),"Warning","Clean"))</f>
        <v>Clean</v>
      </c>
    </row>
    <row r="111" customFormat="false" ht="15" hidden="false" customHeight="false" outlineLevel="0" collapsed="false">
      <c r="A111" s="2" t="s">
        <v>459</v>
      </c>
      <c r="B111" s="3" t="n">
        <v>45892</v>
      </c>
      <c r="C111" s="3" t="n">
        <v>45896</v>
      </c>
      <c r="D111" s="2" t="s">
        <v>41</v>
      </c>
      <c r="E111" s="2" t="s">
        <v>41</v>
      </c>
      <c r="F111" s="2" t="s">
        <v>460</v>
      </c>
      <c r="G111" s="2" t="s">
        <v>152</v>
      </c>
      <c r="H111" s="2" t="s">
        <v>44</v>
      </c>
      <c r="I111" s="2" t="s">
        <v>45</v>
      </c>
      <c r="J111" s="2" t="s">
        <v>41</v>
      </c>
      <c r="K111" s="2" t="s">
        <v>372</v>
      </c>
      <c r="L111" s="2" t="s">
        <v>373</v>
      </c>
      <c r="M111" s="2" t="s">
        <v>48</v>
      </c>
      <c r="N111" s="2" t="s">
        <v>173</v>
      </c>
      <c r="O111" s="2" t="s">
        <v>461</v>
      </c>
      <c r="P111" s="2" t="s">
        <v>51</v>
      </c>
      <c r="Q111" s="2" t="s">
        <v>41</v>
      </c>
      <c r="R111" s="2" t="n">
        <v>1</v>
      </c>
      <c r="S111" s="2" t="n">
        <v>2788.62</v>
      </c>
      <c r="T111" s="2" t="n">
        <v>0.25</v>
      </c>
      <c r="U111" s="2" t="str">
        <f aca="false">IF(ISBLANK(T111),"Yes","No")</f>
        <v>No</v>
      </c>
      <c r="V111" s="2" t="n">
        <f aca="false">IF(ISBLANK(T111),0,IF(ISNUMBER(T111),T111,VALUE(LEFT(T111,LEN(T111)-1))/100))</f>
        <v>0.25</v>
      </c>
      <c r="W111" s="2" t="str">
        <f aca="false">IF(AND(V111&gt;=0,V111&lt;=0.25),"Valid","Invalid")</f>
        <v>Valid</v>
      </c>
      <c r="X111" s="2" t="n">
        <v>2091.47</v>
      </c>
      <c r="Y111" s="2" t="n">
        <f aca="false">R111*S111*(1-V111)</f>
        <v>2091.465</v>
      </c>
      <c r="Z111" s="2" t="str">
        <f aca="false">IF(ABS(X111-Y111)&gt;1,"Mismatch","OK")</f>
        <v>OK</v>
      </c>
      <c r="AA111" s="2" t="n">
        <v>1317.22</v>
      </c>
      <c r="AB111" s="2" t="n">
        <v>774.25</v>
      </c>
      <c r="AC111" s="2" t="n">
        <f aca="false">Y111-AA111</f>
        <v>774.245</v>
      </c>
      <c r="AD111" s="2" t="str">
        <f aca="false">IF(ABS(AB111-AC111)&gt;1,"Mismatch","OK")</f>
        <v>OK</v>
      </c>
      <c r="AE111" s="4" t="n">
        <f aca="false">IF(Y111=0,0,AC111/Y111)</f>
        <v>0.370192663993899</v>
      </c>
      <c r="AF111" s="2" t="s">
        <v>52</v>
      </c>
      <c r="AG111" s="2" t="s">
        <v>53</v>
      </c>
      <c r="AH111" s="2" t="str">
        <f aca="false">IF(AND(AG111="Completed",AF111&lt;&gt;"Paid"),"Inconsistent","OK")</f>
        <v>OK</v>
      </c>
      <c r="AI111" s="2" t="n">
        <f aca="false">IF(OR(ISBLANK(B111),ISBLANK(C111)),"",C111-B111)</f>
        <v>4</v>
      </c>
      <c r="AJ111" s="2" t="str">
        <f aca="false">IF(AI111="","Unknown",IF(AI111&lt;0,"Invalid","OK"))</f>
        <v>OK</v>
      </c>
      <c r="AK111" s="2" t="str">
        <f aca="false">IF(ISBLANK(B111),"",TEXT(B111,"mmm"))</f>
        <v>Aug</v>
      </c>
      <c r="AL111" s="2" t="n">
        <f aca="false">IF(ISBLANK(B111),"",YEAR(B111))</f>
        <v>2025</v>
      </c>
      <c r="AM111" s="2" t="s">
        <v>41</v>
      </c>
      <c r="AN111" s="2" t="str">
        <f aca="false">IF(OR(W111="Invalid",AJ111="Invalid",AH111="Inconsistent",Z111="Mismatch",AD111="Mismatch",AM111="Yes",D111="Yes",E111="Yes"),"Invalid",IF(OR(J111="Yes",Q111="Yes",U111="Yes"),"Warning","Clean"))</f>
        <v>Clean</v>
      </c>
    </row>
    <row r="112" customFormat="false" ht="15" hidden="false" customHeight="false" outlineLevel="0" collapsed="false">
      <c r="A112" s="2" t="s">
        <v>462</v>
      </c>
      <c r="B112" s="3" t="n">
        <v>45583</v>
      </c>
      <c r="C112" s="3" t="n">
        <v>45589</v>
      </c>
      <c r="D112" s="2" t="s">
        <v>41</v>
      </c>
      <c r="E112" s="2" t="s">
        <v>41</v>
      </c>
      <c r="F112" s="2" t="s">
        <v>463</v>
      </c>
      <c r="G112" s="2" t="s">
        <v>91</v>
      </c>
      <c r="H112" s="2" t="s">
        <v>110</v>
      </c>
      <c r="I112" s="2" t="s">
        <v>74</v>
      </c>
      <c r="J112" s="2" t="s">
        <v>41</v>
      </c>
      <c r="K112" s="2" t="s">
        <v>205</v>
      </c>
      <c r="L112" s="2" t="s">
        <v>206</v>
      </c>
      <c r="M112" s="2" t="s">
        <v>48</v>
      </c>
      <c r="N112" s="2" t="s">
        <v>111</v>
      </c>
      <c r="O112" s="2" t="s">
        <v>464</v>
      </c>
      <c r="P112" s="2" t="s">
        <v>70</v>
      </c>
      <c r="Q112" s="2" t="s">
        <v>41</v>
      </c>
      <c r="R112" s="2" t="n">
        <v>2</v>
      </c>
      <c r="S112" s="2" t="n">
        <v>2250.47</v>
      </c>
      <c r="T112" s="2" t="n">
        <v>0</v>
      </c>
      <c r="U112" s="2" t="str">
        <f aca="false">IF(ISBLANK(T112),"Yes","No")</f>
        <v>No</v>
      </c>
      <c r="V112" s="2" t="n">
        <f aca="false">IF(ISBLANK(T112),0,IF(ISNUMBER(T112),T112,VALUE(LEFT(T112,LEN(T112)-1))/100))</f>
        <v>0</v>
      </c>
      <c r="W112" s="2" t="str">
        <f aca="false">IF(AND(V112&gt;=0,V112&lt;=0.25),"Valid","Invalid")</f>
        <v>Valid</v>
      </c>
      <c r="X112" s="2" t="n">
        <v>4500.94</v>
      </c>
      <c r="Y112" s="2" t="n">
        <f aca="false">R112*S112*(1-V112)</f>
        <v>4500.94</v>
      </c>
      <c r="Z112" s="2" t="str">
        <f aca="false">IF(ABS(X112-Y112)&gt;1,"Mismatch","OK")</f>
        <v>OK</v>
      </c>
      <c r="AA112" s="2" t="n">
        <v>2607.73</v>
      </c>
      <c r="AB112" s="2" t="n">
        <v>1893.21</v>
      </c>
      <c r="AC112" s="2" t="n">
        <f aca="false">Y112-AA112</f>
        <v>1893.21</v>
      </c>
      <c r="AD112" s="2" t="str">
        <f aca="false">IF(ABS(AB112-AC112)&gt;1,"Mismatch","OK")</f>
        <v>OK</v>
      </c>
      <c r="AE112" s="4" t="n">
        <f aca="false">IF(Y112=0,0,AC112/Y112)</f>
        <v>0.420625469346403</v>
      </c>
      <c r="AF112" s="2" t="s">
        <v>122</v>
      </c>
      <c r="AG112" s="2" t="s">
        <v>88</v>
      </c>
      <c r="AH112" s="2" t="str">
        <f aca="false">IF(AND(AG112="Completed",AF112&lt;&gt;"Paid"),"Inconsistent","OK")</f>
        <v>OK</v>
      </c>
      <c r="AI112" s="2" t="n">
        <f aca="false">IF(OR(ISBLANK(B112),ISBLANK(C112)),"",C112-B112)</f>
        <v>6</v>
      </c>
      <c r="AJ112" s="2" t="str">
        <f aca="false">IF(AI112="","Unknown",IF(AI112&lt;0,"Invalid","OK"))</f>
        <v>OK</v>
      </c>
      <c r="AK112" s="2" t="str">
        <f aca="false">IF(ISBLANK(B112),"",TEXT(B112,"mmm"))</f>
        <v>Oct</v>
      </c>
      <c r="AL112" s="2" t="n">
        <f aca="false">IF(ISBLANK(B112),"",YEAR(B112))</f>
        <v>2024</v>
      </c>
      <c r="AM112" s="2" t="s">
        <v>41</v>
      </c>
      <c r="AN112" s="2" t="str">
        <f aca="false">IF(OR(W112="Invalid",AJ112="Invalid",AH112="Inconsistent",Z112="Mismatch",AD112="Mismatch",AM112="Yes",D112="Yes",E112="Yes"),"Invalid",IF(OR(J112="Yes",Q112="Yes",U112="Yes"),"Warning","Clean"))</f>
        <v>Clean</v>
      </c>
    </row>
    <row r="113" customFormat="false" ht="15" hidden="false" customHeight="false" outlineLevel="0" collapsed="false">
      <c r="A113" s="2" t="s">
        <v>465</v>
      </c>
      <c r="B113" s="3" t="n">
        <v>45835</v>
      </c>
      <c r="C113" s="3" t="n">
        <v>45838</v>
      </c>
      <c r="D113" s="2" t="s">
        <v>41</v>
      </c>
      <c r="E113" s="2" t="s">
        <v>41</v>
      </c>
      <c r="F113" s="2" t="s">
        <v>466</v>
      </c>
      <c r="G113" s="2" t="s">
        <v>99</v>
      </c>
      <c r="H113" s="2" t="s">
        <v>110</v>
      </c>
      <c r="I113" s="2" t="s">
        <v>58</v>
      </c>
      <c r="J113" s="2" t="s">
        <v>41</v>
      </c>
      <c r="K113" s="2" t="s">
        <v>165</v>
      </c>
      <c r="L113" s="2" t="s">
        <v>166</v>
      </c>
      <c r="M113" s="2" t="s">
        <v>94</v>
      </c>
      <c r="N113" s="2" t="s">
        <v>95</v>
      </c>
      <c r="O113" s="2" t="s">
        <v>467</v>
      </c>
      <c r="P113" s="2" t="s">
        <v>70</v>
      </c>
      <c r="Q113" s="2" t="s">
        <v>41</v>
      </c>
      <c r="R113" s="2" t="n">
        <v>1</v>
      </c>
      <c r="S113" s="2" t="n">
        <v>1708.44</v>
      </c>
      <c r="T113" s="2" t="n">
        <v>0.05</v>
      </c>
      <c r="U113" s="2" t="str">
        <f aca="false">IF(ISBLANK(T113),"Yes","No")</f>
        <v>No</v>
      </c>
      <c r="V113" s="2" t="n">
        <f aca="false">IF(ISBLANK(T113),0,IF(ISNUMBER(T113),T113,VALUE(LEFT(T113,LEN(T113)-1))/100))</f>
        <v>0.05</v>
      </c>
      <c r="W113" s="2" t="str">
        <f aca="false">IF(AND(V113&gt;=0,V113&lt;=0.25),"Valid","Invalid")</f>
        <v>Valid</v>
      </c>
      <c r="X113" s="2" t="n">
        <v>1623.02</v>
      </c>
      <c r="Y113" s="2" t="n">
        <f aca="false">R113*S113*(1-V113)</f>
        <v>1623.018</v>
      </c>
      <c r="Z113" s="2" t="str">
        <f aca="false">IF(ABS(X113-Y113)&gt;1,"Mismatch","OK")</f>
        <v>OK</v>
      </c>
      <c r="AA113" s="2" t="n">
        <v>1077.46</v>
      </c>
      <c r="AB113" s="2" t="n">
        <v>545.56</v>
      </c>
      <c r="AC113" s="2" t="n">
        <f aca="false">Y113-AA113</f>
        <v>545.558</v>
      </c>
      <c r="AD113" s="2" t="str">
        <f aca="false">IF(ABS(AB113-AC113)&gt;1,"Mismatch","OK")</f>
        <v>OK</v>
      </c>
      <c r="AE113" s="4" t="n">
        <f aca="false">IF(Y113=0,0,AC113/Y113)</f>
        <v>0.336137984914523</v>
      </c>
      <c r="AF113" s="2" t="s">
        <v>131</v>
      </c>
      <c r="AG113" s="2" t="s">
        <v>88</v>
      </c>
      <c r="AH113" s="2" t="str">
        <f aca="false">IF(AND(AG113="Completed",AF113&lt;&gt;"Paid"),"Inconsistent","OK")</f>
        <v>OK</v>
      </c>
      <c r="AI113" s="2" t="n">
        <f aca="false">IF(OR(ISBLANK(B113),ISBLANK(C113)),"",C113-B113)</f>
        <v>3</v>
      </c>
      <c r="AJ113" s="2" t="str">
        <f aca="false">IF(AI113="","Unknown",IF(AI113&lt;0,"Invalid","OK"))</f>
        <v>OK</v>
      </c>
      <c r="AK113" s="2" t="str">
        <f aca="false">IF(ISBLANK(B113),"",TEXT(B113,"mmm"))</f>
        <v>Jun</v>
      </c>
      <c r="AL113" s="2" t="n">
        <f aca="false">IF(ISBLANK(B113),"",YEAR(B113))</f>
        <v>2025</v>
      </c>
      <c r="AM113" s="2" t="s">
        <v>41</v>
      </c>
      <c r="AN113" s="2" t="str">
        <f aca="false">IF(OR(W113="Invalid",AJ113="Invalid",AH113="Inconsistent",Z113="Mismatch",AD113="Mismatch",AM113="Yes",D113="Yes",E113="Yes"),"Invalid",IF(OR(J113="Yes",Q113="Yes",U113="Yes"),"Warning","Clean"))</f>
        <v>Clean</v>
      </c>
    </row>
    <row r="114" customFormat="false" ht="15" hidden="false" customHeight="false" outlineLevel="0" collapsed="false">
      <c r="A114" s="2" t="s">
        <v>468</v>
      </c>
      <c r="B114" s="3" t="n">
        <v>45301</v>
      </c>
      <c r="C114" s="3" t="n">
        <v>45305</v>
      </c>
      <c r="D114" s="2" t="s">
        <v>41</v>
      </c>
      <c r="E114" s="2" t="s">
        <v>41</v>
      </c>
      <c r="F114" s="2" t="s">
        <v>469</v>
      </c>
      <c r="G114" s="2" t="s">
        <v>152</v>
      </c>
      <c r="H114" s="2" t="s">
        <v>44</v>
      </c>
      <c r="I114" s="2" t="s">
        <v>225</v>
      </c>
      <c r="J114" s="2" t="s">
        <v>226</v>
      </c>
      <c r="K114" s="2" t="s">
        <v>200</v>
      </c>
      <c r="L114" s="2" t="s">
        <v>201</v>
      </c>
      <c r="M114" s="2" t="s">
        <v>94</v>
      </c>
      <c r="N114" s="2" t="s">
        <v>95</v>
      </c>
      <c r="O114" s="2" t="s">
        <v>470</v>
      </c>
      <c r="P114" s="2" t="s">
        <v>79</v>
      </c>
      <c r="Q114" s="2" t="s">
        <v>41</v>
      </c>
      <c r="R114" s="2" t="n">
        <v>3</v>
      </c>
      <c r="S114" s="2" t="n">
        <v>3829.48</v>
      </c>
      <c r="T114" s="2" t="n">
        <v>0.05</v>
      </c>
      <c r="U114" s="2" t="str">
        <f aca="false">IF(ISBLANK(T114),"Yes","No")</f>
        <v>No</v>
      </c>
      <c r="V114" s="2" t="n">
        <f aca="false">IF(ISBLANK(T114),0,IF(ISNUMBER(T114),T114,VALUE(LEFT(T114,LEN(T114)-1))/100))</f>
        <v>0.05</v>
      </c>
      <c r="W114" s="2" t="str">
        <f aca="false">IF(AND(V114&gt;=0,V114&lt;=0.25),"Valid","Invalid")</f>
        <v>Valid</v>
      </c>
      <c r="X114" s="2" t="n">
        <v>10914.02</v>
      </c>
      <c r="Y114" s="2" t="n">
        <f aca="false">R114*S114*(1-V114)</f>
        <v>10914.018</v>
      </c>
      <c r="Z114" s="2" t="str">
        <f aca="false">IF(ABS(X114-Y114)&gt;1,"Mismatch","OK")</f>
        <v>OK</v>
      </c>
      <c r="AA114" s="2" t="n">
        <v>6548.74</v>
      </c>
      <c r="AB114" s="2" t="n">
        <v>4365.28</v>
      </c>
      <c r="AC114" s="2" t="n">
        <f aca="false">Y114-AA114</f>
        <v>4365.278</v>
      </c>
      <c r="AD114" s="2" t="str">
        <f aca="false">IF(ABS(AB114-AC114)&gt;1,"Mismatch","OK")</f>
        <v>OK</v>
      </c>
      <c r="AE114" s="4" t="n">
        <f aca="false">IF(Y114=0,0,AC114/Y114)</f>
        <v>0.399969836956472</v>
      </c>
      <c r="AF114" s="2" t="s">
        <v>52</v>
      </c>
      <c r="AG114" s="2" t="s">
        <v>53</v>
      </c>
      <c r="AH114" s="2" t="str">
        <f aca="false">IF(AND(AG114="Completed",AF114&lt;&gt;"Paid"),"Inconsistent","OK")</f>
        <v>OK</v>
      </c>
      <c r="AI114" s="2" t="n">
        <f aca="false">IF(OR(ISBLANK(B114),ISBLANK(C114)),"",C114-B114)</f>
        <v>4</v>
      </c>
      <c r="AJ114" s="2" t="str">
        <f aca="false">IF(AI114="","Unknown",IF(AI114&lt;0,"Invalid","OK"))</f>
        <v>OK</v>
      </c>
      <c r="AK114" s="2" t="str">
        <f aca="false">IF(ISBLANK(B114),"",TEXT(B114,"mmm"))</f>
        <v>Jan</v>
      </c>
      <c r="AL114" s="2" t="n">
        <f aca="false">IF(ISBLANK(B114),"",YEAR(B114))</f>
        <v>2024</v>
      </c>
      <c r="AM114" s="2" t="s">
        <v>41</v>
      </c>
      <c r="AN114" s="2" t="str">
        <f aca="false">IF(OR(W114="Invalid",AJ114="Invalid",AH114="Inconsistent",Z114="Mismatch",AD114="Mismatch",AM114="Yes",D114="Yes",E114="Yes"),"Invalid",IF(OR(J114="Yes",Q114="Yes",U114="Yes"),"Warning","Clean"))</f>
        <v>Warning</v>
      </c>
    </row>
    <row r="115" customFormat="false" ht="15" hidden="false" customHeight="false" outlineLevel="0" collapsed="false">
      <c r="A115" s="2" t="s">
        <v>471</v>
      </c>
      <c r="B115" s="3" t="n">
        <v>45334</v>
      </c>
      <c r="C115" s="3" t="n">
        <v>45334</v>
      </c>
      <c r="D115" s="2" t="s">
        <v>41</v>
      </c>
      <c r="E115" s="2" t="s">
        <v>41</v>
      </c>
      <c r="F115" s="2" t="s">
        <v>382</v>
      </c>
      <c r="G115" s="2" t="s">
        <v>67</v>
      </c>
      <c r="H115" s="2" t="s">
        <v>115</v>
      </c>
      <c r="I115" s="2" t="s">
        <v>74</v>
      </c>
      <c r="J115" s="2" t="s">
        <v>41</v>
      </c>
      <c r="K115" s="2" t="s">
        <v>269</v>
      </c>
      <c r="L115" s="2" t="s">
        <v>270</v>
      </c>
      <c r="M115" s="2" t="s">
        <v>61</v>
      </c>
      <c r="N115" s="2" t="s">
        <v>62</v>
      </c>
      <c r="O115" s="2" t="s">
        <v>472</v>
      </c>
      <c r="P115" s="2" t="s">
        <v>79</v>
      </c>
      <c r="Q115" s="2" t="s">
        <v>41</v>
      </c>
      <c r="R115" s="2" t="n">
        <v>3</v>
      </c>
      <c r="S115" s="2" t="n">
        <v>1089.15</v>
      </c>
      <c r="T115" s="2" t="n">
        <v>0.25</v>
      </c>
      <c r="U115" s="2" t="str">
        <f aca="false">IF(ISBLANK(T115),"Yes","No")</f>
        <v>No</v>
      </c>
      <c r="V115" s="2" t="n">
        <f aca="false">IF(ISBLANK(T115),0,IF(ISNUMBER(T115),T115,VALUE(LEFT(T115,LEN(T115)-1))/100))</f>
        <v>0.25</v>
      </c>
      <c r="W115" s="2" t="str">
        <f aca="false">IF(AND(V115&gt;=0,V115&lt;=0.25),"Valid","Invalid")</f>
        <v>Valid</v>
      </c>
      <c r="X115" s="2" t="n">
        <v>2450.59</v>
      </c>
      <c r="Y115" s="2" t="n">
        <f aca="false">R115*S115*(1-V115)</f>
        <v>2450.5875</v>
      </c>
      <c r="Z115" s="2" t="str">
        <f aca="false">IF(ABS(X115-Y115)&gt;1,"Mismatch","OK")</f>
        <v>OK</v>
      </c>
      <c r="AA115" s="2" t="n">
        <v>1639.89</v>
      </c>
      <c r="AB115" s="2" t="n">
        <v>810.7</v>
      </c>
      <c r="AC115" s="2" t="n">
        <f aca="false">Y115-AA115</f>
        <v>810.6975</v>
      </c>
      <c r="AD115" s="2" t="str">
        <f aca="false">IF(ABS(AB115-AC115)&gt;1,"Mismatch","OK")</f>
        <v>OK</v>
      </c>
      <c r="AE115" s="4" t="n">
        <f aca="false">IF(Y115=0,0,AC115/Y115)</f>
        <v>0.330817610062893</v>
      </c>
      <c r="AF115" s="2" t="s">
        <v>52</v>
      </c>
      <c r="AG115" s="2" t="s">
        <v>53</v>
      </c>
      <c r="AH115" s="2" t="str">
        <f aca="false">IF(AND(AG115="Completed",AF115&lt;&gt;"Paid"),"Inconsistent","OK")</f>
        <v>OK</v>
      </c>
      <c r="AI115" s="2" t="n">
        <f aca="false">IF(OR(ISBLANK(B115),ISBLANK(C115)),"",C115-B115)</f>
        <v>0</v>
      </c>
      <c r="AJ115" s="2" t="str">
        <f aca="false">IF(AI115="","Unknown",IF(AI115&lt;0,"Invalid","OK"))</f>
        <v>OK</v>
      </c>
      <c r="AK115" s="2" t="str">
        <f aca="false">IF(ISBLANK(B115),"",TEXT(B115,"mmm"))</f>
        <v>Feb</v>
      </c>
      <c r="AL115" s="2" t="n">
        <f aca="false">IF(ISBLANK(B115),"",YEAR(B115))</f>
        <v>2024</v>
      </c>
      <c r="AM115" s="2" t="s">
        <v>41</v>
      </c>
      <c r="AN115" s="2" t="str">
        <f aca="false">IF(OR(W115="Invalid",AJ115="Invalid",AH115="Inconsistent",Z115="Mismatch",AD115="Mismatch",AM115="Yes",D115="Yes",E115="Yes"),"Invalid",IF(OR(J115="Yes",Q115="Yes",U115="Yes"),"Warning","Clean"))</f>
        <v>Clean</v>
      </c>
    </row>
    <row r="116" customFormat="false" ht="15" hidden="false" customHeight="false" outlineLevel="0" collapsed="false">
      <c r="A116" s="2" t="s">
        <v>473</v>
      </c>
      <c r="B116" s="3" t="n">
        <v>45560</v>
      </c>
      <c r="C116" s="3" t="n">
        <v>45565</v>
      </c>
      <c r="D116" s="2" t="s">
        <v>41</v>
      </c>
      <c r="E116" s="2" t="s">
        <v>41</v>
      </c>
      <c r="F116" s="2" t="s">
        <v>474</v>
      </c>
      <c r="G116" s="2" t="s">
        <v>99</v>
      </c>
      <c r="H116" s="2" t="s">
        <v>57</v>
      </c>
      <c r="I116" s="2" t="s">
        <v>45</v>
      </c>
      <c r="J116" s="2" t="s">
        <v>41</v>
      </c>
      <c r="K116" s="2" t="s">
        <v>46</v>
      </c>
      <c r="L116" s="2" t="s">
        <v>47</v>
      </c>
      <c r="M116" s="2" t="s">
        <v>94</v>
      </c>
      <c r="N116" s="2" t="s">
        <v>95</v>
      </c>
      <c r="O116" s="2" t="s">
        <v>475</v>
      </c>
      <c r="P116" s="2" t="s">
        <v>51</v>
      </c>
      <c r="Q116" s="2" t="s">
        <v>41</v>
      </c>
      <c r="R116" s="2" t="n">
        <v>1</v>
      </c>
      <c r="S116" s="2" t="n">
        <v>4388.4</v>
      </c>
      <c r="T116" s="2" t="n">
        <v>0.1</v>
      </c>
      <c r="U116" s="2" t="str">
        <f aca="false">IF(ISBLANK(T116),"Yes","No")</f>
        <v>No</v>
      </c>
      <c r="V116" s="2" t="n">
        <f aca="false">IF(ISBLANK(T116),0,IF(ISNUMBER(T116),T116,VALUE(LEFT(T116,LEN(T116)-1))/100))</f>
        <v>0.1</v>
      </c>
      <c r="W116" s="2" t="str">
        <f aca="false">IF(AND(V116&gt;=0,V116&lt;=0.25),"Valid","Invalid")</f>
        <v>Valid</v>
      </c>
      <c r="X116" s="2" t="n">
        <v>3949.56</v>
      </c>
      <c r="Y116" s="2" t="n">
        <f aca="false">R116*S116*(1-V116)</f>
        <v>3949.56</v>
      </c>
      <c r="Z116" s="2" t="str">
        <f aca="false">IF(ABS(X116-Y116)&gt;1,"Mismatch","OK")</f>
        <v>OK</v>
      </c>
      <c r="AA116" s="2" t="n">
        <v>3186.73</v>
      </c>
      <c r="AB116" s="2" t="n">
        <v>762.83</v>
      </c>
      <c r="AC116" s="2" t="n">
        <f aca="false">Y116-AA116</f>
        <v>762.83</v>
      </c>
      <c r="AD116" s="2" t="str">
        <f aca="false">IF(ABS(AB116-AC116)&gt;1,"Mismatch","OK")</f>
        <v>OK</v>
      </c>
      <c r="AE116" s="4" t="n">
        <f aca="false">IF(Y116=0,0,AC116/Y116)</f>
        <v>0.193143033654382</v>
      </c>
      <c r="AF116" s="2" t="s">
        <v>131</v>
      </c>
      <c r="AG116" s="2" t="s">
        <v>88</v>
      </c>
      <c r="AH116" s="2" t="str">
        <f aca="false">IF(AND(AG116="Completed",AF116&lt;&gt;"Paid"),"Inconsistent","OK")</f>
        <v>OK</v>
      </c>
      <c r="AI116" s="2" t="n">
        <f aca="false">IF(OR(ISBLANK(B116),ISBLANK(C116)),"",C116-B116)</f>
        <v>5</v>
      </c>
      <c r="AJ116" s="2" t="str">
        <f aca="false">IF(AI116="","Unknown",IF(AI116&lt;0,"Invalid","OK"))</f>
        <v>OK</v>
      </c>
      <c r="AK116" s="2" t="str">
        <f aca="false">IF(ISBLANK(B116),"",TEXT(B116,"mmm"))</f>
        <v>Sep</v>
      </c>
      <c r="AL116" s="2" t="n">
        <f aca="false">IF(ISBLANK(B116),"",YEAR(B116))</f>
        <v>2024</v>
      </c>
      <c r="AM116" s="2" t="s">
        <v>41</v>
      </c>
      <c r="AN116" s="2" t="str">
        <f aca="false">IF(OR(W116="Invalid",AJ116="Invalid",AH116="Inconsistent",Z116="Mismatch",AD116="Mismatch",AM116="Yes",D116="Yes",E116="Yes"),"Invalid",IF(OR(J116="Yes",Q116="Yes",U116="Yes"),"Warning","Clean"))</f>
        <v>Clean</v>
      </c>
    </row>
    <row r="117" customFormat="false" ht="15" hidden="false" customHeight="false" outlineLevel="0" collapsed="false">
      <c r="A117" s="2" t="s">
        <v>476</v>
      </c>
      <c r="B117" s="3" t="n">
        <v>45653</v>
      </c>
      <c r="C117" s="3" t="n">
        <v>45658</v>
      </c>
      <c r="D117" s="2" t="s">
        <v>41</v>
      </c>
      <c r="E117" s="2" t="s">
        <v>41</v>
      </c>
      <c r="F117" s="2" t="s">
        <v>477</v>
      </c>
      <c r="G117" s="2" t="s">
        <v>286</v>
      </c>
      <c r="H117" s="2" t="s">
        <v>110</v>
      </c>
      <c r="I117" s="2" t="s">
        <v>74</v>
      </c>
      <c r="J117" s="2" t="s">
        <v>41</v>
      </c>
      <c r="K117" s="2" t="s">
        <v>269</v>
      </c>
      <c r="L117" s="2" t="s">
        <v>270</v>
      </c>
      <c r="M117" s="2" t="s">
        <v>48</v>
      </c>
      <c r="N117" s="2" t="s">
        <v>173</v>
      </c>
      <c r="O117" s="2" t="s">
        <v>478</v>
      </c>
      <c r="P117" s="2" t="s">
        <v>64</v>
      </c>
      <c r="Q117" s="2" t="s">
        <v>41</v>
      </c>
      <c r="R117" s="2" t="n">
        <v>2</v>
      </c>
      <c r="S117" s="2" t="n">
        <v>446.34</v>
      </c>
      <c r="T117" s="2" t="n">
        <v>0.15</v>
      </c>
      <c r="U117" s="2" t="str">
        <f aca="false">IF(ISBLANK(T117),"Yes","No")</f>
        <v>No</v>
      </c>
      <c r="V117" s="2" t="n">
        <f aca="false">IF(ISBLANK(T117),0,IF(ISNUMBER(T117),T117,VALUE(LEFT(T117,LEN(T117)-1))/100))</f>
        <v>0.15</v>
      </c>
      <c r="W117" s="2" t="str">
        <f aca="false">IF(AND(V117&gt;=0,V117&lt;=0.25),"Valid","Invalid")</f>
        <v>Valid</v>
      </c>
      <c r="X117" s="2" t="n">
        <v>758.78</v>
      </c>
      <c r="Y117" s="2" t="n">
        <f aca="false">R117*S117*(1-V117)</f>
        <v>758.778</v>
      </c>
      <c r="Z117" s="2" t="str">
        <f aca="false">IF(ABS(X117-Y117)&gt;1,"Mismatch","OK")</f>
        <v>OK</v>
      </c>
      <c r="AA117" s="2" t="n">
        <v>490.74</v>
      </c>
      <c r="AB117" s="2" t="n">
        <v>268.04</v>
      </c>
      <c r="AC117" s="2" t="n">
        <f aca="false">Y117-AA117</f>
        <v>268.038</v>
      </c>
      <c r="AD117" s="2" t="str">
        <f aca="false">IF(ABS(AB117-AC117)&gt;1,"Mismatch","OK")</f>
        <v>OK</v>
      </c>
      <c r="AE117" s="4" t="n">
        <f aca="false">IF(Y117=0,0,AC117/Y117)</f>
        <v>0.353249567067047</v>
      </c>
      <c r="AF117" s="2" t="s">
        <v>52</v>
      </c>
      <c r="AG117" s="2" t="s">
        <v>88</v>
      </c>
      <c r="AH117" s="2" t="str">
        <f aca="false">IF(AND(AG117="Completed",AF117&lt;&gt;"Paid"),"Inconsistent","OK")</f>
        <v>OK</v>
      </c>
      <c r="AI117" s="2" t="n">
        <f aca="false">IF(OR(ISBLANK(B117),ISBLANK(C117)),"",C117-B117)</f>
        <v>5</v>
      </c>
      <c r="AJ117" s="2" t="str">
        <f aca="false">IF(AI117="","Unknown",IF(AI117&lt;0,"Invalid","OK"))</f>
        <v>OK</v>
      </c>
      <c r="AK117" s="2" t="str">
        <f aca="false">IF(ISBLANK(B117),"",TEXT(B117,"mmm"))</f>
        <v>Dec</v>
      </c>
      <c r="AL117" s="2" t="n">
        <f aca="false">IF(ISBLANK(B117),"",YEAR(B117))</f>
        <v>2024</v>
      </c>
      <c r="AM117" s="2" t="s">
        <v>41</v>
      </c>
      <c r="AN117" s="2" t="str">
        <f aca="false">IF(OR(W117="Invalid",AJ117="Invalid",AH117="Inconsistent",Z117="Mismatch",AD117="Mismatch",AM117="Yes",D117="Yes",E117="Yes"),"Invalid",IF(OR(J117="Yes",Q117="Yes",U117="Yes"),"Warning","Clean"))</f>
        <v>Clean</v>
      </c>
    </row>
    <row r="118" customFormat="false" ht="15" hidden="false" customHeight="false" outlineLevel="0" collapsed="false">
      <c r="A118" s="2" t="s">
        <v>479</v>
      </c>
      <c r="B118" s="3" t="n">
        <v>45703</v>
      </c>
      <c r="C118" s="3" t="n">
        <v>45707</v>
      </c>
      <c r="D118" s="2" t="s">
        <v>41</v>
      </c>
      <c r="E118" s="2" t="s">
        <v>41</v>
      </c>
      <c r="F118" s="2" t="s">
        <v>480</v>
      </c>
      <c r="G118" s="2" t="s">
        <v>82</v>
      </c>
      <c r="H118" s="2" t="s">
        <v>57</v>
      </c>
      <c r="I118" s="2" t="s">
        <v>225</v>
      </c>
      <c r="J118" s="2" t="s">
        <v>226</v>
      </c>
      <c r="K118" s="2" t="s">
        <v>92</v>
      </c>
      <c r="L118" s="2" t="s">
        <v>93</v>
      </c>
      <c r="M118" s="2" t="s">
        <v>48</v>
      </c>
      <c r="N118" s="2" t="s">
        <v>173</v>
      </c>
      <c r="O118" s="2" t="s">
        <v>481</v>
      </c>
      <c r="P118" s="2" t="s">
        <v>70</v>
      </c>
      <c r="Q118" s="2" t="s">
        <v>41</v>
      </c>
      <c r="R118" s="2" t="n">
        <v>9</v>
      </c>
      <c r="S118" s="2" t="n">
        <v>531.99</v>
      </c>
      <c r="T118" s="2" t="n">
        <v>0.25</v>
      </c>
      <c r="U118" s="2" t="str">
        <f aca="false">IF(ISBLANK(T118),"Yes","No")</f>
        <v>No</v>
      </c>
      <c r="V118" s="2" t="n">
        <f aca="false">IF(ISBLANK(T118),0,IF(ISNUMBER(T118),T118,VALUE(LEFT(T118,LEN(T118)-1))/100))</f>
        <v>0.25</v>
      </c>
      <c r="W118" s="2" t="str">
        <f aca="false">IF(AND(V118&gt;=0,V118&lt;=0.25),"Valid","Invalid")</f>
        <v>Valid</v>
      </c>
      <c r="X118" s="2" t="n">
        <v>3590.93</v>
      </c>
      <c r="Y118" s="2" t="n">
        <f aca="false">R118*S118*(1-V118)</f>
        <v>3590.9325</v>
      </c>
      <c r="Z118" s="2" t="str">
        <f aca="false">IF(ABS(X118-Y118)&gt;1,"Mismatch","OK")</f>
        <v>OK</v>
      </c>
      <c r="AA118" s="2" t="n">
        <v>3061.39</v>
      </c>
      <c r="AB118" s="2" t="n">
        <v>529.54</v>
      </c>
      <c r="AC118" s="2" t="n">
        <f aca="false">Y118-AA118</f>
        <v>529.5425</v>
      </c>
      <c r="AD118" s="2" t="str">
        <f aca="false">IF(ABS(AB118-AC118)&gt;1,"Mismatch","OK")</f>
        <v>OK</v>
      </c>
      <c r="AE118" s="4" t="n">
        <f aca="false">IF(Y118=0,0,AC118/Y118)</f>
        <v>0.147466570312864</v>
      </c>
      <c r="AF118" s="2" t="s">
        <v>175</v>
      </c>
      <c r="AG118" s="2" t="s">
        <v>88</v>
      </c>
      <c r="AH118" s="2" t="str">
        <f aca="false">IF(AND(AG118="Completed",AF118&lt;&gt;"Paid"),"Inconsistent","OK")</f>
        <v>OK</v>
      </c>
      <c r="AI118" s="2" t="n">
        <f aca="false">IF(OR(ISBLANK(B118),ISBLANK(C118)),"",C118-B118)</f>
        <v>4</v>
      </c>
      <c r="AJ118" s="2" t="str">
        <f aca="false">IF(AI118="","Unknown",IF(AI118&lt;0,"Invalid","OK"))</f>
        <v>OK</v>
      </c>
      <c r="AK118" s="2" t="str">
        <f aca="false">IF(ISBLANK(B118),"",TEXT(B118,"mmm"))</f>
        <v>Feb</v>
      </c>
      <c r="AL118" s="2" t="n">
        <f aca="false">IF(ISBLANK(B118),"",YEAR(B118))</f>
        <v>2025</v>
      </c>
      <c r="AM118" s="2" t="s">
        <v>41</v>
      </c>
      <c r="AN118" s="2" t="str">
        <f aca="false">IF(OR(W118="Invalid",AJ118="Invalid",AH118="Inconsistent",Z118="Mismatch",AD118="Mismatch",AM118="Yes",D118="Yes",E118="Yes"),"Invalid",IF(OR(J118="Yes",Q118="Yes",U118="Yes"),"Warning","Clean"))</f>
        <v>Warning</v>
      </c>
    </row>
    <row r="119" customFormat="false" ht="15" hidden="false" customHeight="false" outlineLevel="0" collapsed="false">
      <c r="A119" s="2" t="s">
        <v>482</v>
      </c>
      <c r="B119" s="3" t="n">
        <v>45337</v>
      </c>
      <c r="C119" s="3" t="n">
        <v>45339</v>
      </c>
      <c r="D119" s="2" t="s">
        <v>41</v>
      </c>
      <c r="E119" s="2" t="s">
        <v>41</v>
      </c>
      <c r="F119" s="2" t="s">
        <v>483</v>
      </c>
      <c r="G119" s="2" t="s">
        <v>56</v>
      </c>
      <c r="H119" s="2" t="s">
        <v>115</v>
      </c>
      <c r="I119" s="2" t="s">
        <v>74</v>
      </c>
      <c r="J119" s="2" t="s">
        <v>41</v>
      </c>
      <c r="K119" s="2" t="s">
        <v>269</v>
      </c>
      <c r="L119" s="2" t="s">
        <v>270</v>
      </c>
      <c r="M119" s="2" t="s">
        <v>94</v>
      </c>
      <c r="N119" s="2" t="s">
        <v>296</v>
      </c>
      <c r="O119" s="2" t="s">
        <v>484</v>
      </c>
      <c r="P119" s="2" t="s">
        <v>79</v>
      </c>
      <c r="Q119" s="2" t="s">
        <v>41</v>
      </c>
      <c r="R119" s="2" t="n">
        <v>9</v>
      </c>
      <c r="S119" s="2" t="n">
        <v>3324.55</v>
      </c>
      <c r="T119" s="2" t="s">
        <v>485</v>
      </c>
      <c r="U119" s="2" t="str">
        <f aca="false">IF(ISBLANK(T119),"Yes","No")</f>
        <v>No</v>
      </c>
      <c r="V119" s="2" t="n">
        <f aca="false">IF(ISBLANK(T119),0,IF(ISNUMBER(T119),T119,VALUE(LEFT(T119,LEN(T119)-1))/100))</f>
        <v>0.7</v>
      </c>
      <c r="W119" s="2" t="str">
        <f aca="false">IF(AND(V119&gt;=0,V119&lt;=0.25),"Valid","Invalid")</f>
        <v>Invalid</v>
      </c>
      <c r="X119" s="2" t="n">
        <v>25432.81</v>
      </c>
      <c r="Y119" s="2" t="n">
        <f aca="false">R119*S119*(1-V119)</f>
        <v>8976.285</v>
      </c>
      <c r="Z119" s="2" t="str">
        <f aca="false">IF(ABS(X119-Y119)&gt;1,"Mismatch","OK")</f>
        <v>Mismatch</v>
      </c>
      <c r="AA119" s="2" t="n">
        <v>20370.16</v>
      </c>
      <c r="AB119" s="2" t="n">
        <v>5062.65</v>
      </c>
      <c r="AC119" s="2" t="n">
        <f aca="false">Y119-AA119</f>
        <v>-11393.875</v>
      </c>
      <c r="AD119" s="2" t="str">
        <f aca="false">IF(ABS(AB119-AC119)&gt;1,"Mismatch","OK")</f>
        <v>Mismatch</v>
      </c>
      <c r="AE119" s="4" t="n">
        <f aca="false">IF(Y119=0,0,AC119/Y119)</f>
        <v>-1.26933079776322</v>
      </c>
      <c r="AF119" s="2" t="s">
        <v>52</v>
      </c>
      <c r="AG119" s="2" t="s">
        <v>53</v>
      </c>
      <c r="AH119" s="2" t="str">
        <f aca="false">IF(AND(AG119="Completed",AF119&lt;&gt;"Paid"),"Inconsistent","OK")</f>
        <v>OK</v>
      </c>
      <c r="AI119" s="2" t="n">
        <f aca="false">IF(OR(ISBLANK(B119),ISBLANK(C119)),"",C119-B119)</f>
        <v>2</v>
      </c>
      <c r="AJ119" s="2" t="str">
        <f aca="false">IF(AI119="","Unknown",IF(AI119&lt;0,"Invalid","OK"))</f>
        <v>OK</v>
      </c>
      <c r="AK119" s="2" t="str">
        <f aca="false">IF(ISBLANK(B119),"",TEXT(B119,"mmm"))</f>
        <v>Feb</v>
      </c>
      <c r="AL119" s="2" t="n">
        <f aca="false">IF(ISBLANK(B119),"",YEAR(B119))</f>
        <v>2024</v>
      </c>
      <c r="AM119" s="2" t="s">
        <v>41</v>
      </c>
      <c r="AN119" s="2" t="str">
        <f aca="false">IF(OR(W119="Invalid",AJ119="Invalid",AH119="Inconsistent",Z119="Mismatch",AD119="Mismatch",AM119="Yes",D119="Yes",E119="Yes"),"Invalid",IF(OR(J119="Yes",Q119="Yes",U119="Yes"),"Warning","Clean"))</f>
        <v>Invalid</v>
      </c>
    </row>
    <row r="120" customFormat="false" ht="15" hidden="false" customHeight="false" outlineLevel="0" collapsed="false">
      <c r="A120" s="2" t="s">
        <v>486</v>
      </c>
      <c r="B120" s="3" t="n">
        <v>45453</v>
      </c>
      <c r="C120" s="3" t="n">
        <v>45461</v>
      </c>
      <c r="D120" s="2" t="s">
        <v>41</v>
      </c>
      <c r="E120" s="2" t="s">
        <v>41</v>
      </c>
      <c r="F120" s="2" t="s">
        <v>487</v>
      </c>
      <c r="G120" s="2" t="s">
        <v>91</v>
      </c>
      <c r="H120" s="2" t="s">
        <v>115</v>
      </c>
      <c r="I120" s="2" t="s">
        <v>74</v>
      </c>
      <c r="J120" s="2" t="s">
        <v>41</v>
      </c>
      <c r="K120" s="2" t="s">
        <v>104</v>
      </c>
      <c r="L120" s="2" t="s">
        <v>105</v>
      </c>
      <c r="M120" s="2" t="s">
        <v>94</v>
      </c>
      <c r="N120" s="2" t="s">
        <v>100</v>
      </c>
      <c r="O120" s="2" t="s">
        <v>488</v>
      </c>
      <c r="P120" s="2" t="s">
        <v>64</v>
      </c>
      <c r="Q120" s="2" t="s">
        <v>41</v>
      </c>
      <c r="R120" s="2" t="n">
        <v>5</v>
      </c>
      <c r="S120" s="2" t="n">
        <v>1580.27</v>
      </c>
      <c r="T120" s="2" t="n">
        <v>0.2</v>
      </c>
      <c r="U120" s="2" t="str">
        <f aca="false">IF(ISBLANK(T120),"Yes","No")</f>
        <v>No</v>
      </c>
      <c r="V120" s="2" t="n">
        <f aca="false">IF(ISBLANK(T120),0,IF(ISNUMBER(T120),T120,VALUE(LEFT(T120,LEN(T120)-1))/100))</f>
        <v>0.2</v>
      </c>
      <c r="W120" s="2" t="str">
        <f aca="false">IF(AND(V120&gt;=0,V120&lt;=0.25),"Valid","Invalid")</f>
        <v>Valid</v>
      </c>
      <c r="X120" s="2" t="n">
        <v>6321.08</v>
      </c>
      <c r="Y120" s="2" t="n">
        <f aca="false">R120*S120*(1-V120)</f>
        <v>6321.08</v>
      </c>
      <c r="Z120" s="2" t="str">
        <f aca="false">IF(ABS(X120-Y120)&gt;1,"Mismatch","OK")</f>
        <v>OK</v>
      </c>
      <c r="AA120" s="2" t="n">
        <v>4407.22</v>
      </c>
      <c r="AB120" s="2" t="n">
        <v>1913.86</v>
      </c>
      <c r="AC120" s="2" t="n">
        <f aca="false">Y120-AA120</f>
        <v>1913.86</v>
      </c>
      <c r="AD120" s="2" t="str">
        <f aca="false">IF(ABS(AB120-AC120)&gt;1,"Mismatch","OK")</f>
        <v>OK</v>
      </c>
      <c r="AE120" s="4" t="n">
        <f aca="false">IF(Y120=0,0,AC120/Y120)</f>
        <v>0.302774209470534</v>
      </c>
      <c r="AF120" s="2" t="s">
        <v>52</v>
      </c>
      <c r="AG120" s="2" t="s">
        <v>53</v>
      </c>
      <c r="AH120" s="2" t="str">
        <f aca="false">IF(AND(AG120="Completed",AF120&lt;&gt;"Paid"),"Inconsistent","OK")</f>
        <v>OK</v>
      </c>
      <c r="AI120" s="2" t="n">
        <f aca="false">IF(OR(ISBLANK(B120),ISBLANK(C120)),"",C120-B120)</f>
        <v>8</v>
      </c>
      <c r="AJ120" s="2" t="str">
        <f aca="false">IF(AI120="","Unknown",IF(AI120&lt;0,"Invalid","OK"))</f>
        <v>OK</v>
      </c>
      <c r="AK120" s="2" t="str">
        <f aca="false">IF(ISBLANK(B120),"",TEXT(B120,"mmm"))</f>
        <v>Jun</v>
      </c>
      <c r="AL120" s="2" t="n">
        <f aca="false">IF(ISBLANK(B120),"",YEAR(B120))</f>
        <v>2024</v>
      </c>
      <c r="AM120" s="2" t="s">
        <v>41</v>
      </c>
      <c r="AN120" s="2" t="str">
        <f aca="false">IF(OR(W120="Invalid",AJ120="Invalid",AH120="Inconsistent",Z120="Mismatch",AD120="Mismatch",AM120="Yes",D120="Yes",E120="Yes"),"Invalid",IF(OR(J120="Yes",Q120="Yes",U120="Yes"),"Warning","Clean"))</f>
        <v>Clean</v>
      </c>
    </row>
    <row r="121" customFormat="false" ht="15" hidden="false" customHeight="false" outlineLevel="0" collapsed="false">
      <c r="A121" s="2" t="s">
        <v>489</v>
      </c>
      <c r="B121" s="3" t="n">
        <v>45455</v>
      </c>
      <c r="C121" s="3" t="n">
        <v>45462</v>
      </c>
      <c r="D121" s="2" t="s">
        <v>41</v>
      </c>
      <c r="E121" s="2" t="s">
        <v>41</v>
      </c>
      <c r="F121" s="2" t="s">
        <v>490</v>
      </c>
      <c r="G121" s="2" t="s">
        <v>109</v>
      </c>
      <c r="H121" s="2" t="s">
        <v>57</v>
      </c>
      <c r="I121" s="2" t="s">
        <v>74</v>
      </c>
      <c r="J121" s="2" t="s">
        <v>41</v>
      </c>
      <c r="K121" s="2" t="s">
        <v>205</v>
      </c>
      <c r="L121" s="2" t="s">
        <v>206</v>
      </c>
      <c r="M121" s="2" t="s">
        <v>61</v>
      </c>
      <c r="N121" s="2" t="s">
        <v>86</v>
      </c>
      <c r="O121" s="2" t="s">
        <v>491</v>
      </c>
      <c r="P121" s="2" t="s">
        <v>79</v>
      </c>
      <c r="Q121" s="2" t="s">
        <v>41</v>
      </c>
      <c r="R121" s="2" t="n">
        <v>8</v>
      </c>
      <c r="S121" s="2" t="n">
        <v>314.05</v>
      </c>
      <c r="T121" s="2" t="n">
        <v>0.25</v>
      </c>
      <c r="U121" s="2" t="str">
        <f aca="false">IF(ISBLANK(T121),"Yes","No")</f>
        <v>No</v>
      </c>
      <c r="V121" s="2" t="n">
        <f aca="false">IF(ISBLANK(T121),0,IF(ISNUMBER(T121),T121,VALUE(LEFT(T121,LEN(T121)-1))/100))</f>
        <v>0.25</v>
      </c>
      <c r="W121" s="2" t="str">
        <f aca="false">IF(AND(V121&gt;=0,V121&lt;=0.25),"Valid","Invalid")</f>
        <v>Valid</v>
      </c>
      <c r="X121" s="2" t="n">
        <v>1884.3</v>
      </c>
      <c r="Y121" s="2" t="n">
        <f aca="false">R121*S121*(1-V121)</f>
        <v>1884.3</v>
      </c>
      <c r="Z121" s="2" t="str">
        <f aca="false">IF(ABS(X121-Y121)&gt;1,"Mismatch","OK")</f>
        <v>OK</v>
      </c>
      <c r="AA121" s="2" t="n">
        <v>1517.69</v>
      </c>
      <c r="AB121" s="2" t="n">
        <v>366.61</v>
      </c>
      <c r="AC121" s="2" t="n">
        <f aca="false">Y121-AA121</f>
        <v>366.61</v>
      </c>
      <c r="AD121" s="2" t="str">
        <f aca="false">IF(ABS(AB121-AC121)&gt;1,"Mismatch","OK")</f>
        <v>OK</v>
      </c>
      <c r="AE121" s="4" t="n">
        <f aca="false">IF(Y121=0,0,AC121/Y121)</f>
        <v>0.194560314175025</v>
      </c>
      <c r="AF121" s="2" t="s">
        <v>122</v>
      </c>
      <c r="AG121" s="2" t="s">
        <v>123</v>
      </c>
      <c r="AH121" s="2" t="str">
        <f aca="false">IF(AND(AG121="Completed",AF121&lt;&gt;"Paid"),"Inconsistent","OK")</f>
        <v>OK</v>
      </c>
      <c r="AI121" s="2" t="n">
        <f aca="false">IF(OR(ISBLANK(B121),ISBLANK(C121)),"",C121-B121)</f>
        <v>7</v>
      </c>
      <c r="AJ121" s="2" t="str">
        <f aca="false">IF(AI121="","Unknown",IF(AI121&lt;0,"Invalid","OK"))</f>
        <v>OK</v>
      </c>
      <c r="AK121" s="2" t="str">
        <f aca="false">IF(ISBLANK(B121),"",TEXT(B121,"mmm"))</f>
        <v>Jun</v>
      </c>
      <c r="AL121" s="2" t="n">
        <f aca="false">IF(ISBLANK(B121),"",YEAR(B121))</f>
        <v>2024</v>
      </c>
      <c r="AM121" s="2" t="s">
        <v>41</v>
      </c>
      <c r="AN121" s="2" t="str">
        <f aca="false">IF(OR(W121="Invalid",AJ121="Invalid",AH121="Inconsistent",Z121="Mismatch",AD121="Mismatch",AM121="Yes",D121="Yes",E121="Yes"),"Invalid",IF(OR(J121="Yes",Q121="Yes",U121="Yes"),"Warning","Clean"))</f>
        <v>Clean</v>
      </c>
    </row>
    <row r="122" customFormat="false" ht="15" hidden="false" customHeight="false" outlineLevel="0" collapsed="false">
      <c r="A122" s="2" t="s">
        <v>492</v>
      </c>
      <c r="B122" s="3" t="n">
        <v>45514</v>
      </c>
      <c r="C122" s="3" t="n">
        <v>45522</v>
      </c>
      <c r="D122" s="2" t="s">
        <v>41</v>
      </c>
      <c r="E122" s="2" t="s">
        <v>41</v>
      </c>
      <c r="F122" s="2" t="s">
        <v>493</v>
      </c>
      <c r="G122" s="2" t="s">
        <v>152</v>
      </c>
      <c r="H122" s="2" t="s">
        <v>57</v>
      </c>
      <c r="I122" s="2" t="s">
        <v>58</v>
      </c>
      <c r="J122" s="2" t="s">
        <v>41</v>
      </c>
      <c r="K122" s="2" t="s">
        <v>165</v>
      </c>
      <c r="L122" s="2" t="s">
        <v>166</v>
      </c>
      <c r="M122" s="2" t="s">
        <v>94</v>
      </c>
      <c r="N122" s="2" t="s">
        <v>191</v>
      </c>
      <c r="O122" s="2" t="s">
        <v>494</v>
      </c>
      <c r="P122" s="2" t="s">
        <v>79</v>
      </c>
      <c r="Q122" s="2" t="s">
        <v>41</v>
      </c>
      <c r="R122" s="2" t="n">
        <v>1</v>
      </c>
      <c r="S122" s="2" t="n">
        <v>1823.67</v>
      </c>
      <c r="T122" s="2" t="n">
        <v>0.2</v>
      </c>
      <c r="U122" s="2" t="str">
        <f aca="false">IF(ISBLANK(T122),"Yes","No")</f>
        <v>No</v>
      </c>
      <c r="V122" s="2" t="n">
        <f aca="false">IF(ISBLANK(T122),0,IF(ISNUMBER(T122),T122,VALUE(LEFT(T122,LEN(T122)-1))/100))</f>
        <v>0.2</v>
      </c>
      <c r="W122" s="2" t="str">
        <f aca="false">IF(AND(V122&gt;=0,V122&lt;=0.25),"Valid","Invalid")</f>
        <v>Valid</v>
      </c>
      <c r="X122" s="2" t="n">
        <v>1458.94</v>
      </c>
      <c r="Y122" s="2" t="n">
        <f aca="false">R122*S122*(1-V122)</f>
        <v>1458.936</v>
      </c>
      <c r="Z122" s="2" t="str">
        <f aca="false">IF(ABS(X122-Y122)&gt;1,"Mismatch","OK")</f>
        <v>OK</v>
      </c>
      <c r="AA122" s="2" t="n">
        <v>893.2</v>
      </c>
      <c r="AB122" s="2" t="n">
        <v>565.74</v>
      </c>
      <c r="AC122" s="2" t="n">
        <f aca="false">Y122-AA122</f>
        <v>565.736</v>
      </c>
      <c r="AD122" s="2" t="str">
        <f aca="false">IF(ABS(AB122-AC122)&gt;1,"Mismatch","OK")</f>
        <v>OK</v>
      </c>
      <c r="AE122" s="4" t="n">
        <f aca="false">IF(Y122=0,0,AC122/Y122)</f>
        <v>0.387773007177834</v>
      </c>
      <c r="AF122" s="2" t="s">
        <v>52</v>
      </c>
      <c r="AG122" s="2" t="s">
        <v>123</v>
      </c>
      <c r="AH122" s="2" t="str">
        <f aca="false">IF(AND(AG122="Completed",AF122&lt;&gt;"Paid"),"Inconsistent","OK")</f>
        <v>OK</v>
      </c>
      <c r="AI122" s="2" t="n">
        <f aca="false">IF(OR(ISBLANK(B122),ISBLANK(C122)),"",C122-B122)</f>
        <v>8</v>
      </c>
      <c r="AJ122" s="2" t="str">
        <f aca="false">IF(AI122="","Unknown",IF(AI122&lt;0,"Invalid","OK"))</f>
        <v>OK</v>
      </c>
      <c r="AK122" s="2" t="str">
        <f aca="false">IF(ISBLANK(B122),"",TEXT(B122,"mmm"))</f>
        <v>Aug</v>
      </c>
      <c r="AL122" s="2" t="n">
        <f aca="false">IF(ISBLANK(B122),"",YEAR(B122))</f>
        <v>2024</v>
      </c>
      <c r="AM122" s="2" t="s">
        <v>41</v>
      </c>
      <c r="AN122" s="2" t="str">
        <f aca="false">IF(OR(W122="Invalid",AJ122="Invalid",AH122="Inconsistent",Z122="Mismatch",AD122="Mismatch",AM122="Yes",D122="Yes",E122="Yes"),"Invalid",IF(OR(J122="Yes",Q122="Yes",U122="Yes"),"Warning","Clean"))</f>
        <v>Clean</v>
      </c>
    </row>
    <row r="123" customFormat="false" ht="15" hidden="false" customHeight="false" outlineLevel="0" collapsed="false">
      <c r="A123" s="2" t="s">
        <v>495</v>
      </c>
      <c r="B123" s="3" t="n">
        <v>45891</v>
      </c>
      <c r="C123" s="3" t="n">
        <v>45895</v>
      </c>
      <c r="D123" s="2" t="s">
        <v>41</v>
      </c>
      <c r="E123" s="2" t="s">
        <v>41</v>
      </c>
      <c r="F123" s="2" t="s">
        <v>496</v>
      </c>
      <c r="G123" s="2" t="s">
        <v>286</v>
      </c>
      <c r="H123" s="2" t="s">
        <v>57</v>
      </c>
      <c r="I123" s="2" t="s">
        <v>74</v>
      </c>
      <c r="J123" s="2" t="s">
        <v>41</v>
      </c>
      <c r="K123" s="2" t="s">
        <v>104</v>
      </c>
      <c r="L123" s="2" t="s">
        <v>105</v>
      </c>
      <c r="M123" s="2" t="s">
        <v>94</v>
      </c>
      <c r="N123" s="2" t="s">
        <v>296</v>
      </c>
      <c r="O123" s="2" t="s">
        <v>497</v>
      </c>
      <c r="P123" s="2" t="s">
        <v>51</v>
      </c>
      <c r="Q123" s="2" t="s">
        <v>41</v>
      </c>
      <c r="R123" s="2" t="n">
        <v>5</v>
      </c>
      <c r="S123" s="2" t="n">
        <v>3482.92</v>
      </c>
      <c r="T123" s="2" t="n">
        <v>0</v>
      </c>
      <c r="U123" s="2" t="str">
        <f aca="false">IF(ISBLANK(T123),"Yes","No")</f>
        <v>No</v>
      </c>
      <c r="V123" s="2" t="n">
        <f aca="false">IF(ISBLANK(T123),0,IF(ISNUMBER(T123),T123,VALUE(LEFT(T123,LEN(T123)-1))/100))</f>
        <v>0</v>
      </c>
      <c r="W123" s="2" t="str">
        <f aca="false">IF(AND(V123&gt;=0,V123&lt;=0.25),"Valid","Invalid")</f>
        <v>Valid</v>
      </c>
      <c r="X123" s="2" t="n">
        <v>17414.6</v>
      </c>
      <c r="Y123" s="2" t="n">
        <f aca="false">R123*S123*(1-V123)</f>
        <v>17414.6</v>
      </c>
      <c r="Z123" s="2" t="str">
        <f aca="false">IF(ABS(X123-Y123)&gt;1,"Mismatch","OK")</f>
        <v>OK</v>
      </c>
      <c r="AA123" s="2" t="n">
        <v>11760.91</v>
      </c>
      <c r="AB123" s="2" t="n">
        <v>5653.69</v>
      </c>
      <c r="AC123" s="2" t="n">
        <f aca="false">Y123-AA123</f>
        <v>5653.69</v>
      </c>
      <c r="AD123" s="2" t="str">
        <f aca="false">IF(ABS(AB123-AC123)&gt;1,"Mismatch","OK")</f>
        <v>OK</v>
      </c>
      <c r="AE123" s="4" t="n">
        <f aca="false">IF(Y123=0,0,AC123/Y123)</f>
        <v>0.32465230323981</v>
      </c>
      <c r="AF123" s="2" t="s">
        <v>122</v>
      </c>
      <c r="AG123" s="2" t="s">
        <v>88</v>
      </c>
      <c r="AH123" s="2" t="str">
        <f aca="false">IF(AND(AG123="Completed",AF123&lt;&gt;"Paid"),"Inconsistent","OK")</f>
        <v>OK</v>
      </c>
      <c r="AI123" s="2" t="n">
        <f aca="false">IF(OR(ISBLANK(B123),ISBLANK(C123)),"",C123-B123)</f>
        <v>4</v>
      </c>
      <c r="AJ123" s="2" t="str">
        <f aca="false">IF(AI123="","Unknown",IF(AI123&lt;0,"Invalid","OK"))</f>
        <v>OK</v>
      </c>
      <c r="AK123" s="2" t="str">
        <f aca="false">IF(ISBLANK(B123),"",TEXT(B123,"mmm"))</f>
        <v>Aug</v>
      </c>
      <c r="AL123" s="2" t="n">
        <f aca="false">IF(ISBLANK(B123),"",YEAR(B123))</f>
        <v>2025</v>
      </c>
      <c r="AM123" s="2" t="s">
        <v>41</v>
      </c>
      <c r="AN123" s="2" t="str">
        <f aca="false">IF(OR(W123="Invalid",AJ123="Invalid",AH123="Inconsistent",Z123="Mismatch",AD123="Mismatch",AM123="Yes",D123="Yes",E123="Yes"),"Invalid",IF(OR(J123="Yes",Q123="Yes",U123="Yes"),"Warning","Clean"))</f>
        <v>Clean</v>
      </c>
    </row>
    <row r="124" customFormat="false" ht="15" hidden="false" customHeight="false" outlineLevel="0" collapsed="false">
      <c r="A124" s="2" t="s">
        <v>498</v>
      </c>
      <c r="B124" s="3" t="n">
        <v>45626</v>
      </c>
      <c r="C124" s="3" t="n">
        <v>45630</v>
      </c>
      <c r="D124" s="2" t="s">
        <v>41</v>
      </c>
      <c r="E124" s="2" t="s">
        <v>41</v>
      </c>
      <c r="F124" s="2" t="s">
        <v>499</v>
      </c>
      <c r="G124" s="2" t="s">
        <v>82</v>
      </c>
      <c r="H124" s="2" t="s">
        <v>57</v>
      </c>
      <c r="I124" s="2" t="s">
        <v>58</v>
      </c>
      <c r="J124" s="2" t="s">
        <v>41</v>
      </c>
      <c r="K124" s="2" t="s">
        <v>186</v>
      </c>
      <c r="L124" s="2" t="s">
        <v>187</v>
      </c>
      <c r="M124" s="2" t="s">
        <v>61</v>
      </c>
      <c r="N124" s="2" t="s">
        <v>86</v>
      </c>
      <c r="O124" s="2" t="s">
        <v>500</v>
      </c>
      <c r="P124" s="2" t="s">
        <v>51</v>
      </c>
      <c r="Q124" s="2" t="s">
        <v>41</v>
      </c>
      <c r="R124" s="2" t="n">
        <v>3</v>
      </c>
      <c r="S124" s="2" t="n">
        <v>170.35</v>
      </c>
      <c r="T124" s="2" t="n">
        <v>0</v>
      </c>
      <c r="U124" s="2" t="str">
        <f aca="false">IF(ISBLANK(T124),"Yes","No")</f>
        <v>No</v>
      </c>
      <c r="V124" s="2" t="n">
        <f aca="false">IF(ISBLANK(T124),0,IF(ISNUMBER(T124),T124,VALUE(LEFT(T124,LEN(T124)-1))/100))</f>
        <v>0</v>
      </c>
      <c r="W124" s="2" t="str">
        <f aca="false">IF(AND(V124&gt;=0,V124&lt;=0.25),"Valid","Invalid")</f>
        <v>Valid</v>
      </c>
      <c r="X124" s="2" t="n">
        <v>511.05</v>
      </c>
      <c r="Y124" s="2" t="n">
        <f aca="false">R124*S124*(1-V124)</f>
        <v>511.05</v>
      </c>
      <c r="Z124" s="2" t="str">
        <f aca="false">IF(ABS(X124-Y124)&gt;1,"Mismatch","OK")</f>
        <v>OK</v>
      </c>
      <c r="AA124" s="2" t="n">
        <v>367.18</v>
      </c>
      <c r="AB124" s="2" t="n">
        <v>143.87</v>
      </c>
      <c r="AC124" s="2" t="n">
        <f aca="false">Y124-AA124</f>
        <v>143.87</v>
      </c>
      <c r="AD124" s="2" t="str">
        <f aca="false">IF(ABS(AB124-AC124)&gt;1,"Mismatch","OK")</f>
        <v>OK</v>
      </c>
      <c r="AE124" s="4" t="n">
        <f aca="false">IF(Y124=0,0,AC124/Y124)</f>
        <v>0.281518442422464</v>
      </c>
      <c r="AF124" s="2" t="s">
        <v>52</v>
      </c>
      <c r="AG124" s="2" t="s">
        <v>53</v>
      </c>
      <c r="AH124" s="2" t="str">
        <f aca="false">IF(AND(AG124="Completed",AF124&lt;&gt;"Paid"),"Inconsistent","OK")</f>
        <v>OK</v>
      </c>
      <c r="AI124" s="2" t="n">
        <f aca="false">IF(OR(ISBLANK(B124),ISBLANK(C124)),"",C124-B124)</f>
        <v>4</v>
      </c>
      <c r="AJ124" s="2" t="str">
        <f aca="false">IF(AI124="","Unknown",IF(AI124&lt;0,"Invalid","OK"))</f>
        <v>OK</v>
      </c>
      <c r="AK124" s="2" t="str">
        <f aca="false">IF(ISBLANK(B124),"",TEXT(B124,"mmm"))</f>
        <v>Nov</v>
      </c>
      <c r="AL124" s="2" t="n">
        <f aca="false">IF(ISBLANK(B124),"",YEAR(B124))</f>
        <v>2024</v>
      </c>
      <c r="AM124" s="2" t="s">
        <v>41</v>
      </c>
      <c r="AN124" s="2" t="str">
        <f aca="false">IF(OR(W124="Invalid",AJ124="Invalid",AH124="Inconsistent",Z124="Mismatch",AD124="Mismatch",AM124="Yes",D124="Yes",E124="Yes"),"Invalid",IF(OR(J124="Yes",Q124="Yes",U124="Yes"),"Warning","Clean"))</f>
        <v>Clean</v>
      </c>
    </row>
    <row r="125" customFormat="false" ht="15" hidden="false" customHeight="false" outlineLevel="0" collapsed="false">
      <c r="A125" s="2" t="s">
        <v>501</v>
      </c>
      <c r="B125" s="3" t="n">
        <v>45436</v>
      </c>
      <c r="C125" s="3" t="n">
        <v>45437</v>
      </c>
      <c r="D125" s="2" t="s">
        <v>41</v>
      </c>
      <c r="E125" s="2" t="s">
        <v>41</v>
      </c>
      <c r="F125" s="2" t="s">
        <v>502</v>
      </c>
      <c r="G125" s="2" t="s">
        <v>152</v>
      </c>
      <c r="H125" s="2" t="s">
        <v>57</v>
      </c>
      <c r="I125" s="2" t="s">
        <v>45</v>
      </c>
      <c r="J125" s="2" t="s">
        <v>41</v>
      </c>
      <c r="K125" s="2" t="s">
        <v>142</v>
      </c>
      <c r="L125" s="2" t="s">
        <v>143</v>
      </c>
      <c r="M125" s="2" t="s">
        <v>94</v>
      </c>
      <c r="N125" s="2" t="s">
        <v>100</v>
      </c>
      <c r="O125" s="2" t="s">
        <v>503</v>
      </c>
      <c r="P125" s="2" t="s">
        <v>64</v>
      </c>
      <c r="Q125" s="2" t="s">
        <v>41</v>
      </c>
      <c r="R125" s="2" t="n">
        <v>1</v>
      </c>
      <c r="S125" s="2" t="n">
        <v>634.13</v>
      </c>
      <c r="T125" s="2" t="n">
        <v>0</v>
      </c>
      <c r="U125" s="2" t="str">
        <f aca="false">IF(ISBLANK(T125),"Yes","No")</f>
        <v>No</v>
      </c>
      <c r="V125" s="2" t="n">
        <f aca="false">IF(ISBLANK(T125),0,IF(ISNUMBER(T125),T125,VALUE(LEFT(T125,LEN(T125)-1))/100))</f>
        <v>0</v>
      </c>
      <c r="W125" s="2" t="str">
        <f aca="false">IF(AND(V125&gt;=0,V125&lt;=0.25),"Valid","Invalid")</f>
        <v>Valid</v>
      </c>
      <c r="X125" s="2" t="n">
        <v>634.13</v>
      </c>
      <c r="Y125" s="2" t="n">
        <f aca="false">R125*S125*(1-V125)</f>
        <v>634.13</v>
      </c>
      <c r="Z125" s="2" t="str">
        <f aca="false">IF(ABS(X125-Y125)&gt;1,"Mismatch","OK")</f>
        <v>OK</v>
      </c>
      <c r="AA125" s="2" t="n">
        <v>453.35</v>
      </c>
      <c r="AB125" s="2" t="n">
        <v>180.78</v>
      </c>
      <c r="AC125" s="2" t="n">
        <f aca="false">Y125-AA125</f>
        <v>180.78</v>
      </c>
      <c r="AD125" s="2" t="str">
        <f aca="false">IF(ABS(AB125-AC125)&gt;1,"Mismatch","OK")</f>
        <v>OK</v>
      </c>
      <c r="AE125" s="4" t="n">
        <f aca="false">IF(Y125=0,0,AC125/Y125)</f>
        <v>0.28508350022866</v>
      </c>
      <c r="AF125" s="2" t="s">
        <v>122</v>
      </c>
      <c r="AG125" s="2" t="s">
        <v>88</v>
      </c>
      <c r="AH125" s="2" t="str">
        <f aca="false">IF(AND(AG125="Completed",AF125&lt;&gt;"Paid"),"Inconsistent","OK")</f>
        <v>OK</v>
      </c>
      <c r="AI125" s="2" t="n">
        <f aca="false">IF(OR(ISBLANK(B125),ISBLANK(C125)),"",C125-B125)</f>
        <v>1</v>
      </c>
      <c r="AJ125" s="2" t="str">
        <f aca="false">IF(AI125="","Unknown",IF(AI125&lt;0,"Invalid","OK"))</f>
        <v>OK</v>
      </c>
      <c r="AK125" s="2" t="str">
        <f aca="false">IF(ISBLANK(B125),"",TEXT(B125,"mmm"))</f>
        <v>May</v>
      </c>
      <c r="AL125" s="2" t="n">
        <f aca="false">IF(ISBLANK(B125),"",YEAR(B125))</f>
        <v>2024</v>
      </c>
      <c r="AM125" s="2" t="s">
        <v>226</v>
      </c>
      <c r="AN125" s="2" t="str">
        <f aca="false">IF(OR(W125="Invalid",AJ125="Invalid",AH125="Inconsistent",Z125="Mismatch",AD125="Mismatch",AM125="Yes",D125="Yes",E125="Yes"),"Invalid",IF(OR(J125="Yes",Q125="Yes",U125="Yes"),"Warning","Clean"))</f>
        <v>Invalid</v>
      </c>
    </row>
    <row r="126" customFormat="false" ht="15" hidden="false" customHeight="false" outlineLevel="0" collapsed="false">
      <c r="A126" s="2" t="s">
        <v>504</v>
      </c>
      <c r="B126" s="3" t="n">
        <v>45494</v>
      </c>
      <c r="C126" s="3" t="n">
        <v>45497</v>
      </c>
      <c r="D126" s="2" t="s">
        <v>41</v>
      </c>
      <c r="E126" s="2" t="s">
        <v>41</v>
      </c>
      <c r="F126" s="2" t="s">
        <v>505</v>
      </c>
      <c r="G126" s="2" t="s">
        <v>67</v>
      </c>
      <c r="H126" s="2" t="s">
        <v>110</v>
      </c>
      <c r="I126" s="2" t="s">
        <v>74</v>
      </c>
      <c r="J126" s="2" t="s">
        <v>41</v>
      </c>
      <c r="K126" s="2" t="s">
        <v>195</v>
      </c>
      <c r="L126" s="2" t="s">
        <v>196</v>
      </c>
      <c r="M126" s="2" t="s">
        <v>94</v>
      </c>
      <c r="N126" s="2" t="s">
        <v>100</v>
      </c>
      <c r="O126" s="2" t="s">
        <v>506</v>
      </c>
      <c r="P126" s="2" t="s">
        <v>79</v>
      </c>
      <c r="Q126" s="2" t="s">
        <v>41</v>
      </c>
      <c r="R126" s="2" t="n">
        <v>9</v>
      </c>
      <c r="S126" s="2" t="n">
        <v>465.06</v>
      </c>
      <c r="T126" s="2" t="n">
        <v>-0.15</v>
      </c>
      <c r="U126" s="2" t="str">
        <f aca="false">IF(ISBLANK(T126),"Yes","No")</f>
        <v>No</v>
      </c>
      <c r="V126" s="2" t="n">
        <f aca="false">IF(ISBLANK(T126),0,IF(ISNUMBER(T126),T126,VALUE(LEFT(T126,LEN(T126)-1))/100))</f>
        <v>-0.15</v>
      </c>
      <c r="W126" s="2" t="str">
        <f aca="false">IF(AND(V126&gt;=0,V126&lt;=0.25),"Valid","Invalid")</f>
        <v>Invalid</v>
      </c>
      <c r="X126" s="2" t="n">
        <v>4185.54</v>
      </c>
      <c r="Y126" s="2" t="n">
        <f aca="false">R126*S126*(1-V126)</f>
        <v>4813.371</v>
      </c>
      <c r="Z126" s="2" t="str">
        <f aca="false">IF(ABS(X126-Y126)&gt;1,"Mismatch","OK")</f>
        <v>Mismatch</v>
      </c>
      <c r="AA126" s="2" t="n">
        <v>3443.74</v>
      </c>
      <c r="AB126" s="2" t="n">
        <v>741.8</v>
      </c>
      <c r="AC126" s="2" t="n">
        <f aca="false">Y126-AA126</f>
        <v>1369.631</v>
      </c>
      <c r="AD126" s="2" t="str">
        <f aca="false">IF(ABS(AB126-AC126)&gt;1,"Mismatch","OK")</f>
        <v>Mismatch</v>
      </c>
      <c r="AE126" s="4" t="n">
        <f aca="false">IF(Y126=0,0,AC126/Y126)</f>
        <v>0.284547150011915</v>
      </c>
      <c r="AF126" s="2" t="s">
        <v>52</v>
      </c>
      <c r="AG126" s="2" t="s">
        <v>53</v>
      </c>
      <c r="AH126" s="2" t="str">
        <f aca="false">IF(AND(AG126="Completed",AF126&lt;&gt;"Paid"),"Inconsistent","OK")</f>
        <v>OK</v>
      </c>
      <c r="AI126" s="2" t="n">
        <f aca="false">IF(OR(ISBLANK(B126),ISBLANK(C126)),"",C126-B126)</f>
        <v>3</v>
      </c>
      <c r="AJ126" s="2" t="str">
        <f aca="false">IF(AI126="","Unknown",IF(AI126&lt;0,"Invalid","OK"))</f>
        <v>OK</v>
      </c>
      <c r="AK126" s="2" t="str">
        <f aca="false">IF(ISBLANK(B126),"",TEXT(B126,"mmm"))</f>
        <v>Jul</v>
      </c>
      <c r="AL126" s="2" t="n">
        <f aca="false">IF(ISBLANK(B126),"",YEAR(B126))</f>
        <v>2024</v>
      </c>
      <c r="AM126" s="2" t="s">
        <v>41</v>
      </c>
      <c r="AN126" s="2" t="str">
        <f aca="false">IF(OR(W126="Invalid",AJ126="Invalid",AH126="Inconsistent",Z126="Mismatch",AD126="Mismatch",AM126="Yes",D126="Yes",E126="Yes"),"Invalid",IF(OR(J126="Yes",Q126="Yes",U126="Yes"),"Warning","Clean"))</f>
        <v>Invalid</v>
      </c>
    </row>
    <row r="127" customFormat="false" ht="15" hidden="false" customHeight="false" outlineLevel="0" collapsed="false">
      <c r="A127" s="2" t="s">
        <v>507</v>
      </c>
      <c r="B127" s="3" t="n">
        <v>45855</v>
      </c>
      <c r="C127" s="3" t="n">
        <v>45856</v>
      </c>
      <c r="D127" s="2" t="s">
        <v>41</v>
      </c>
      <c r="E127" s="2" t="s">
        <v>41</v>
      </c>
      <c r="F127" s="2" t="s">
        <v>508</v>
      </c>
      <c r="G127" s="2" t="s">
        <v>99</v>
      </c>
      <c r="H127" s="2" t="s">
        <v>57</v>
      </c>
      <c r="I127" s="2" t="s">
        <v>83</v>
      </c>
      <c r="J127" s="2" t="s">
        <v>41</v>
      </c>
      <c r="K127" s="2" t="s">
        <v>46</v>
      </c>
      <c r="L127" s="2" t="s">
        <v>129</v>
      </c>
      <c r="M127" s="2" t="s">
        <v>61</v>
      </c>
      <c r="N127" s="2" t="s">
        <v>62</v>
      </c>
      <c r="O127" s="2" t="s">
        <v>509</v>
      </c>
      <c r="P127" s="2" t="s">
        <v>64</v>
      </c>
      <c r="Q127" s="2" t="s">
        <v>41</v>
      </c>
      <c r="R127" s="2" t="n">
        <v>6</v>
      </c>
      <c r="S127" s="2" t="n">
        <v>3235.27</v>
      </c>
      <c r="T127" s="2" t="n">
        <v>0.25</v>
      </c>
      <c r="U127" s="2" t="str">
        <f aca="false">IF(ISBLANK(T127),"Yes","No")</f>
        <v>No</v>
      </c>
      <c r="V127" s="2" t="n">
        <f aca="false">IF(ISBLANK(T127),0,IF(ISNUMBER(T127),T127,VALUE(LEFT(T127,LEN(T127)-1))/100))</f>
        <v>0.25</v>
      </c>
      <c r="W127" s="2" t="str">
        <f aca="false">IF(AND(V127&gt;=0,V127&lt;=0.25),"Valid","Invalid")</f>
        <v>Valid</v>
      </c>
      <c r="X127" s="2" t="n">
        <v>14558.72</v>
      </c>
      <c r="Y127" s="2" t="n">
        <f aca="false">R127*S127*(1-V127)</f>
        <v>14558.715</v>
      </c>
      <c r="Z127" s="2" t="str">
        <f aca="false">IF(ABS(X127-Y127)&gt;1,"Mismatch","OK")</f>
        <v>OK</v>
      </c>
      <c r="AA127" s="2" t="n">
        <v>9591.48</v>
      </c>
      <c r="AB127" s="2" t="n">
        <v>4967.24</v>
      </c>
      <c r="AC127" s="2" t="n">
        <f aca="false">Y127-AA127</f>
        <v>4967.235</v>
      </c>
      <c r="AD127" s="2" t="str">
        <f aca="false">IF(ABS(AB127-AC127)&gt;1,"Mismatch","OK")</f>
        <v>OK</v>
      </c>
      <c r="AE127" s="4" t="n">
        <f aca="false">IF(Y127=0,0,AC127/Y127)</f>
        <v>0.341186361571059</v>
      </c>
      <c r="AF127" s="2" t="s">
        <v>122</v>
      </c>
      <c r="AG127" s="2" t="s">
        <v>123</v>
      </c>
      <c r="AH127" s="2" t="str">
        <f aca="false">IF(AND(AG127="Completed",AF127&lt;&gt;"Paid"),"Inconsistent","OK")</f>
        <v>OK</v>
      </c>
      <c r="AI127" s="2" t="n">
        <f aca="false">IF(OR(ISBLANK(B127),ISBLANK(C127)),"",C127-B127)</f>
        <v>1</v>
      </c>
      <c r="AJ127" s="2" t="str">
        <f aca="false">IF(AI127="","Unknown",IF(AI127&lt;0,"Invalid","OK"))</f>
        <v>OK</v>
      </c>
      <c r="AK127" s="2" t="str">
        <f aca="false">IF(ISBLANK(B127),"",TEXT(B127,"mmm"))</f>
        <v>Jul</v>
      </c>
      <c r="AL127" s="2" t="n">
        <f aca="false">IF(ISBLANK(B127),"",YEAR(B127))</f>
        <v>2025</v>
      </c>
      <c r="AM127" s="2" t="s">
        <v>41</v>
      </c>
      <c r="AN127" s="2" t="str">
        <f aca="false">IF(OR(W127="Invalid",AJ127="Invalid",AH127="Inconsistent",Z127="Mismatch",AD127="Mismatch",AM127="Yes",D127="Yes",E127="Yes"),"Invalid",IF(OR(J127="Yes",Q127="Yes",U127="Yes"),"Warning","Clean"))</f>
        <v>Clean</v>
      </c>
    </row>
    <row r="128" customFormat="false" ht="15" hidden="false" customHeight="false" outlineLevel="0" collapsed="false">
      <c r="A128" s="2" t="s">
        <v>510</v>
      </c>
      <c r="B128" s="3" t="n">
        <v>45924</v>
      </c>
      <c r="C128" s="3" t="n">
        <v>45926</v>
      </c>
      <c r="D128" s="2" t="s">
        <v>41</v>
      </c>
      <c r="E128" s="2" t="s">
        <v>41</v>
      </c>
      <c r="F128" s="2" t="s">
        <v>511</v>
      </c>
      <c r="G128" s="2" t="s">
        <v>134</v>
      </c>
      <c r="H128" s="2" t="s">
        <v>110</v>
      </c>
      <c r="I128" s="2" t="s">
        <v>45</v>
      </c>
      <c r="J128" s="2" t="s">
        <v>41</v>
      </c>
      <c r="K128" s="2" t="s">
        <v>372</v>
      </c>
      <c r="L128" s="2" t="s">
        <v>373</v>
      </c>
      <c r="M128" s="2" t="s">
        <v>94</v>
      </c>
      <c r="N128" s="2" t="s">
        <v>100</v>
      </c>
      <c r="O128" s="2" t="s">
        <v>512</v>
      </c>
      <c r="P128" s="2" t="s">
        <v>79</v>
      </c>
      <c r="Q128" s="2" t="s">
        <v>41</v>
      </c>
      <c r="R128" s="2" t="n">
        <v>3</v>
      </c>
      <c r="S128" s="2" t="n">
        <v>1593.86</v>
      </c>
      <c r="T128" s="2" t="n">
        <v>0.1</v>
      </c>
      <c r="U128" s="2" t="str">
        <f aca="false">IF(ISBLANK(T128),"Yes","No")</f>
        <v>No</v>
      </c>
      <c r="V128" s="2" t="n">
        <f aca="false">IF(ISBLANK(T128),0,IF(ISNUMBER(T128),T128,VALUE(LEFT(T128,LEN(T128)-1))/100))</f>
        <v>0.1</v>
      </c>
      <c r="W128" s="2" t="str">
        <f aca="false">IF(AND(V128&gt;=0,V128&lt;=0.25),"Valid","Invalid")</f>
        <v>Valid</v>
      </c>
      <c r="X128" s="2" t="n">
        <v>4303.42</v>
      </c>
      <c r="Y128" s="2" t="n">
        <f aca="false">R128*S128*(1-V128)</f>
        <v>4303.422</v>
      </c>
      <c r="Z128" s="2" t="str">
        <f aca="false">IF(ABS(X128-Y128)&gt;1,"Mismatch","OK")</f>
        <v>OK</v>
      </c>
      <c r="AA128" s="2" t="n">
        <v>2568.57</v>
      </c>
      <c r="AB128" s="2" t="n">
        <v>1734.85</v>
      </c>
      <c r="AC128" s="2" t="n">
        <f aca="false">Y128-AA128</f>
        <v>1734.852</v>
      </c>
      <c r="AD128" s="2" t="str">
        <f aca="false">IF(ABS(AB128-AC128)&gt;1,"Mismatch","OK")</f>
        <v>OK</v>
      </c>
      <c r="AE128" s="4" t="n">
        <f aca="false">IF(Y128=0,0,AC128/Y128)</f>
        <v>0.403133134514812</v>
      </c>
      <c r="AF128" s="2" t="s">
        <v>52</v>
      </c>
      <c r="AG128" s="2" t="s">
        <v>53</v>
      </c>
      <c r="AH128" s="2" t="str">
        <f aca="false">IF(AND(AG128="Completed",AF128&lt;&gt;"Paid"),"Inconsistent","OK")</f>
        <v>OK</v>
      </c>
      <c r="AI128" s="2" t="n">
        <f aca="false">IF(OR(ISBLANK(B128),ISBLANK(C128)),"",C128-B128)</f>
        <v>2</v>
      </c>
      <c r="AJ128" s="2" t="str">
        <f aca="false">IF(AI128="","Unknown",IF(AI128&lt;0,"Invalid","OK"))</f>
        <v>OK</v>
      </c>
      <c r="AK128" s="2" t="str">
        <f aca="false">IF(ISBLANK(B128),"",TEXT(B128,"mmm"))</f>
        <v>Sep</v>
      </c>
      <c r="AL128" s="2" t="n">
        <f aca="false">IF(ISBLANK(B128),"",YEAR(B128))</f>
        <v>2025</v>
      </c>
      <c r="AM128" s="2" t="s">
        <v>41</v>
      </c>
      <c r="AN128" s="2" t="str">
        <f aca="false">IF(OR(W128="Invalid",AJ128="Invalid",AH128="Inconsistent",Z128="Mismatch",AD128="Mismatch",AM128="Yes",D128="Yes",E128="Yes"),"Invalid",IF(OR(J128="Yes",Q128="Yes",U128="Yes"),"Warning","Clean"))</f>
        <v>Clean</v>
      </c>
    </row>
    <row r="129" customFormat="false" ht="15" hidden="false" customHeight="false" outlineLevel="0" collapsed="false">
      <c r="A129" s="2" t="s">
        <v>513</v>
      </c>
      <c r="B129" s="3" t="n">
        <v>45687</v>
      </c>
      <c r="C129" s="3" t="n">
        <v>45683</v>
      </c>
      <c r="D129" s="2" t="s">
        <v>41</v>
      </c>
      <c r="E129" s="2" t="s">
        <v>41</v>
      </c>
      <c r="F129" s="2" t="s">
        <v>514</v>
      </c>
      <c r="G129" s="2" t="s">
        <v>134</v>
      </c>
      <c r="H129" s="2" t="s">
        <v>110</v>
      </c>
      <c r="I129" s="2" t="s">
        <v>83</v>
      </c>
      <c r="J129" s="2" t="s">
        <v>41</v>
      </c>
      <c r="K129" s="2" t="s">
        <v>92</v>
      </c>
      <c r="L129" s="2" t="s">
        <v>93</v>
      </c>
      <c r="M129" s="2" t="s">
        <v>48</v>
      </c>
      <c r="N129" s="2" t="s">
        <v>144</v>
      </c>
      <c r="O129" s="2" t="s">
        <v>515</v>
      </c>
      <c r="P129" s="2" t="s">
        <v>51</v>
      </c>
      <c r="Q129" s="2" t="s">
        <v>41</v>
      </c>
      <c r="R129" s="2" t="n">
        <v>2</v>
      </c>
      <c r="S129" s="2" t="n">
        <v>3039.3</v>
      </c>
      <c r="T129" s="2" t="n">
        <v>0.05</v>
      </c>
      <c r="U129" s="2" t="str">
        <f aca="false">IF(ISBLANK(T129),"Yes","No")</f>
        <v>No</v>
      </c>
      <c r="V129" s="2" t="n">
        <f aca="false">IF(ISBLANK(T129),0,IF(ISNUMBER(T129),T129,VALUE(LEFT(T129,LEN(T129)-1))/100))</f>
        <v>0.05</v>
      </c>
      <c r="W129" s="2" t="str">
        <f aca="false">IF(AND(V129&gt;=0,V129&lt;=0.25),"Valid","Invalid")</f>
        <v>Valid</v>
      </c>
      <c r="X129" s="2" t="n">
        <v>5774.67</v>
      </c>
      <c r="Y129" s="2" t="n">
        <f aca="false">R129*S129*(1-V129)</f>
        <v>5774.67</v>
      </c>
      <c r="Z129" s="2" t="str">
        <f aca="false">IF(ABS(X129-Y129)&gt;1,"Mismatch","OK")</f>
        <v>OK</v>
      </c>
      <c r="AA129" s="2" t="n">
        <v>3518.36</v>
      </c>
      <c r="AB129" s="2" t="n">
        <v>2256.31</v>
      </c>
      <c r="AC129" s="2" t="n">
        <f aca="false">Y129-AA129</f>
        <v>2256.31</v>
      </c>
      <c r="AD129" s="2" t="str">
        <f aca="false">IF(ABS(AB129-AC129)&gt;1,"Mismatch","OK")</f>
        <v>OK</v>
      </c>
      <c r="AE129" s="4" t="n">
        <f aca="false">IF(Y129=0,0,AC129/Y129)</f>
        <v>0.390725357466314</v>
      </c>
      <c r="AF129" s="2" t="s">
        <v>52</v>
      </c>
      <c r="AG129" s="2" t="s">
        <v>53</v>
      </c>
      <c r="AH129" s="2" t="str">
        <f aca="false">IF(AND(AG129="Completed",AF129&lt;&gt;"Paid"),"Inconsistent","OK")</f>
        <v>OK</v>
      </c>
      <c r="AI129" s="2" t="n">
        <f aca="false">IF(OR(ISBLANK(B129),ISBLANK(C129)),"",C129-B129)</f>
        <v>-4</v>
      </c>
      <c r="AJ129" s="2" t="str">
        <f aca="false">IF(AI129="","Unknown",IF(AI129&lt;0,"Invalid","OK"))</f>
        <v>Invalid</v>
      </c>
      <c r="AK129" s="2" t="str">
        <f aca="false">IF(ISBLANK(B129),"",TEXT(B129,"mmm"))</f>
        <v>Jan</v>
      </c>
      <c r="AL129" s="2" t="n">
        <f aca="false">IF(ISBLANK(B129),"",YEAR(B129))</f>
        <v>2025</v>
      </c>
      <c r="AM129" s="2" t="s">
        <v>41</v>
      </c>
      <c r="AN129" s="2" t="str">
        <f aca="false">IF(OR(W129="Invalid",AJ129="Invalid",AH129="Inconsistent",Z129="Mismatch",AD129="Mismatch",AM129="Yes",D129="Yes",E129="Yes"),"Invalid",IF(OR(J129="Yes",Q129="Yes",U129="Yes"),"Warning","Clean"))</f>
        <v>Invalid</v>
      </c>
    </row>
    <row r="130" customFormat="false" ht="15" hidden="false" customHeight="false" outlineLevel="0" collapsed="false">
      <c r="A130" s="2" t="s">
        <v>516</v>
      </c>
      <c r="B130" s="3" t="n">
        <v>45639</v>
      </c>
      <c r="C130" s="3" t="n">
        <v>45642</v>
      </c>
      <c r="D130" s="2" t="s">
        <v>41</v>
      </c>
      <c r="E130" s="2" t="s">
        <v>41</v>
      </c>
      <c r="F130" s="2" t="s">
        <v>517</v>
      </c>
      <c r="G130" s="2" t="s">
        <v>99</v>
      </c>
      <c r="H130" s="2" t="s">
        <v>57</v>
      </c>
      <c r="I130" s="2" t="s">
        <v>58</v>
      </c>
      <c r="J130" s="2" t="s">
        <v>41</v>
      </c>
      <c r="K130" s="2" t="s">
        <v>59</v>
      </c>
      <c r="L130" s="2" t="s">
        <v>60</v>
      </c>
      <c r="M130" s="2" t="s">
        <v>61</v>
      </c>
      <c r="N130" s="2" t="s">
        <v>77</v>
      </c>
      <c r="O130" s="2" t="s">
        <v>518</v>
      </c>
      <c r="P130" s="2" t="s">
        <v>79</v>
      </c>
      <c r="Q130" s="2" t="s">
        <v>41</v>
      </c>
      <c r="R130" s="2" t="n">
        <v>5</v>
      </c>
      <c r="S130" s="2" t="n">
        <v>923.45</v>
      </c>
      <c r="T130" s="2" t="n">
        <v>0.05</v>
      </c>
      <c r="U130" s="2" t="str">
        <f aca="false">IF(ISBLANK(T130),"Yes","No")</f>
        <v>No</v>
      </c>
      <c r="V130" s="2" t="n">
        <f aca="false">IF(ISBLANK(T130),0,IF(ISNUMBER(T130),T130,VALUE(LEFT(T130,LEN(T130)-1))/100))</f>
        <v>0.05</v>
      </c>
      <c r="W130" s="2" t="str">
        <f aca="false">IF(AND(V130&gt;=0,V130&lt;=0.25),"Valid","Invalid")</f>
        <v>Valid</v>
      </c>
      <c r="X130" s="2" t="n">
        <v>4386.39</v>
      </c>
      <c r="Y130" s="2" t="n">
        <f aca="false">R130*S130*(1-V130)</f>
        <v>4386.3875</v>
      </c>
      <c r="Z130" s="2" t="str">
        <f aca="false">IF(ABS(X130-Y130)&gt;1,"Mismatch","OK")</f>
        <v>OK</v>
      </c>
      <c r="AA130" s="2" t="n">
        <v>3366.88</v>
      </c>
      <c r="AB130" s="2" t="n">
        <v>1019.51</v>
      </c>
      <c r="AC130" s="2" t="n">
        <f aca="false">Y130-AA130</f>
        <v>1019.5075</v>
      </c>
      <c r="AD130" s="2" t="str">
        <f aca="false">IF(ABS(AB130-AC130)&gt;1,"Mismatch","OK")</f>
        <v>OK</v>
      </c>
      <c r="AE130" s="4" t="n">
        <f aca="false">IF(Y130=0,0,AC130/Y130)</f>
        <v>0.232425315820821</v>
      </c>
      <c r="AF130" s="2" t="s">
        <v>52</v>
      </c>
      <c r="AG130" s="2" t="s">
        <v>123</v>
      </c>
      <c r="AH130" s="2" t="str">
        <f aca="false">IF(AND(AG130="Completed",AF130&lt;&gt;"Paid"),"Inconsistent","OK")</f>
        <v>OK</v>
      </c>
      <c r="AI130" s="2" t="n">
        <f aca="false">IF(OR(ISBLANK(B130),ISBLANK(C130)),"",C130-B130)</f>
        <v>3</v>
      </c>
      <c r="AJ130" s="2" t="str">
        <f aca="false">IF(AI130="","Unknown",IF(AI130&lt;0,"Invalid","OK"))</f>
        <v>OK</v>
      </c>
      <c r="AK130" s="2" t="str">
        <f aca="false">IF(ISBLANK(B130),"",TEXT(B130,"mmm"))</f>
        <v>Dec</v>
      </c>
      <c r="AL130" s="2" t="n">
        <f aca="false">IF(ISBLANK(B130),"",YEAR(B130))</f>
        <v>2024</v>
      </c>
      <c r="AM130" s="2" t="s">
        <v>41</v>
      </c>
      <c r="AN130" s="2" t="str">
        <f aca="false">IF(OR(W130="Invalid",AJ130="Invalid",AH130="Inconsistent",Z130="Mismatch",AD130="Mismatch",AM130="Yes",D130="Yes",E130="Yes"),"Invalid",IF(OR(J130="Yes",Q130="Yes",U130="Yes"),"Warning","Clean"))</f>
        <v>Clean</v>
      </c>
    </row>
    <row r="131" customFormat="false" ht="15" hidden="false" customHeight="false" outlineLevel="0" collapsed="false">
      <c r="A131" s="2" t="s">
        <v>519</v>
      </c>
      <c r="B131" s="3" t="n">
        <v>45492</v>
      </c>
      <c r="C131" s="3" t="n">
        <v>45498</v>
      </c>
      <c r="D131" s="2" t="s">
        <v>41</v>
      </c>
      <c r="E131" s="2" t="s">
        <v>41</v>
      </c>
      <c r="F131" s="2" t="s">
        <v>520</v>
      </c>
      <c r="G131" s="2" t="s">
        <v>67</v>
      </c>
      <c r="H131" s="2" t="s">
        <v>57</v>
      </c>
      <c r="I131" s="2" t="s">
        <v>83</v>
      </c>
      <c r="J131" s="2" t="s">
        <v>41</v>
      </c>
      <c r="K131" s="2" t="s">
        <v>210</v>
      </c>
      <c r="L131" s="2" t="s">
        <v>211</v>
      </c>
      <c r="M131" s="2" t="s">
        <v>48</v>
      </c>
      <c r="N131" s="2" t="s">
        <v>173</v>
      </c>
      <c r="O131" s="2" t="s">
        <v>521</v>
      </c>
      <c r="P131" s="2" t="s">
        <v>79</v>
      </c>
      <c r="Q131" s="2" t="s">
        <v>41</v>
      </c>
      <c r="R131" s="2" t="n">
        <v>7</v>
      </c>
      <c r="S131" s="2" t="n">
        <v>2741.29</v>
      </c>
      <c r="T131" s="2" t="n">
        <v>0.05</v>
      </c>
      <c r="U131" s="2" t="str">
        <f aca="false">IF(ISBLANK(T131),"Yes","No")</f>
        <v>No</v>
      </c>
      <c r="V131" s="2" t="n">
        <f aca="false">IF(ISBLANK(T131),0,IF(ISNUMBER(T131),T131,VALUE(LEFT(T131,LEN(T131)-1))/100))</f>
        <v>0.05</v>
      </c>
      <c r="W131" s="2" t="str">
        <f aca="false">IF(AND(V131&gt;=0,V131&lt;=0.25),"Valid","Invalid")</f>
        <v>Valid</v>
      </c>
      <c r="X131" s="2" t="n">
        <v>18229.58</v>
      </c>
      <c r="Y131" s="2" t="n">
        <f aca="false">R131*S131*(1-V131)</f>
        <v>18229.5785</v>
      </c>
      <c r="Z131" s="2" t="str">
        <f aca="false">IF(ABS(X131-Y131)&gt;1,"Mismatch","OK")</f>
        <v>OK</v>
      </c>
      <c r="AA131" s="2" t="n">
        <v>15139.15</v>
      </c>
      <c r="AB131" s="2" t="n">
        <v>3090.43</v>
      </c>
      <c r="AC131" s="2" t="n">
        <f aca="false">Y131-AA131</f>
        <v>3090.4285</v>
      </c>
      <c r="AD131" s="2" t="str">
        <f aca="false">IF(ABS(AB131-AC131)&gt;1,"Mismatch","OK")</f>
        <v>OK</v>
      </c>
      <c r="AE131" s="4" t="n">
        <f aca="false">IF(Y131=0,0,AC131/Y131)</f>
        <v>0.169528247732113</v>
      </c>
      <c r="AF131" s="2" t="s">
        <v>52</v>
      </c>
      <c r="AG131" s="2" t="s">
        <v>53</v>
      </c>
      <c r="AH131" s="2" t="str">
        <f aca="false">IF(AND(AG131="Completed",AF131&lt;&gt;"Paid"),"Inconsistent","OK")</f>
        <v>OK</v>
      </c>
      <c r="AI131" s="2" t="n">
        <f aca="false">IF(OR(ISBLANK(B131),ISBLANK(C131)),"",C131-B131)</f>
        <v>6</v>
      </c>
      <c r="AJ131" s="2" t="str">
        <f aca="false">IF(AI131="","Unknown",IF(AI131&lt;0,"Invalid","OK"))</f>
        <v>OK</v>
      </c>
      <c r="AK131" s="2" t="str">
        <f aca="false">IF(ISBLANK(B131),"",TEXT(B131,"mmm"))</f>
        <v>Jul</v>
      </c>
      <c r="AL131" s="2" t="n">
        <f aca="false">IF(ISBLANK(B131),"",YEAR(B131))</f>
        <v>2024</v>
      </c>
      <c r="AM131" s="2" t="s">
        <v>41</v>
      </c>
      <c r="AN131" s="2" t="str">
        <f aca="false">IF(OR(W131="Invalid",AJ131="Invalid",AH131="Inconsistent",Z131="Mismatch",AD131="Mismatch",AM131="Yes",D131="Yes",E131="Yes"),"Invalid",IF(OR(J131="Yes",Q131="Yes",U131="Yes"),"Warning","Clean"))</f>
        <v>Clean</v>
      </c>
    </row>
    <row r="132" customFormat="false" ht="15" hidden="false" customHeight="false" outlineLevel="0" collapsed="false">
      <c r="A132" s="2" t="s">
        <v>522</v>
      </c>
      <c r="B132" s="3" t="n">
        <v>45318</v>
      </c>
      <c r="C132" s="3" t="n">
        <v>45324</v>
      </c>
      <c r="D132" s="2" t="s">
        <v>41</v>
      </c>
      <c r="E132" s="2" t="s">
        <v>41</v>
      </c>
      <c r="F132" s="2" t="s">
        <v>523</v>
      </c>
      <c r="G132" s="2" t="s">
        <v>73</v>
      </c>
      <c r="H132" s="2" t="s">
        <v>44</v>
      </c>
      <c r="I132" s="2" t="s">
        <v>83</v>
      </c>
      <c r="J132" s="2" t="s">
        <v>41</v>
      </c>
      <c r="K132" s="2" t="s">
        <v>200</v>
      </c>
      <c r="L132" s="2" t="s">
        <v>201</v>
      </c>
      <c r="M132" s="2" t="s">
        <v>48</v>
      </c>
      <c r="N132" s="2" t="s">
        <v>111</v>
      </c>
      <c r="O132" s="2" t="s">
        <v>524</v>
      </c>
      <c r="P132" s="2" t="s">
        <v>64</v>
      </c>
      <c r="Q132" s="2" t="s">
        <v>41</v>
      </c>
      <c r="R132" s="2" t="n">
        <v>5</v>
      </c>
      <c r="S132" s="2" t="n">
        <v>218.42</v>
      </c>
      <c r="T132" s="2" t="n">
        <v>0.2</v>
      </c>
      <c r="U132" s="2" t="str">
        <f aca="false">IF(ISBLANK(T132),"Yes","No")</f>
        <v>No</v>
      </c>
      <c r="V132" s="2" t="n">
        <f aca="false">IF(ISBLANK(T132),0,IF(ISNUMBER(T132),T132,VALUE(LEFT(T132,LEN(T132)-1))/100))</f>
        <v>0.2</v>
      </c>
      <c r="W132" s="2" t="str">
        <f aca="false">IF(AND(V132&gt;=0,V132&lt;=0.25),"Valid","Invalid")</f>
        <v>Valid</v>
      </c>
      <c r="X132" s="2" t="n">
        <v>873.68</v>
      </c>
      <c r="Y132" s="2" t="n">
        <f aca="false">R132*S132*(1-V132)</f>
        <v>873.68</v>
      </c>
      <c r="Z132" s="2" t="str">
        <f aca="false">IF(ABS(X132-Y132)&gt;1,"Mismatch","OK")</f>
        <v>OK</v>
      </c>
      <c r="AA132" s="2" t="n">
        <v>661.72</v>
      </c>
      <c r="AB132" s="2" t="n">
        <v>211.96</v>
      </c>
      <c r="AC132" s="2" t="n">
        <f aca="false">Y132-AA132</f>
        <v>211.96</v>
      </c>
      <c r="AD132" s="2" t="str">
        <f aca="false">IF(ABS(AB132-AC132)&gt;1,"Mismatch","OK")</f>
        <v>OK</v>
      </c>
      <c r="AE132" s="4" t="n">
        <f aca="false">IF(Y132=0,0,AC132/Y132)</f>
        <v>0.242605988462595</v>
      </c>
      <c r="AF132" s="2" t="s">
        <v>131</v>
      </c>
      <c r="AG132" s="2" t="s">
        <v>88</v>
      </c>
      <c r="AH132" s="2" t="str">
        <f aca="false">IF(AND(AG132="Completed",AF132&lt;&gt;"Paid"),"Inconsistent","OK")</f>
        <v>OK</v>
      </c>
      <c r="AI132" s="2" t="n">
        <f aca="false">IF(OR(ISBLANK(B132),ISBLANK(C132)),"",C132-B132)</f>
        <v>6</v>
      </c>
      <c r="AJ132" s="2" t="str">
        <f aca="false">IF(AI132="","Unknown",IF(AI132&lt;0,"Invalid","OK"))</f>
        <v>OK</v>
      </c>
      <c r="AK132" s="2" t="str">
        <f aca="false">IF(ISBLANK(B132),"",TEXT(B132,"mmm"))</f>
        <v>Jan</v>
      </c>
      <c r="AL132" s="2" t="n">
        <f aca="false">IF(ISBLANK(B132),"",YEAR(B132))</f>
        <v>2024</v>
      </c>
      <c r="AM132" s="2" t="s">
        <v>41</v>
      </c>
      <c r="AN132" s="2" t="str">
        <f aca="false">IF(OR(W132="Invalid",AJ132="Invalid",AH132="Inconsistent",Z132="Mismatch",AD132="Mismatch",AM132="Yes",D132="Yes",E132="Yes"),"Invalid",IF(OR(J132="Yes",Q132="Yes",U132="Yes"),"Warning","Clean"))</f>
        <v>Clean</v>
      </c>
    </row>
    <row r="133" customFormat="false" ht="15" hidden="false" customHeight="false" outlineLevel="0" collapsed="false">
      <c r="A133" s="2" t="s">
        <v>525</v>
      </c>
      <c r="B133" s="3" t="n">
        <v>45929</v>
      </c>
      <c r="C133" s="3" t="n">
        <v>45934</v>
      </c>
      <c r="D133" s="2" t="s">
        <v>41</v>
      </c>
      <c r="E133" s="2" t="s">
        <v>41</v>
      </c>
      <c r="F133" s="2" t="s">
        <v>526</v>
      </c>
      <c r="G133" s="2" t="s">
        <v>82</v>
      </c>
      <c r="H133" s="2" t="s">
        <v>115</v>
      </c>
      <c r="I133" s="2" t="s">
        <v>58</v>
      </c>
      <c r="J133" s="2" t="s">
        <v>41</v>
      </c>
      <c r="K133" s="2" t="s">
        <v>250</v>
      </c>
      <c r="L133" s="2" t="s">
        <v>251</v>
      </c>
      <c r="M133" s="2" t="s">
        <v>48</v>
      </c>
      <c r="N133" s="2" t="s">
        <v>49</v>
      </c>
      <c r="O133" s="2" t="s">
        <v>527</v>
      </c>
      <c r="P133" s="2" t="s">
        <v>64</v>
      </c>
      <c r="Q133" s="2" t="s">
        <v>41</v>
      </c>
      <c r="R133" s="2" t="n">
        <v>9</v>
      </c>
      <c r="S133" s="2" t="n">
        <v>373.91</v>
      </c>
      <c r="T133" s="2" t="n">
        <v>0.2</v>
      </c>
      <c r="U133" s="2" t="str">
        <f aca="false">IF(ISBLANK(T133),"Yes","No")</f>
        <v>No</v>
      </c>
      <c r="V133" s="2" t="n">
        <f aca="false">IF(ISBLANK(T133),0,IF(ISNUMBER(T133),T133,VALUE(LEFT(T133,LEN(T133)-1))/100))</f>
        <v>0.2</v>
      </c>
      <c r="W133" s="2" t="str">
        <f aca="false">IF(AND(V133&gt;=0,V133&lt;=0.25),"Valid","Invalid")</f>
        <v>Valid</v>
      </c>
      <c r="X133" s="2" t="n">
        <v>2692.15</v>
      </c>
      <c r="Y133" s="2" t="n">
        <f aca="false">R133*S133*(1-V133)</f>
        <v>2692.152</v>
      </c>
      <c r="Z133" s="2" t="str">
        <f aca="false">IF(ABS(X133-Y133)&gt;1,"Mismatch","OK")</f>
        <v>OK</v>
      </c>
      <c r="AA133" s="2" t="n">
        <v>2044.49</v>
      </c>
      <c r="AB133" s="2" t="n">
        <v>647.66</v>
      </c>
      <c r="AC133" s="2" t="n">
        <f aca="false">Y133-AA133</f>
        <v>647.662</v>
      </c>
      <c r="AD133" s="2" t="str">
        <f aca="false">IF(ABS(AB133-AC133)&gt;1,"Mismatch","OK")</f>
        <v>OK</v>
      </c>
      <c r="AE133" s="4" t="n">
        <f aca="false">IF(Y133=0,0,AC133/Y133)</f>
        <v>0.240574083484142</v>
      </c>
      <c r="AF133" s="2" t="s">
        <v>52</v>
      </c>
      <c r="AG133" s="2" t="s">
        <v>53</v>
      </c>
      <c r="AH133" s="2" t="str">
        <f aca="false">IF(AND(AG133="Completed",AF133&lt;&gt;"Paid"),"Inconsistent","OK")</f>
        <v>OK</v>
      </c>
      <c r="AI133" s="2" t="n">
        <f aca="false">IF(OR(ISBLANK(B133),ISBLANK(C133)),"",C133-B133)</f>
        <v>5</v>
      </c>
      <c r="AJ133" s="2" t="str">
        <f aca="false">IF(AI133="","Unknown",IF(AI133&lt;0,"Invalid","OK"))</f>
        <v>OK</v>
      </c>
      <c r="AK133" s="2" t="str">
        <f aca="false">IF(ISBLANK(B133),"",TEXT(B133,"mmm"))</f>
        <v>Sep</v>
      </c>
      <c r="AL133" s="2" t="n">
        <f aca="false">IF(ISBLANK(B133),"",YEAR(B133))</f>
        <v>2025</v>
      </c>
      <c r="AM133" s="2" t="s">
        <v>41</v>
      </c>
      <c r="AN133" s="2" t="str">
        <f aca="false">IF(OR(W133="Invalid",AJ133="Invalid",AH133="Inconsistent",Z133="Mismatch",AD133="Mismatch",AM133="Yes",D133="Yes",E133="Yes"),"Invalid",IF(OR(J133="Yes",Q133="Yes",U133="Yes"),"Warning","Clean"))</f>
        <v>Clean</v>
      </c>
    </row>
    <row r="134" customFormat="false" ht="15" hidden="false" customHeight="false" outlineLevel="0" collapsed="false">
      <c r="A134" s="2" t="s">
        <v>528</v>
      </c>
      <c r="B134" s="3" t="n">
        <v>45600</v>
      </c>
      <c r="C134" s="3" t="n">
        <v>45600</v>
      </c>
      <c r="D134" s="2" t="s">
        <v>41</v>
      </c>
      <c r="E134" s="2" t="s">
        <v>41</v>
      </c>
      <c r="F134" s="2" t="s">
        <v>529</v>
      </c>
      <c r="G134" s="2" t="s">
        <v>286</v>
      </c>
      <c r="H134" s="2" t="s">
        <v>110</v>
      </c>
      <c r="I134" s="2" t="s">
        <v>58</v>
      </c>
      <c r="J134" s="2" t="s">
        <v>41</v>
      </c>
      <c r="K134" s="2" t="s">
        <v>186</v>
      </c>
      <c r="L134" s="2" t="s">
        <v>187</v>
      </c>
      <c r="M134" s="2" t="s">
        <v>94</v>
      </c>
      <c r="N134" s="2" t="s">
        <v>296</v>
      </c>
      <c r="O134" s="2" t="s">
        <v>530</v>
      </c>
      <c r="P134" s="2" t="s">
        <v>70</v>
      </c>
      <c r="Q134" s="2" t="s">
        <v>41</v>
      </c>
      <c r="R134" s="2" t="n">
        <v>2</v>
      </c>
      <c r="S134" s="2" t="n">
        <v>533.08</v>
      </c>
      <c r="T134" s="2" t="n">
        <v>0</v>
      </c>
      <c r="U134" s="2" t="str">
        <f aca="false">IF(ISBLANK(T134),"Yes","No")</f>
        <v>No</v>
      </c>
      <c r="V134" s="2" t="n">
        <f aca="false">IF(ISBLANK(T134),0,IF(ISNUMBER(T134),T134,VALUE(LEFT(T134,LEN(T134)-1))/100))</f>
        <v>0</v>
      </c>
      <c r="W134" s="2" t="str">
        <f aca="false">IF(AND(V134&gt;=0,V134&lt;=0.25),"Valid","Invalid")</f>
        <v>Valid</v>
      </c>
      <c r="X134" s="2" t="n">
        <v>1066.16</v>
      </c>
      <c r="Y134" s="2" t="n">
        <f aca="false">R134*S134*(1-V134)</f>
        <v>1066.16</v>
      </c>
      <c r="Z134" s="2" t="str">
        <f aca="false">IF(ABS(X134-Y134)&gt;1,"Mismatch","OK")</f>
        <v>OK</v>
      </c>
      <c r="AA134" s="2" t="n">
        <v>656.3</v>
      </c>
      <c r="AB134" s="2" t="n">
        <v>409.86</v>
      </c>
      <c r="AC134" s="2" t="n">
        <f aca="false">Y134-AA134</f>
        <v>409.86</v>
      </c>
      <c r="AD134" s="2" t="str">
        <f aca="false">IF(ABS(AB134-AC134)&gt;1,"Mismatch","OK")</f>
        <v>OK</v>
      </c>
      <c r="AE134" s="4" t="n">
        <f aca="false">IF(Y134=0,0,AC134/Y134)</f>
        <v>0.384426352517446</v>
      </c>
      <c r="AF134" s="2" t="s">
        <v>175</v>
      </c>
      <c r="AG134" s="2" t="s">
        <v>88</v>
      </c>
      <c r="AH134" s="2" t="str">
        <f aca="false">IF(AND(AG134="Completed",AF134&lt;&gt;"Paid"),"Inconsistent","OK")</f>
        <v>OK</v>
      </c>
      <c r="AI134" s="2" t="n">
        <f aca="false">IF(OR(ISBLANK(B134),ISBLANK(C134)),"",C134-B134)</f>
        <v>0</v>
      </c>
      <c r="AJ134" s="2" t="str">
        <f aca="false">IF(AI134="","Unknown",IF(AI134&lt;0,"Invalid","OK"))</f>
        <v>OK</v>
      </c>
      <c r="AK134" s="2" t="str">
        <f aca="false">IF(ISBLANK(B134),"",TEXT(B134,"mmm"))</f>
        <v>Nov</v>
      </c>
      <c r="AL134" s="2" t="n">
        <f aca="false">IF(ISBLANK(B134),"",YEAR(B134))</f>
        <v>2024</v>
      </c>
      <c r="AM134" s="2" t="s">
        <v>41</v>
      </c>
      <c r="AN134" s="2" t="str">
        <f aca="false">IF(OR(W134="Invalid",AJ134="Invalid",AH134="Inconsistent",Z134="Mismatch",AD134="Mismatch",AM134="Yes",D134="Yes",E134="Yes"),"Invalid",IF(OR(J134="Yes",Q134="Yes",U134="Yes"),"Warning","Clean"))</f>
        <v>Clean</v>
      </c>
    </row>
    <row r="135" customFormat="false" ht="15" hidden="false" customHeight="false" outlineLevel="0" collapsed="false">
      <c r="A135" s="2" t="s">
        <v>531</v>
      </c>
      <c r="B135" s="3" t="n">
        <v>45639</v>
      </c>
      <c r="C135" s="3" t="n">
        <v>45644</v>
      </c>
      <c r="D135" s="2" t="s">
        <v>41</v>
      </c>
      <c r="E135" s="2" t="s">
        <v>41</v>
      </c>
      <c r="F135" s="2" t="s">
        <v>532</v>
      </c>
      <c r="G135" s="2" t="s">
        <v>43</v>
      </c>
      <c r="H135" s="2" t="s">
        <v>44</v>
      </c>
      <c r="I135" s="2" t="s">
        <v>83</v>
      </c>
      <c r="J135" s="2" t="s">
        <v>41</v>
      </c>
      <c r="K135" s="2" t="s">
        <v>210</v>
      </c>
      <c r="L135" s="2" t="s">
        <v>211</v>
      </c>
      <c r="M135" s="2" t="s">
        <v>94</v>
      </c>
      <c r="N135" s="2" t="s">
        <v>191</v>
      </c>
      <c r="O135" s="2" t="s">
        <v>533</v>
      </c>
      <c r="P135" s="2" t="s">
        <v>51</v>
      </c>
      <c r="Q135" s="2" t="s">
        <v>41</v>
      </c>
      <c r="R135" s="2" t="n">
        <v>8</v>
      </c>
      <c r="S135" s="2" t="n">
        <v>3372.15</v>
      </c>
      <c r="T135" s="2" t="n">
        <v>0.15</v>
      </c>
      <c r="U135" s="2" t="str">
        <f aca="false">IF(ISBLANK(T135),"Yes","No")</f>
        <v>No</v>
      </c>
      <c r="V135" s="2" t="n">
        <f aca="false">IF(ISBLANK(T135),0,IF(ISNUMBER(T135),T135,VALUE(LEFT(T135,LEN(T135)-1))/100))</f>
        <v>0.15</v>
      </c>
      <c r="W135" s="2" t="str">
        <f aca="false">IF(AND(V135&gt;=0,V135&lt;=0.25),"Valid","Invalid")</f>
        <v>Valid</v>
      </c>
      <c r="X135" s="2" t="n">
        <v>22930.62</v>
      </c>
      <c r="Y135" s="2" t="n">
        <f aca="false">R135*S135*(1-V135)</f>
        <v>22930.62</v>
      </c>
      <c r="Z135" s="2" t="str">
        <f aca="false">IF(ABS(X135-Y135)&gt;1,"Mismatch","OK")</f>
        <v>OK</v>
      </c>
      <c r="AA135" s="2" t="n">
        <v>16875.55</v>
      </c>
      <c r="AB135" s="2" t="n">
        <v>6055.07</v>
      </c>
      <c r="AC135" s="2" t="n">
        <f aca="false">Y135-AA135</f>
        <v>6055.07</v>
      </c>
      <c r="AD135" s="2" t="str">
        <f aca="false">IF(ABS(AB135-AC135)&gt;1,"Mismatch","OK")</f>
        <v>OK</v>
      </c>
      <c r="AE135" s="4" t="n">
        <f aca="false">IF(Y135=0,0,AC135/Y135)</f>
        <v>0.264060457152925</v>
      </c>
      <c r="AF135" s="2" t="s">
        <v>52</v>
      </c>
      <c r="AG135" s="2" t="s">
        <v>53</v>
      </c>
      <c r="AH135" s="2" t="str">
        <f aca="false">IF(AND(AG135="Completed",AF135&lt;&gt;"Paid"),"Inconsistent","OK")</f>
        <v>OK</v>
      </c>
      <c r="AI135" s="2" t="n">
        <f aca="false">IF(OR(ISBLANK(B135),ISBLANK(C135)),"",C135-B135)</f>
        <v>5</v>
      </c>
      <c r="AJ135" s="2" t="str">
        <f aca="false">IF(AI135="","Unknown",IF(AI135&lt;0,"Invalid","OK"))</f>
        <v>OK</v>
      </c>
      <c r="AK135" s="2" t="str">
        <f aca="false">IF(ISBLANK(B135),"",TEXT(B135,"mmm"))</f>
        <v>Dec</v>
      </c>
      <c r="AL135" s="2" t="n">
        <f aca="false">IF(ISBLANK(B135),"",YEAR(B135))</f>
        <v>2024</v>
      </c>
      <c r="AM135" s="2" t="s">
        <v>41</v>
      </c>
      <c r="AN135" s="2" t="str">
        <f aca="false">IF(OR(W135="Invalid",AJ135="Invalid",AH135="Inconsistent",Z135="Mismatch",AD135="Mismatch",AM135="Yes",D135="Yes",E135="Yes"),"Invalid",IF(OR(J135="Yes",Q135="Yes",U135="Yes"),"Warning","Clean"))</f>
        <v>Clean</v>
      </c>
    </row>
    <row r="136" customFormat="false" ht="15" hidden="false" customHeight="false" outlineLevel="0" collapsed="false">
      <c r="A136" s="2" t="s">
        <v>534</v>
      </c>
      <c r="B136" s="3" t="n">
        <v>45852</v>
      </c>
      <c r="C136" s="3" t="n">
        <v>45852</v>
      </c>
      <c r="D136" s="2" t="s">
        <v>41</v>
      </c>
      <c r="E136" s="2" t="s">
        <v>41</v>
      </c>
      <c r="F136" s="2" t="s">
        <v>535</v>
      </c>
      <c r="G136" s="2" t="s">
        <v>91</v>
      </c>
      <c r="H136" s="2" t="s">
        <v>115</v>
      </c>
      <c r="I136" s="2" t="s">
        <v>58</v>
      </c>
      <c r="J136" s="2" t="s">
        <v>41</v>
      </c>
      <c r="K136" s="2" t="s">
        <v>119</v>
      </c>
      <c r="L136" s="2" t="s">
        <v>120</v>
      </c>
      <c r="M136" s="2" t="s">
        <v>61</v>
      </c>
      <c r="N136" s="2" t="s">
        <v>178</v>
      </c>
      <c r="O136" s="2" t="s">
        <v>536</v>
      </c>
      <c r="P136" s="2" t="s">
        <v>225</v>
      </c>
      <c r="Q136" s="2" t="s">
        <v>226</v>
      </c>
      <c r="R136" s="2" t="n">
        <v>5</v>
      </c>
      <c r="S136" s="2" t="n">
        <v>383.1</v>
      </c>
      <c r="T136" s="2" t="n">
        <v>0.25</v>
      </c>
      <c r="U136" s="2" t="str">
        <f aca="false">IF(ISBLANK(T136),"Yes","No")</f>
        <v>No</v>
      </c>
      <c r="V136" s="2" t="n">
        <f aca="false">IF(ISBLANK(T136),0,IF(ISNUMBER(T136),T136,VALUE(LEFT(T136,LEN(T136)-1))/100))</f>
        <v>0.25</v>
      </c>
      <c r="W136" s="2" t="str">
        <f aca="false">IF(AND(V136&gt;=0,V136&lt;=0.25),"Valid","Invalid")</f>
        <v>Valid</v>
      </c>
      <c r="X136" s="2" t="n">
        <v>1436.62</v>
      </c>
      <c r="Y136" s="2" t="n">
        <f aca="false">R136*S136*(1-V136)</f>
        <v>1436.625</v>
      </c>
      <c r="Z136" s="2" t="str">
        <f aca="false">IF(ABS(X136-Y136)&gt;1,"Mismatch","OK")</f>
        <v>OK</v>
      </c>
      <c r="AA136" s="2" t="n">
        <v>912.52</v>
      </c>
      <c r="AB136" s="2" t="n">
        <v>524.1</v>
      </c>
      <c r="AC136" s="2" t="n">
        <f aca="false">Y136-AA136</f>
        <v>524.105</v>
      </c>
      <c r="AD136" s="2" t="str">
        <f aca="false">IF(ABS(AB136-AC136)&gt;1,"Mismatch","OK")</f>
        <v>OK</v>
      </c>
      <c r="AE136" s="4" t="n">
        <f aca="false">IF(Y136=0,0,AC136/Y136)</f>
        <v>0.364816845036109</v>
      </c>
      <c r="AF136" s="2" t="s">
        <v>131</v>
      </c>
      <c r="AG136" s="2" t="s">
        <v>88</v>
      </c>
      <c r="AH136" s="2" t="str">
        <f aca="false">IF(AND(AG136="Completed",AF136&lt;&gt;"Paid"),"Inconsistent","OK")</f>
        <v>OK</v>
      </c>
      <c r="AI136" s="2" t="n">
        <f aca="false">IF(OR(ISBLANK(B136),ISBLANK(C136)),"",C136-B136)</f>
        <v>0</v>
      </c>
      <c r="AJ136" s="2" t="str">
        <f aca="false">IF(AI136="","Unknown",IF(AI136&lt;0,"Invalid","OK"))</f>
        <v>OK</v>
      </c>
      <c r="AK136" s="2" t="str">
        <f aca="false">IF(ISBLANK(B136),"",TEXT(B136,"mmm"))</f>
        <v>Jul</v>
      </c>
      <c r="AL136" s="2" t="n">
        <f aca="false">IF(ISBLANK(B136),"",YEAR(B136))</f>
        <v>2025</v>
      </c>
      <c r="AM136" s="2" t="s">
        <v>41</v>
      </c>
      <c r="AN136" s="2" t="str">
        <f aca="false">IF(OR(W136="Invalid",AJ136="Invalid",AH136="Inconsistent",Z136="Mismatch",AD136="Mismatch",AM136="Yes",D136="Yes",E136="Yes"),"Invalid",IF(OR(J136="Yes",Q136="Yes",U136="Yes"),"Warning","Clean"))</f>
        <v>Warning</v>
      </c>
    </row>
    <row r="137" customFormat="false" ht="15" hidden="false" customHeight="false" outlineLevel="0" collapsed="false">
      <c r="A137" s="2" t="s">
        <v>537</v>
      </c>
      <c r="B137" s="3" t="n">
        <v>45893</v>
      </c>
      <c r="C137" s="3" t="n">
        <v>45893</v>
      </c>
      <c r="D137" s="2" t="s">
        <v>41</v>
      </c>
      <c r="E137" s="2" t="s">
        <v>41</v>
      </c>
      <c r="F137" s="2" t="s">
        <v>538</v>
      </c>
      <c r="G137" s="2" t="s">
        <v>182</v>
      </c>
      <c r="H137" s="2" t="s">
        <v>57</v>
      </c>
      <c r="I137" s="2" t="s">
        <v>74</v>
      </c>
      <c r="J137" s="2" t="s">
        <v>41</v>
      </c>
      <c r="K137" s="2" t="s">
        <v>205</v>
      </c>
      <c r="L137" s="2" t="s">
        <v>206</v>
      </c>
      <c r="M137" s="2" t="s">
        <v>61</v>
      </c>
      <c r="N137" s="2" t="s">
        <v>178</v>
      </c>
      <c r="O137" s="2" t="s">
        <v>539</v>
      </c>
      <c r="P137" s="2" t="s">
        <v>79</v>
      </c>
      <c r="Q137" s="2" t="s">
        <v>41</v>
      </c>
      <c r="R137" s="2" t="n">
        <v>1</v>
      </c>
      <c r="S137" s="2" t="n">
        <v>3424.78</v>
      </c>
      <c r="T137" s="2" t="n">
        <v>0</v>
      </c>
      <c r="U137" s="2" t="str">
        <f aca="false">IF(ISBLANK(T137),"Yes","No")</f>
        <v>No</v>
      </c>
      <c r="V137" s="2" t="n">
        <f aca="false">IF(ISBLANK(T137),0,IF(ISNUMBER(T137),T137,VALUE(LEFT(T137,LEN(T137)-1))/100))</f>
        <v>0</v>
      </c>
      <c r="W137" s="2" t="str">
        <f aca="false">IF(AND(V137&gt;=0,V137&lt;=0.25),"Valid","Invalid")</f>
        <v>Valid</v>
      </c>
      <c r="X137" s="2" t="n">
        <v>3424.78</v>
      </c>
      <c r="Y137" s="2" t="n">
        <f aca="false">R137*S137*(1-V137)</f>
        <v>3424.78</v>
      </c>
      <c r="Z137" s="2" t="str">
        <f aca="false">IF(ABS(X137-Y137)&gt;1,"Mismatch","OK")</f>
        <v>OK</v>
      </c>
      <c r="AA137" s="2" t="n">
        <v>1951.45</v>
      </c>
      <c r="AB137" s="2" t="n">
        <v>1473.33</v>
      </c>
      <c r="AC137" s="2" t="n">
        <f aca="false">Y137-AA137</f>
        <v>1473.33</v>
      </c>
      <c r="AD137" s="2" t="str">
        <f aca="false">IF(ABS(AB137-AC137)&gt;1,"Mismatch","OK")</f>
        <v>OK</v>
      </c>
      <c r="AE137" s="4" t="n">
        <f aca="false">IF(Y137=0,0,AC137/Y137)</f>
        <v>0.430196976156133</v>
      </c>
      <c r="AF137" s="2" t="s">
        <v>52</v>
      </c>
      <c r="AG137" s="2" t="s">
        <v>53</v>
      </c>
      <c r="AH137" s="2" t="str">
        <f aca="false">IF(AND(AG137="Completed",AF137&lt;&gt;"Paid"),"Inconsistent","OK")</f>
        <v>OK</v>
      </c>
      <c r="AI137" s="2" t="n">
        <f aca="false">IF(OR(ISBLANK(B137),ISBLANK(C137)),"",C137-B137)</f>
        <v>0</v>
      </c>
      <c r="AJ137" s="2" t="str">
        <f aca="false">IF(AI137="","Unknown",IF(AI137&lt;0,"Invalid","OK"))</f>
        <v>OK</v>
      </c>
      <c r="AK137" s="2" t="str">
        <f aca="false">IF(ISBLANK(B137),"",TEXT(B137,"mmm"))</f>
        <v>Aug</v>
      </c>
      <c r="AL137" s="2" t="n">
        <f aca="false">IF(ISBLANK(B137),"",YEAR(B137))</f>
        <v>2025</v>
      </c>
      <c r="AM137" s="2" t="s">
        <v>41</v>
      </c>
      <c r="AN137" s="2" t="str">
        <f aca="false">IF(OR(W137="Invalid",AJ137="Invalid",AH137="Inconsistent",Z137="Mismatch",AD137="Mismatch",AM137="Yes",D137="Yes",E137="Yes"),"Invalid",IF(OR(J137="Yes",Q137="Yes",U137="Yes"),"Warning","Clean"))</f>
        <v>Clean</v>
      </c>
    </row>
    <row r="138" customFormat="false" ht="15" hidden="false" customHeight="false" outlineLevel="0" collapsed="false">
      <c r="A138" s="2" t="s">
        <v>540</v>
      </c>
      <c r="B138" s="3" t="n">
        <v>45697</v>
      </c>
      <c r="C138" s="3" t="n">
        <v>45703</v>
      </c>
      <c r="D138" s="2" t="s">
        <v>41</v>
      </c>
      <c r="E138" s="2" t="s">
        <v>41</v>
      </c>
      <c r="F138" s="2" t="s">
        <v>541</v>
      </c>
      <c r="G138" s="2" t="s">
        <v>56</v>
      </c>
      <c r="H138" s="2" t="s">
        <v>115</v>
      </c>
      <c r="I138" s="2" t="s">
        <v>58</v>
      </c>
      <c r="J138" s="2" t="s">
        <v>41</v>
      </c>
      <c r="K138" s="2" t="s">
        <v>250</v>
      </c>
      <c r="L138" s="2" t="s">
        <v>251</v>
      </c>
      <c r="M138" s="2" t="s">
        <v>48</v>
      </c>
      <c r="N138" s="2" t="s">
        <v>173</v>
      </c>
      <c r="O138" s="2" t="s">
        <v>542</v>
      </c>
      <c r="P138" s="2" t="s">
        <v>79</v>
      </c>
      <c r="Q138" s="2" t="s">
        <v>41</v>
      </c>
      <c r="R138" s="2" t="n">
        <v>9</v>
      </c>
      <c r="S138" s="2" t="n">
        <v>4330.33</v>
      </c>
      <c r="T138" s="2" t="n">
        <v>0.2</v>
      </c>
      <c r="U138" s="2" t="str">
        <f aca="false">IF(ISBLANK(T138),"Yes","No")</f>
        <v>No</v>
      </c>
      <c r="V138" s="2" t="n">
        <f aca="false">IF(ISBLANK(T138),0,IF(ISNUMBER(T138),T138,VALUE(LEFT(T138,LEN(T138)-1))/100))</f>
        <v>0.2</v>
      </c>
      <c r="W138" s="2" t="str">
        <f aca="false">IF(AND(V138&gt;=0,V138&lt;=0.25),"Valid","Invalid")</f>
        <v>Valid</v>
      </c>
      <c r="X138" s="2" t="n">
        <v>31178.38</v>
      </c>
      <c r="Y138" s="2" t="n">
        <f aca="false">R138*S138*(1-V138)</f>
        <v>31178.376</v>
      </c>
      <c r="Z138" s="2" t="str">
        <f aca="false">IF(ABS(X138-Y138)&gt;1,"Mismatch","OK")</f>
        <v>OK</v>
      </c>
      <c r="AA138" s="2" t="n">
        <v>21421.09</v>
      </c>
      <c r="AB138" s="2" t="n">
        <v>9757.29</v>
      </c>
      <c r="AC138" s="2" t="n">
        <f aca="false">Y138-AA138</f>
        <v>9757.286</v>
      </c>
      <c r="AD138" s="2" t="str">
        <f aca="false">IF(ABS(AB138-AC138)&gt;1,"Mismatch","OK")</f>
        <v>OK</v>
      </c>
      <c r="AE138" s="4" t="n">
        <f aca="false">IF(Y138=0,0,AC138/Y138)</f>
        <v>0.312950424358216</v>
      </c>
      <c r="AF138" s="2" t="s">
        <v>52</v>
      </c>
      <c r="AG138" s="2" t="s">
        <v>53</v>
      </c>
      <c r="AH138" s="2" t="str">
        <f aca="false">IF(AND(AG138="Completed",AF138&lt;&gt;"Paid"),"Inconsistent","OK")</f>
        <v>OK</v>
      </c>
      <c r="AI138" s="2" t="n">
        <f aca="false">IF(OR(ISBLANK(B138),ISBLANK(C138)),"",C138-B138)</f>
        <v>6</v>
      </c>
      <c r="AJ138" s="2" t="str">
        <f aca="false">IF(AI138="","Unknown",IF(AI138&lt;0,"Invalid","OK"))</f>
        <v>OK</v>
      </c>
      <c r="AK138" s="2" t="str">
        <f aca="false">IF(ISBLANK(B138),"",TEXT(B138,"mmm"))</f>
        <v>Feb</v>
      </c>
      <c r="AL138" s="2" t="n">
        <f aca="false">IF(ISBLANK(B138),"",YEAR(B138))</f>
        <v>2025</v>
      </c>
      <c r="AM138" s="2" t="s">
        <v>41</v>
      </c>
      <c r="AN138" s="2" t="str">
        <f aca="false">IF(OR(W138="Invalid",AJ138="Invalid",AH138="Inconsistent",Z138="Mismatch",AD138="Mismatch",AM138="Yes",D138="Yes",E138="Yes"),"Invalid",IF(OR(J138="Yes",Q138="Yes",U138="Yes"),"Warning","Clean"))</f>
        <v>Clean</v>
      </c>
    </row>
    <row r="139" customFormat="false" ht="15" hidden="false" customHeight="false" outlineLevel="0" collapsed="false">
      <c r="A139" s="2" t="s">
        <v>543</v>
      </c>
      <c r="B139" s="3" t="n">
        <v>45666</v>
      </c>
      <c r="C139" s="3" t="n">
        <v>45666</v>
      </c>
      <c r="D139" s="2" t="s">
        <v>41</v>
      </c>
      <c r="E139" s="2" t="s">
        <v>41</v>
      </c>
      <c r="F139" s="2" t="s">
        <v>544</v>
      </c>
      <c r="G139" s="2" t="s">
        <v>152</v>
      </c>
      <c r="H139" s="2" t="s">
        <v>57</v>
      </c>
      <c r="I139" s="2" t="s">
        <v>45</v>
      </c>
      <c r="J139" s="2" t="s">
        <v>41</v>
      </c>
      <c r="K139" s="2" t="s">
        <v>46</v>
      </c>
      <c r="L139" s="2" t="s">
        <v>47</v>
      </c>
      <c r="M139" s="2" t="s">
        <v>61</v>
      </c>
      <c r="N139" s="2" t="s">
        <v>86</v>
      </c>
      <c r="O139" s="2" t="s">
        <v>545</v>
      </c>
      <c r="P139" s="2" t="s">
        <v>64</v>
      </c>
      <c r="Q139" s="2" t="s">
        <v>41</v>
      </c>
      <c r="R139" s="2" t="n">
        <v>8</v>
      </c>
      <c r="S139" s="2" t="n">
        <v>2667.07</v>
      </c>
      <c r="T139" s="2" t="n">
        <v>0.1</v>
      </c>
      <c r="U139" s="2" t="str">
        <f aca="false">IF(ISBLANK(T139),"Yes","No")</f>
        <v>No</v>
      </c>
      <c r="V139" s="2" t="n">
        <f aca="false">IF(ISBLANK(T139),0,IF(ISNUMBER(T139),T139,VALUE(LEFT(T139,LEN(T139)-1))/100))</f>
        <v>0.1</v>
      </c>
      <c r="W139" s="2" t="str">
        <f aca="false">IF(AND(V139&gt;=0,V139&lt;=0.25),"Valid","Invalid")</f>
        <v>Valid</v>
      </c>
      <c r="X139" s="2" t="n">
        <v>19202.9</v>
      </c>
      <c r="Y139" s="2" t="n">
        <f aca="false">R139*S139*(1-V139)</f>
        <v>19202.904</v>
      </c>
      <c r="Z139" s="2" t="str">
        <f aca="false">IF(ABS(X139-Y139)&gt;1,"Mismatch","OK")</f>
        <v>OK</v>
      </c>
      <c r="AA139" s="2" t="n">
        <v>15526.62</v>
      </c>
      <c r="AB139" s="2" t="n">
        <v>3676.28</v>
      </c>
      <c r="AC139" s="2" t="n">
        <f aca="false">Y139-AA139</f>
        <v>3676.284</v>
      </c>
      <c r="AD139" s="2" t="str">
        <f aca="false">IF(ABS(AB139-AC139)&gt;1,"Mismatch","OK")</f>
        <v>OK</v>
      </c>
      <c r="AE139" s="4" t="n">
        <f aca="false">IF(Y139=0,0,AC139/Y139)</f>
        <v>0.191444169069428</v>
      </c>
      <c r="AF139" s="2" t="s">
        <v>52</v>
      </c>
      <c r="AG139" s="2" t="s">
        <v>53</v>
      </c>
      <c r="AH139" s="2" t="str">
        <f aca="false">IF(AND(AG139="Completed",AF139&lt;&gt;"Paid"),"Inconsistent","OK")</f>
        <v>OK</v>
      </c>
      <c r="AI139" s="2" t="n">
        <f aca="false">IF(OR(ISBLANK(B139),ISBLANK(C139)),"",C139-B139)</f>
        <v>0</v>
      </c>
      <c r="AJ139" s="2" t="str">
        <f aca="false">IF(AI139="","Unknown",IF(AI139&lt;0,"Invalid","OK"))</f>
        <v>OK</v>
      </c>
      <c r="AK139" s="2" t="str">
        <f aca="false">IF(ISBLANK(B139),"",TEXT(B139,"mmm"))</f>
        <v>Jan</v>
      </c>
      <c r="AL139" s="2" t="n">
        <f aca="false">IF(ISBLANK(B139),"",YEAR(B139))</f>
        <v>2025</v>
      </c>
      <c r="AM139" s="2" t="s">
        <v>41</v>
      </c>
      <c r="AN139" s="2" t="str">
        <f aca="false">IF(OR(W139="Invalid",AJ139="Invalid",AH139="Inconsistent",Z139="Mismatch",AD139="Mismatch",AM139="Yes",D139="Yes",E139="Yes"),"Invalid",IF(OR(J139="Yes",Q139="Yes",U139="Yes"),"Warning","Clean"))</f>
        <v>Clean</v>
      </c>
    </row>
    <row r="140" customFormat="false" ht="15" hidden="false" customHeight="false" outlineLevel="0" collapsed="false">
      <c r="A140" s="2" t="s">
        <v>546</v>
      </c>
      <c r="B140" s="3" t="n">
        <v>45311</v>
      </c>
      <c r="C140" s="3" t="n">
        <v>45317</v>
      </c>
      <c r="D140" s="2" t="s">
        <v>41</v>
      </c>
      <c r="E140" s="2" t="s">
        <v>41</v>
      </c>
      <c r="F140" s="2" t="s">
        <v>547</v>
      </c>
      <c r="G140" s="2" t="s">
        <v>182</v>
      </c>
      <c r="H140" s="2" t="s">
        <v>115</v>
      </c>
      <c r="I140" s="2" t="s">
        <v>58</v>
      </c>
      <c r="J140" s="2" t="s">
        <v>41</v>
      </c>
      <c r="K140" s="2" t="s">
        <v>250</v>
      </c>
      <c r="L140" s="2" t="s">
        <v>251</v>
      </c>
      <c r="M140" s="2" t="s">
        <v>94</v>
      </c>
      <c r="N140" s="2" t="s">
        <v>296</v>
      </c>
      <c r="O140" s="2" t="s">
        <v>548</v>
      </c>
      <c r="P140" s="2" t="s">
        <v>79</v>
      </c>
      <c r="Q140" s="2" t="s">
        <v>41</v>
      </c>
      <c r="R140" s="2" t="n">
        <v>8</v>
      </c>
      <c r="S140" s="2" t="n">
        <v>4003.05</v>
      </c>
      <c r="T140" s="2" t="n">
        <v>0.25</v>
      </c>
      <c r="U140" s="2" t="str">
        <f aca="false">IF(ISBLANK(T140),"Yes","No")</f>
        <v>No</v>
      </c>
      <c r="V140" s="2" t="n">
        <f aca="false">IF(ISBLANK(T140),0,IF(ISNUMBER(T140),T140,VALUE(LEFT(T140,LEN(T140)-1))/100))</f>
        <v>0.25</v>
      </c>
      <c r="W140" s="2" t="str">
        <f aca="false">IF(AND(V140&gt;=0,V140&lt;=0.25),"Valid","Invalid")</f>
        <v>Valid</v>
      </c>
      <c r="X140" s="2" t="n">
        <v>24018.3</v>
      </c>
      <c r="Y140" s="2" t="n">
        <f aca="false">R140*S140*(1-V140)</f>
        <v>24018.3</v>
      </c>
      <c r="Z140" s="2" t="str">
        <f aca="false">IF(ABS(X140-Y140)&gt;1,"Mismatch","OK")</f>
        <v>OK</v>
      </c>
      <c r="AA140" s="2" t="n">
        <v>14070.78</v>
      </c>
      <c r="AB140" s="2" t="n">
        <v>9947.52</v>
      </c>
      <c r="AC140" s="2" t="n">
        <f aca="false">Y140-AA140</f>
        <v>9947.52</v>
      </c>
      <c r="AD140" s="2" t="str">
        <f aca="false">IF(ABS(AB140-AC140)&gt;1,"Mismatch","OK")</f>
        <v>OK</v>
      </c>
      <c r="AE140" s="4" t="n">
        <f aca="false">IF(Y140=0,0,AC140/Y140)</f>
        <v>0.414164199797654</v>
      </c>
      <c r="AF140" s="2" t="s">
        <v>52</v>
      </c>
      <c r="AG140" s="2" t="s">
        <v>53</v>
      </c>
      <c r="AH140" s="2" t="str">
        <f aca="false">IF(AND(AG140="Completed",AF140&lt;&gt;"Paid"),"Inconsistent","OK")</f>
        <v>OK</v>
      </c>
      <c r="AI140" s="2" t="n">
        <f aca="false">IF(OR(ISBLANK(B140),ISBLANK(C140)),"",C140-B140)</f>
        <v>6</v>
      </c>
      <c r="AJ140" s="2" t="str">
        <f aca="false">IF(AI140="","Unknown",IF(AI140&lt;0,"Invalid","OK"))</f>
        <v>OK</v>
      </c>
      <c r="AK140" s="2" t="str">
        <f aca="false">IF(ISBLANK(B140),"",TEXT(B140,"mmm"))</f>
        <v>Jan</v>
      </c>
      <c r="AL140" s="2" t="n">
        <f aca="false">IF(ISBLANK(B140),"",YEAR(B140))</f>
        <v>2024</v>
      </c>
      <c r="AM140" s="2" t="s">
        <v>41</v>
      </c>
      <c r="AN140" s="2" t="str">
        <f aca="false">IF(OR(W140="Invalid",AJ140="Invalid",AH140="Inconsistent",Z140="Mismatch",AD140="Mismatch",AM140="Yes",D140="Yes",E140="Yes"),"Invalid",IF(OR(J140="Yes",Q140="Yes",U140="Yes"),"Warning","Clean"))</f>
        <v>Clean</v>
      </c>
    </row>
    <row r="141" customFormat="false" ht="15" hidden="false" customHeight="false" outlineLevel="0" collapsed="false">
      <c r="A141" s="2" t="s">
        <v>549</v>
      </c>
      <c r="B141" s="3" t="n">
        <v>45718</v>
      </c>
      <c r="C141" s="3" t="n">
        <v>45723</v>
      </c>
      <c r="D141" s="2" t="s">
        <v>41</v>
      </c>
      <c r="E141" s="2" t="s">
        <v>41</v>
      </c>
      <c r="F141" s="2" t="s">
        <v>550</v>
      </c>
      <c r="G141" s="2" t="s">
        <v>99</v>
      </c>
      <c r="H141" s="2" t="s">
        <v>115</v>
      </c>
      <c r="I141" s="2" t="s">
        <v>74</v>
      </c>
      <c r="J141" s="2" t="s">
        <v>41</v>
      </c>
      <c r="K141" s="2" t="s">
        <v>195</v>
      </c>
      <c r="L141" s="2" t="s">
        <v>196</v>
      </c>
      <c r="M141" s="2" t="s">
        <v>48</v>
      </c>
      <c r="N141" s="2" t="s">
        <v>111</v>
      </c>
      <c r="O141" s="2" t="s">
        <v>551</v>
      </c>
      <c r="P141" s="2" t="s">
        <v>79</v>
      </c>
      <c r="Q141" s="2" t="s">
        <v>41</v>
      </c>
      <c r="R141" s="2" t="n">
        <v>8</v>
      </c>
      <c r="S141" s="2" t="n">
        <v>1287.63</v>
      </c>
      <c r="T141" s="2" t="n">
        <v>0</v>
      </c>
      <c r="U141" s="2" t="str">
        <f aca="false">IF(ISBLANK(T141),"Yes","No")</f>
        <v>No</v>
      </c>
      <c r="V141" s="2" t="n">
        <f aca="false">IF(ISBLANK(T141),0,IF(ISNUMBER(T141),T141,VALUE(LEFT(T141,LEN(T141)-1))/100))</f>
        <v>0</v>
      </c>
      <c r="W141" s="2" t="str">
        <f aca="false">IF(AND(V141&gt;=0,V141&lt;=0.25),"Valid","Invalid")</f>
        <v>Valid</v>
      </c>
      <c r="X141" s="2" t="n">
        <v>10301.04</v>
      </c>
      <c r="Y141" s="2" t="n">
        <f aca="false">R141*S141*(1-V141)</f>
        <v>10301.04</v>
      </c>
      <c r="Z141" s="2" t="str">
        <f aca="false">IF(ABS(X141-Y141)&gt;1,"Mismatch","OK")</f>
        <v>OK</v>
      </c>
      <c r="AA141" s="2" t="n">
        <v>6564.06</v>
      </c>
      <c r="AB141" s="2" t="n">
        <v>3736.98</v>
      </c>
      <c r="AC141" s="2" t="n">
        <f aca="false">Y141-AA141</f>
        <v>3736.98</v>
      </c>
      <c r="AD141" s="2" t="str">
        <f aca="false">IF(ABS(AB141-AC141)&gt;1,"Mismatch","OK")</f>
        <v>OK</v>
      </c>
      <c r="AE141" s="4" t="n">
        <f aca="false">IF(Y141=0,0,AC141/Y141)</f>
        <v>0.362776962326134</v>
      </c>
      <c r="AF141" s="2" t="s">
        <v>52</v>
      </c>
      <c r="AG141" s="2" t="s">
        <v>53</v>
      </c>
      <c r="AH141" s="2" t="str">
        <f aca="false">IF(AND(AG141="Completed",AF141&lt;&gt;"Paid"),"Inconsistent","OK")</f>
        <v>OK</v>
      </c>
      <c r="AI141" s="2" t="n">
        <f aca="false">IF(OR(ISBLANK(B141),ISBLANK(C141)),"",C141-B141)</f>
        <v>5</v>
      </c>
      <c r="AJ141" s="2" t="str">
        <f aca="false">IF(AI141="","Unknown",IF(AI141&lt;0,"Invalid","OK"))</f>
        <v>OK</v>
      </c>
      <c r="AK141" s="2" t="str">
        <f aca="false">IF(ISBLANK(B141),"",TEXT(B141,"mmm"))</f>
        <v>Mar</v>
      </c>
      <c r="AL141" s="2" t="n">
        <f aca="false">IF(ISBLANK(B141),"",YEAR(B141))</f>
        <v>2025</v>
      </c>
      <c r="AM141" s="2" t="s">
        <v>41</v>
      </c>
      <c r="AN141" s="2" t="str">
        <f aca="false">IF(OR(W141="Invalid",AJ141="Invalid",AH141="Inconsistent",Z141="Mismatch",AD141="Mismatch",AM141="Yes",D141="Yes",E141="Yes"),"Invalid",IF(OR(J141="Yes",Q141="Yes",U141="Yes"),"Warning","Clean"))</f>
        <v>Clean</v>
      </c>
    </row>
    <row r="142" customFormat="false" ht="15" hidden="false" customHeight="false" outlineLevel="0" collapsed="false">
      <c r="A142" s="2" t="s">
        <v>552</v>
      </c>
      <c r="B142" s="3" t="n">
        <v>45443</v>
      </c>
      <c r="C142" s="3" t="n">
        <v>45444</v>
      </c>
      <c r="D142" s="2" t="s">
        <v>41</v>
      </c>
      <c r="E142" s="2" t="s">
        <v>41</v>
      </c>
      <c r="F142" s="2" t="s">
        <v>553</v>
      </c>
      <c r="G142" s="2" t="s">
        <v>56</v>
      </c>
      <c r="H142" s="2" t="s">
        <v>110</v>
      </c>
      <c r="I142" s="2" t="s">
        <v>74</v>
      </c>
      <c r="J142" s="2" t="s">
        <v>41</v>
      </c>
      <c r="K142" s="2" t="s">
        <v>195</v>
      </c>
      <c r="L142" s="2" t="s">
        <v>196</v>
      </c>
      <c r="M142" s="2" t="s">
        <v>61</v>
      </c>
      <c r="N142" s="2" t="s">
        <v>178</v>
      </c>
      <c r="O142" s="2" t="s">
        <v>554</v>
      </c>
      <c r="P142" s="2" t="s">
        <v>64</v>
      </c>
      <c r="Q142" s="2" t="s">
        <v>41</v>
      </c>
      <c r="R142" s="2" t="n">
        <v>3</v>
      </c>
      <c r="S142" s="2" t="n">
        <v>2914.55</v>
      </c>
      <c r="T142" s="2" t="n">
        <v>0</v>
      </c>
      <c r="U142" s="2" t="str">
        <f aca="false">IF(ISBLANK(T142),"Yes","No")</f>
        <v>No</v>
      </c>
      <c r="V142" s="2" t="n">
        <f aca="false">IF(ISBLANK(T142),0,IF(ISNUMBER(T142),T142,VALUE(LEFT(T142,LEN(T142)-1))/100))</f>
        <v>0</v>
      </c>
      <c r="W142" s="2" t="str">
        <f aca="false">IF(AND(V142&gt;=0,V142&lt;=0.25),"Valid","Invalid")</f>
        <v>Valid</v>
      </c>
      <c r="X142" s="2" t="n">
        <v>8743.65</v>
      </c>
      <c r="Y142" s="2" t="n">
        <f aca="false">R142*S142*(1-V142)</f>
        <v>8743.65</v>
      </c>
      <c r="Z142" s="2" t="str">
        <f aca="false">IF(ABS(X142-Y142)&gt;1,"Mismatch","OK")</f>
        <v>OK</v>
      </c>
      <c r="AA142" s="2" t="n">
        <v>6603.76</v>
      </c>
      <c r="AB142" s="2" t="n">
        <v>2139.89</v>
      </c>
      <c r="AC142" s="2" t="n">
        <f aca="false">Y142-AA142</f>
        <v>2139.89</v>
      </c>
      <c r="AD142" s="2" t="str">
        <f aca="false">IF(ABS(AB142-AC142)&gt;1,"Mismatch","OK")</f>
        <v>OK</v>
      </c>
      <c r="AE142" s="4" t="n">
        <f aca="false">IF(Y142=0,0,AC142/Y142)</f>
        <v>0.244736465892391</v>
      </c>
      <c r="AF142" s="2" t="s">
        <v>52</v>
      </c>
      <c r="AG142" s="2" t="s">
        <v>53</v>
      </c>
      <c r="AH142" s="2" t="str">
        <f aca="false">IF(AND(AG142="Completed",AF142&lt;&gt;"Paid"),"Inconsistent","OK")</f>
        <v>OK</v>
      </c>
      <c r="AI142" s="2" t="n">
        <f aca="false">IF(OR(ISBLANK(B142),ISBLANK(C142)),"",C142-B142)</f>
        <v>1</v>
      </c>
      <c r="AJ142" s="2" t="str">
        <f aca="false">IF(AI142="","Unknown",IF(AI142&lt;0,"Invalid","OK"))</f>
        <v>OK</v>
      </c>
      <c r="AK142" s="2" t="str">
        <f aca="false">IF(ISBLANK(B142),"",TEXT(B142,"mmm"))</f>
        <v>May</v>
      </c>
      <c r="AL142" s="2" t="n">
        <f aca="false">IF(ISBLANK(B142),"",YEAR(B142))</f>
        <v>2024</v>
      </c>
      <c r="AM142" s="2" t="s">
        <v>41</v>
      </c>
      <c r="AN142" s="2" t="str">
        <f aca="false">IF(OR(W142="Invalid",AJ142="Invalid",AH142="Inconsistent",Z142="Mismatch",AD142="Mismatch",AM142="Yes",D142="Yes",E142="Yes"),"Invalid",IF(OR(J142="Yes",Q142="Yes",U142="Yes"),"Warning","Clean"))</f>
        <v>Clean</v>
      </c>
    </row>
    <row r="143" customFormat="false" ht="15" hidden="false" customHeight="false" outlineLevel="0" collapsed="false">
      <c r="A143" s="2" t="s">
        <v>555</v>
      </c>
      <c r="B143" s="3" t="n">
        <v>45374</v>
      </c>
      <c r="C143" s="3" t="n">
        <v>45380</v>
      </c>
      <c r="D143" s="2" t="s">
        <v>41</v>
      </c>
      <c r="E143" s="2" t="s">
        <v>41</v>
      </c>
      <c r="F143" s="2" t="s">
        <v>556</v>
      </c>
      <c r="G143" s="2" t="s">
        <v>134</v>
      </c>
      <c r="H143" s="2" t="s">
        <v>110</v>
      </c>
      <c r="I143" s="2" t="s">
        <v>45</v>
      </c>
      <c r="J143" s="2" t="s">
        <v>41</v>
      </c>
      <c r="K143" s="2" t="s">
        <v>372</v>
      </c>
      <c r="L143" s="2" t="s">
        <v>373</v>
      </c>
      <c r="M143" s="2" t="s">
        <v>61</v>
      </c>
      <c r="N143" s="2" t="s">
        <v>178</v>
      </c>
      <c r="O143" s="2" t="s">
        <v>557</v>
      </c>
      <c r="P143" s="2" t="s">
        <v>64</v>
      </c>
      <c r="Q143" s="2" t="s">
        <v>41</v>
      </c>
      <c r="R143" s="2" t="n">
        <v>7</v>
      </c>
      <c r="S143" s="2" t="n">
        <v>634.29</v>
      </c>
      <c r="T143" s="2" t="n">
        <v>0.1</v>
      </c>
      <c r="U143" s="2" t="str">
        <f aca="false">IF(ISBLANK(T143),"Yes","No")</f>
        <v>No</v>
      </c>
      <c r="V143" s="2" t="n">
        <f aca="false">IF(ISBLANK(T143),0,IF(ISNUMBER(T143),T143,VALUE(LEFT(T143,LEN(T143)-1))/100))</f>
        <v>0.1</v>
      </c>
      <c r="W143" s="2" t="str">
        <f aca="false">IF(AND(V143&gt;=0,V143&lt;=0.25),"Valid","Invalid")</f>
        <v>Valid</v>
      </c>
      <c r="X143" s="2" t="n">
        <v>3996.03</v>
      </c>
      <c r="Y143" s="2" t="n">
        <f aca="false">R143*S143*(1-V143)</f>
        <v>3996.027</v>
      </c>
      <c r="Z143" s="2" t="str">
        <f aca="false">IF(ABS(X143-Y143)&gt;1,"Mismatch","OK")</f>
        <v>OK</v>
      </c>
      <c r="AA143" s="2" t="n">
        <v>2859.51</v>
      </c>
      <c r="AB143" s="2" t="n">
        <v>1136.52</v>
      </c>
      <c r="AC143" s="2" t="n">
        <f aca="false">Y143-AA143</f>
        <v>1136.517</v>
      </c>
      <c r="AD143" s="2" t="str">
        <f aca="false">IF(ABS(AB143-AC143)&gt;1,"Mismatch","OK")</f>
        <v>OK</v>
      </c>
      <c r="AE143" s="4" t="n">
        <f aca="false">IF(Y143=0,0,AC143/Y143)</f>
        <v>0.284411741962704</v>
      </c>
      <c r="AF143" s="2" t="s">
        <v>52</v>
      </c>
      <c r="AG143" s="2" t="s">
        <v>123</v>
      </c>
      <c r="AH143" s="2" t="str">
        <f aca="false">IF(AND(AG143="Completed",AF143&lt;&gt;"Paid"),"Inconsistent","OK")</f>
        <v>OK</v>
      </c>
      <c r="AI143" s="2" t="n">
        <f aca="false">IF(OR(ISBLANK(B143),ISBLANK(C143)),"",C143-B143)</f>
        <v>6</v>
      </c>
      <c r="AJ143" s="2" t="str">
        <f aca="false">IF(AI143="","Unknown",IF(AI143&lt;0,"Invalid","OK"))</f>
        <v>OK</v>
      </c>
      <c r="AK143" s="2" t="str">
        <f aca="false">IF(ISBLANK(B143),"",TEXT(B143,"mmm"))</f>
        <v>Mar</v>
      </c>
      <c r="AL143" s="2" t="n">
        <f aca="false">IF(ISBLANK(B143),"",YEAR(B143))</f>
        <v>2024</v>
      </c>
      <c r="AM143" s="2" t="s">
        <v>41</v>
      </c>
      <c r="AN143" s="2" t="str">
        <f aca="false">IF(OR(W143="Invalid",AJ143="Invalid",AH143="Inconsistent",Z143="Mismatch",AD143="Mismatch",AM143="Yes",D143="Yes",E143="Yes"),"Invalid",IF(OR(J143="Yes",Q143="Yes",U143="Yes"),"Warning","Clean"))</f>
        <v>Clean</v>
      </c>
    </row>
    <row r="144" customFormat="false" ht="15" hidden="false" customHeight="false" outlineLevel="0" collapsed="false">
      <c r="A144" s="2" t="s">
        <v>558</v>
      </c>
      <c r="B144" s="3" t="n">
        <v>45381</v>
      </c>
      <c r="C144" s="3" t="n">
        <v>45377</v>
      </c>
      <c r="D144" s="2" t="s">
        <v>41</v>
      </c>
      <c r="E144" s="2" t="s">
        <v>41</v>
      </c>
      <c r="F144" s="2" t="s">
        <v>559</v>
      </c>
      <c r="G144" s="2" t="s">
        <v>109</v>
      </c>
      <c r="H144" s="2" t="s">
        <v>115</v>
      </c>
      <c r="I144" s="2" t="s">
        <v>45</v>
      </c>
      <c r="J144" s="2" t="s">
        <v>41</v>
      </c>
      <c r="K144" s="2" t="s">
        <v>46</v>
      </c>
      <c r="L144" s="2" t="s">
        <v>47</v>
      </c>
      <c r="M144" s="2" t="s">
        <v>94</v>
      </c>
      <c r="N144" s="2" t="s">
        <v>191</v>
      </c>
      <c r="O144" s="2" t="s">
        <v>560</v>
      </c>
      <c r="P144" s="2" t="s">
        <v>51</v>
      </c>
      <c r="Q144" s="2" t="s">
        <v>41</v>
      </c>
      <c r="R144" s="2" t="n">
        <v>5</v>
      </c>
      <c r="S144" s="2" t="n">
        <v>907.54</v>
      </c>
      <c r="T144" s="2" t="n">
        <v>0.15</v>
      </c>
      <c r="U144" s="2" t="str">
        <f aca="false">IF(ISBLANK(T144),"Yes","No")</f>
        <v>No</v>
      </c>
      <c r="V144" s="2" t="n">
        <f aca="false">IF(ISBLANK(T144),0,IF(ISNUMBER(T144),T144,VALUE(LEFT(T144,LEN(T144)-1))/100))</f>
        <v>0.15</v>
      </c>
      <c r="W144" s="2" t="str">
        <f aca="false">IF(AND(V144&gt;=0,V144&lt;=0.25),"Valid","Invalid")</f>
        <v>Valid</v>
      </c>
      <c r="X144" s="2" t="n">
        <v>3857.04</v>
      </c>
      <c r="Y144" s="2" t="n">
        <f aca="false">R144*S144*(1-V144)</f>
        <v>3857.045</v>
      </c>
      <c r="Z144" s="2" t="str">
        <f aca="false">IF(ABS(X144-Y144)&gt;1,"Mismatch","OK")</f>
        <v>OK</v>
      </c>
      <c r="AA144" s="2" t="n">
        <v>2769.26</v>
      </c>
      <c r="AB144" s="2" t="n">
        <v>1087.78</v>
      </c>
      <c r="AC144" s="2" t="n">
        <f aca="false">Y144-AA144</f>
        <v>1087.785</v>
      </c>
      <c r="AD144" s="2" t="str">
        <f aca="false">IF(ABS(AB144-AC144)&gt;1,"Mismatch","OK")</f>
        <v>OK</v>
      </c>
      <c r="AE144" s="4" t="n">
        <f aca="false">IF(Y144=0,0,AC144/Y144)</f>
        <v>0.282025488424428</v>
      </c>
      <c r="AF144" s="2" t="s">
        <v>52</v>
      </c>
      <c r="AG144" s="2" t="s">
        <v>53</v>
      </c>
      <c r="AH144" s="2" t="str">
        <f aca="false">IF(AND(AG144="Completed",AF144&lt;&gt;"Paid"),"Inconsistent","OK")</f>
        <v>OK</v>
      </c>
      <c r="AI144" s="2" t="n">
        <f aca="false">IF(OR(ISBLANK(B144),ISBLANK(C144)),"",C144-B144)</f>
        <v>-4</v>
      </c>
      <c r="AJ144" s="2" t="str">
        <f aca="false">IF(AI144="","Unknown",IF(AI144&lt;0,"Invalid","OK"))</f>
        <v>Invalid</v>
      </c>
      <c r="AK144" s="2" t="str">
        <f aca="false">IF(ISBLANK(B144),"",TEXT(B144,"mmm"))</f>
        <v>Mar</v>
      </c>
      <c r="AL144" s="2" t="n">
        <f aca="false">IF(ISBLANK(B144),"",YEAR(B144))</f>
        <v>2024</v>
      </c>
      <c r="AM144" s="2" t="s">
        <v>226</v>
      </c>
      <c r="AN144" s="2" t="str">
        <f aca="false">IF(OR(W144="Invalid",AJ144="Invalid",AH144="Inconsistent",Z144="Mismatch",AD144="Mismatch",AM144="Yes",D144="Yes",E144="Yes"),"Invalid",IF(OR(J144="Yes",Q144="Yes",U144="Yes"),"Warning","Clean"))</f>
        <v>Invalid</v>
      </c>
    </row>
    <row r="145" customFormat="false" ht="15" hidden="false" customHeight="false" outlineLevel="0" collapsed="false">
      <c r="A145" s="2" t="s">
        <v>561</v>
      </c>
      <c r="B145" s="3" t="n">
        <v>45375</v>
      </c>
      <c r="C145" s="3" t="n">
        <v>45377</v>
      </c>
      <c r="D145" s="2" t="s">
        <v>41</v>
      </c>
      <c r="E145" s="2" t="s">
        <v>41</v>
      </c>
      <c r="F145" s="2" t="s">
        <v>562</v>
      </c>
      <c r="G145" s="2" t="s">
        <v>134</v>
      </c>
      <c r="H145" s="2" t="s">
        <v>44</v>
      </c>
      <c r="I145" s="2" t="s">
        <v>83</v>
      </c>
      <c r="J145" s="2" t="s">
        <v>41</v>
      </c>
      <c r="K145" s="2" t="s">
        <v>200</v>
      </c>
      <c r="L145" s="2" t="s">
        <v>201</v>
      </c>
      <c r="M145" s="2" t="s">
        <v>48</v>
      </c>
      <c r="N145" s="2" t="s">
        <v>49</v>
      </c>
      <c r="O145" s="2" t="s">
        <v>563</v>
      </c>
      <c r="P145" s="2" t="s">
        <v>51</v>
      </c>
      <c r="Q145" s="2" t="s">
        <v>41</v>
      </c>
      <c r="R145" s="2" t="n">
        <v>1</v>
      </c>
      <c r="S145" s="2" t="n">
        <v>3409.5</v>
      </c>
      <c r="T145" s="2" t="n">
        <v>0.1</v>
      </c>
      <c r="U145" s="2" t="str">
        <f aca="false">IF(ISBLANK(T145),"Yes","No")</f>
        <v>No</v>
      </c>
      <c r="V145" s="2" t="n">
        <f aca="false">IF(ISBLANK(T145),0,IF(ISNUMBER(T145),T145,VALUE(LEFT(T145,LEN(T145)-1))/100))</f>
        <v>0.1</v>
      </c>
      <c r="W145" s="2" t="str">
        <f aca="false">IF(AND(V145&gt;=0,V145&lt;=0.25),"Valid","Invalid")</f>
        <v>Valid</v>
      </c>
      <c r="X145" s="2" t="n">
        <v>3068.55</v>
      </c>
      <c r="Y145" s="2" t="n">
        <f aca="false">R145*S145*(1-V145)</f>
        <v>3068.55</v>
      </c>
      <c r="Z145" s="2" t="str">
        <f aca="false">IF(ABS(X145-Y145)&gt;1,"Mismatch","OK")</f>
        <v>OK</v>
      </c>
      <c r="AA145" s="2" t="n">
        <v>1916.16</v>
      </c>
      <c r="AB145" s="2" t="n">
        <v>1152.39</v>
      </c>
      <c r="AC145" s="2" t="n">
        <f aca="false">Y145-AA145</f>
        <v>1152.39</v>
      </c>
      <c r="AD145" s="2" t="str">
        <f aca="false">IF(ABS(AB145-AC145)&gt;1,"Mismatch","OK")</f>
        <v>OK</v>
      </c>
      <c r="AE145" s="4" t="n">
        <f aca="false">IF(Y145=0,0,AC145/Y145)</f>
        <v>0.375548711932346</v>
      </c>
      <c r="AF145" s="2" t="s">
        <v>52</v>
      </c>
      <c r="AG145" s="2" t="s">
        <v>123</v>
      </c>
      <c r="AH145" s="2" t="str">
        <f aca="false">IF(AND(AG145="Completed",AF145&lt;&gt;"Paid"),"Inconsistent","OK")</f>
        <v>OK</v>
      </c>
      <c r="AI145" s="2" t="n">
        <f aca="false">IF(OR(ISBLANK(B145),ISBLANK(C145)),"",C145-B145)</f>
        <v>2</v>
      </c>
      <c r="AJ145" s="2" t="str">
        <f aca="false">IF(AI145="","Unknown",IF(AI145&lt;0,"Invalid","OK"))</f>
        <v>OK</v>
      </c>
      <c r="AK145" s="2" t="str">
        <f aca="false">IF(ISBLANK(B145),"",TEXT(B145,"mmm"))</f>
        <v>Mar</v>
      </c>
      <c r="AL145" s="2" t="n">
        <f aca="false">IF(ISBLANK(B145),"",YEAR(B145))</f>
        <v>2024</v>
      </c>
      <c r="AM145" s="2" t="s">
        <v>41</v>
      </c>
      <c r="AN145" s="2" t="str">
        <f aca="false">IF(OR(W145="Invalid",AJ145="Invalid",AH145="Inconsistent",Z145="Mismatch",AD145="Mismatch",AM145="Yes",D145="Yes",E145="Yes"),"Invalid",IF(OR(J145="Yes",Q145="Yes",U145="Yes"),"Warning","Clean"))</f>
        <v>Clean</v>
      </c>
    </row>
    <row r="146" customFormat="false" ht="15" hidden="false" customHeight="false" outlineLevel="0" collapsed="false">
      <c r="A146" s="2" t="s">
        <v>564</v>
      </c>
      <c r="B146" s="3" t="n">
        <v>45450</v>
      </c>
      <c r="C146" s="3" t="n">
        <v>45458</v>
      </c>
      <c r="D146" s="2" t="s">
        <v>41</v>
      </c>
      <c r="E146" s="2" t="s">
        <v>41</v>
      </c>
      <c r="F146" s="2" t="s">
        <v>565</v>
      </c>
      <c r="G146" s="2" t="s">
        <v>286</v>
      </c>
      <c r="H146" s="2" t="s">
        <v>57</v>
      </c>
      <c r="I146" s="2" t="s">
        <v>74</v>
      </c>
      <c r="J146" s="2" t="s">
        <v>41</v>
      </c>
      <c r="K146" s="2" t="s">
        <v>75</v>
      </c>
      <c r="L146" s="2" t="s">
        <v>76</v>
      </c>
      <c r="M146" s="2" t="s">
        <v>94</v>
      </c>
      <c r="N146" s="2" t="s">
        <v>95</v>
      </c>
      <c r="O146" s="2" t="s">
        <v>566</v>
      </c>
      <c r="P146" s="2" t="s">
        <v>70</v>
      </c>
      <c r="Q146" s="2" t="s">
        <v>41</v>
      </c>
      <c r="R146" s="2" t="n">
        <v>7</v>
      </c>
      <c r="S146" s="2" t="n">
        <v>2147.99</v>
      </c>
      <c r="T146" s="2" t="n">
        <v>0.25</v>
      </c>
      <c r="U146" s="2" t="str">
        <f aca="false">IF(ISBLANK(T146),"Yes","No")</f>
        <v>No</v>
      </c>
      <c r="V146" s="2" t="n">
        <f aca="false">IF(ISBLANK(T146),0,IF(ISNUMBER(T146),T146,VALUE(LEFT(T146,LEN(T146)-1))/100))</f>
        <v>0.25</v>
      </c>
      <c r="W146" s="2" t="str">
        <f aca="false">IF(AND(V146&gt;=0,V146&lt;=0.25),"Valid","Invalid")</f>
        <v>Valid</v>
      </c>
      <c r="X146" s="2" t="n">
        <v>11276.95</v>
      </c>
      <c r="Y146" s="2" t="n">
        <f aca="false">R146*S146*(1-V146)</f>
        <v>11276.9475</v>
      </c>
      <c r="Z146" s="2" t="str">
        <f aca="false">IF(ABS(X146-Y146)&gt;1,"Mismatch","OK")</f>
        <v>OK</v>
      </c>
      <c r="AA146" s="2" t="n">
        <v>6908.76</v>
      </c>
      <c r="AB146" s="2" t="n">
        <v>4368.19</v>
      </c>
      <c r="AC146" s="2" t="n">
        <f aca="false">Y146-AA146</f>
        <v>4368.1875</v>
      </c>
      <c r="AD146" s="2" t="str">
        <f aca="false">IF(ABS(AB146-AC146)&gt;1,"Mismatch","OK")</f>
        <v>OK</v>
      </c>
      <c r="AE146" s="4" t="n">
        <f aca="false">IF(Y146=0,0,AC146/Y146)</f>
        <v>0.387355487821505</v>
      </c>
      <c r="AF146" s="2" t="s">
        <v>122</v>
      </c>
      <c r="AG146" s="2" t="s">
        <v>123</v>
      </c>
      <c r="AH146" s="2" t="str">
        <f aca="false">IF(AND(AG146="Completed",AF146&lt;&gt;"Paid"),"Inconsistent","OK")</f>
        <v>OK</v>
      </c>
      <c r="AI146" s="2" t="n">
        <f aca="false">IF(OR(ISBLANK(B146),ISBLANK(C146)),"",C146-B146)</f>
        <v>8</v>
      </c>
      <c r="AJ146" s="2" t="str">
        <f aca="false">IF(AI146="","Unknown",IF(AI146&lt;0,"Invalid","OK"))</f>
        <v>OK</v>
      </c>
      <c r="AK146" s="2" t="str">
        <f aca="false">IF(ISBLANK(B146),"",TEXT(B146,"mmm"))</f>
        <v>Jun</v>
      </c>
      <c r="AL146" s="2" t="n">
        <f aca="false">IF(ISBLANK(B146),"",YEAR(B146))</f>
        <v>2024</v>
      </c>
      <c r="AM146" s="2" t="s">
        <v>41</v>
      </c>
      <c r="AN146" s="2" t="str">
        <f aca="false">IF(OR(W146="Invalid",AJ146="Invalid",AH146="Inconsistent",Z146="Mismatch",AD146="Mismatch",AM146="Yes",D146="Yes",E146="Yes"),"Invalid",IF(OR(J146="Yes",Q146="Yes",U146="Yes"),"Warning","Clean"))</f>
        <v>Clean</v>
      </c>
    </row>
    <row r="147" customFormat="false" ht="15" hidden="false" customHeight="false" outlineLevel="0" collapsed="false">
      <c r="A147" s="2" t="s">
        <v>567</v>
      </c>
      <c r="B147" s="3" t="n">
        <v>45758</v>
      </c>
      <c r="C147" s="3" t="n">
        <v>45760</v>
      </c>
      <c r="D147" s="2" t="s">
        <v>41</v>
      </c>
      <c r="E147" s="2" t="s">
        <v>41</v>
      </c>
      <c r="F147" s="2" t="s">
        <v>568</v>
      </c>
      <c r="G147" s="2" t="s">
        <v>56</v>
      </c>
      <c r="H147" s="2" t="s">
        <v>57</v>
      </c>
      <c r="I147" s="2" t="s">
        <v>83</v>
      </c>
      <c r="J147" s="2" t="s">
        <v>41</v>
      </c>
      <c r="K147" s="2" t="s">
        <v>210</v>
      </c>
      <c r="L147" s="2" t="s">
        <v>211</v>
      </c>
      <c r="M147" s="2" t="s">
        <v>48</v>
      </c>
      <c r="N147" s="2" t="s">
        <v>49</v>
      </c>
      <c r="O147" s="2" t="s">
        <v>569</v>
      </c>
      <c r="P147" s="2" t="s">
        <v>79</v>
      </c>
      <c r="Q147" s="2" t="s">
        <v>41</v>
      </c>
      <c r="R147" s="2" t="n">
        <v>4</v>
      </c>
      <c r="S147" s="2" t="n">
        <v>4182.15</v>
      </c>
      <c r="T147" s="2" t="n">
        <v>0.1</v>
      </c>
      <c r="U147" s="2" t="str">
        <f aca="false">IF(ISBLANK(T147),"Yes","No")</f>
        <v>No</v>
      </c>
      <c r="V147" s="2" t="n">
        <f aca="false">IF(ISBLANK(T147),0,IF(ISNUMBER(T147),T147,VALUE(LEFT(T147,LEN(T147)-1))/100))</f>
        <v>0.1</v>
      </c>
      <c r="W147" s="2" t="str">
        <f aca="false">IF(AND(V147&gt;=0,V147&lt;=0.25),"Valid","Invalid")</f>
        <v>Valid</v>
      </c>
      <c r="X147" s="2" t="n">
        <v>15055.74</v>
      </c>
      <c r="Y147" s="2" t="n">
        <f aca="false">R147*S147*(1-V147)</f>
        <v>15055.74</v>
      </c>
      <c r="Z147" s="2" t="str">
        <f aca="false">IF(ABS(X147-Y147)&gt;1,"Mismatch","OK")</f>
        <v>OK</v>
      </c>
      <c r="AA147" s="2" t="n">
        <v>9808.83</v>
      </c>
      <c r="AB147" s="2" t="n">
        <v>5246.91</v>
      </c>
      <c r="AC147" s="2" t="n">
        <f aca="false">Y147-AA147</f>
        <v>5246.91</v>
      </c>
      <c r="AD147" s="2" t="str">
        <f aca="false">IF(ABS(AB147-AC147)&gt;1,"Mismatch","OK")</f>
        <v>OK</v>
      </c>
      <c r="AE147" s="4" t="n">
        <f aca="false">IF(Y147=0,0,AC147/Y147)</f>
        <v>0.348498977798501</v>
      </c>
      <c r="AF147" s="2" t="s">
        <v>52</v>
      </c>
      <c r="AG147" s="2" t="s">
        <v>53</v>
      </c>
      <c r="AH147" s="2" t="str">
        <f aca="false">IF(AND(AG147="Completed",AF147&lt;&gt;"Paid"),"Inconsistent","OK")</f>
        <v>OK</v>
      </c>
      <c r="AI147" s="2" t="n">
        <f aca="false">IF(OR(ISBLANK(B147),ISBLANK(C147)),"",C147-B147)</f>
        <v>2</v>
      </c>
      <c r="AJ147" s="2" t="str">
        <f aca="false">IF(AI147="","Unknown",IF(AI147&lt;0,"Invalid","OK"))</f>
        <v>OK</v>
      </c>
      <c r="AK147" s="2" t="str">
        <f aca="false">IF(ISBLANK(B147),"",TEXT(B147,"mmm"))</f>
        <v>Apr</v>
      </c>
      <c r="AL147" s="2" t="n">
        <f aca="false">IF(ISBLANK(B147),"",YEAR(B147))</f>
        <v>2025</v>
      </c>
      <c r="AM147" s="2" t="s">
        <v>41</v>
      </c>
      <c r="AN147" s="2" t="str">
        <f aca="false">IF(OR(W147="Invalid",AJ147="Invalid",AH147="Inconsistent",Z147="Mismatch",AD147="Mismatch",AM147="Yes",D147="Yes",E147="Yes"),"Invalid",IF(OR(J147="Yes",Q147="Yes",U147="Yes"),"Warning","Clean"))</f>
        <v>Clean</v>
      </c>
    </row>
    <row r="148" customFormat="false" ht="15" hidden="false" customHeight="false" outlineLevel="0" collapsed="false">
      <c r="A148" s="2" t="s">
        <v>570</v>
      </c>
      <c r="B148" s="3" t="n">
        <v>45868</v>
      </c>
      <c r="C148" s="3" t="n">
        <v>45870</v>
      </c>
      <c r="D148" s="2" t="s">
        <v>41</v>
      </c>
      <c r="E148" s="2" t="s">
        <v>41</v>
      </c>
      <c r="F148" s="2" t="s">
        <v>571</v>
      </c>
      <c r="G148" s="2" t="s">
        <v>152</v>
      </c>
      <c r="H148" s="2" t="s">
        <v>57</v>
      </c>
      <c r="I148" s="2" t="s">
        <v>74</v>
      </c>
      <c r="J148" s="2" t="s">
        <v>41</v>
      </c>
      <c r="K148" s="2" t="s">
        <v>269</v>
      </c>
      <c r="L148" s="2" t="s">
        <v>270</v>
      </c>
      <c r="M148" s="2" t="s">
        <v>48</v>
      </c>
      <c r="N148" s="2" t="s">
        <v>144</v>
      </c>
      <c r="O148" s="2" t="s">
        <v>572</v>
      </c>
      <c r="P148" s="2" t="s">
        <v>64</v>
      </c>
      <c r="Q148" s="2" t="s">
        <v>41</v>
      </c>
      <c r="R148" s="2" t="n">
        <v>9</v>
      </c>
      <c r="S148" s="2" t="n">
        <v>3165.43</v>
      </c>
      <c r="T148" s="2" t="n">
        <v>0.1</v>
      </c>
      <c r="U148" s="2" t="str">
        <f aca="false">IF(ISBLANK(T148),"Yes","No")</f>
        <v>No</v>
      </c>
      <c r="V148" s="2" t="n">
        <f aca="false">IF(ISBLANK(T148),0,IF(ISNUMBER(T148),T148,VALUE(LEFT(T148,LEN(T148)-1))/100))</f>
        <v>0.1</v>
      </c>
      <c r="W148" s="2" t="str">
        <f aca="false">IF(AND(V148&gt;=0,V148&lt;=0.25),"Valid","Invalid")</f>
        <v>Valid</v>
      </c>
      <c r="X148" s="2" t="n">
        <v>25639.98</v>
      </c>
      <c r="Y148" s="2" t="n">
        <f aca="false">R148*S148*(1-V148)</f>
        <v>25639.983</v>
      </c>
      <c r="Z148" s="2" t="str">
        <f aca="false">IF(ABS(X148-Y148)&gt;1,"Mismatch","OK")</f>
        <v>OK</v>
      </c>
      <c r="AA148" s="2" t="n">
        <v>21635.08</v>
      </c>
      <c r="AB148" s="2" t="n">
        <v>4004.9</v>
      </c>
      <c r="AC148" s="2" t="n">
        <f aca="false">Y148-AA148</f>
        <v>4004.903</v>
      </c>
      <c r="AD148" s="2" t="str">
        <f aca="false">IF(ABS(AB148-AC148)&gt;1,"Mismatch","OK")</f>
        <v>OK</v>
      </c>
      <c r="AE148" s="4" t="n">
        <f aca="false">IF(Y148=0,0,AC148/Y148)</f>
        <v>0.156197568461726</v>
      </c>
      <c r="AF148" s="2" t="s">
        <v>52</v>
      </c>
      <c r="AG148" s="2" t="s">
        <v>53</v>
      </c>
      <c r="AH148" s="2" t="str">
        <f aca="false">IF(AND(AG148="Completed",AF148&lt;&gt;"Paid"),"Inconsistent","OK")</f>
        <v>OK</v>
      </c>
      <c r="AI148" s="2" t="n">
        <f aca="false">IF(OR(ISBLANK(B148),ISBLANK(C148)),"",C148-B148)</f>
        <v>2</v>
      </c>
      <c r="AJ148" s="2" t="str">
        <f aca="false">IF(AI148="","Unknown",IF(AI148&lt;0,"Invalid","OK"))</f>
        <v>OK</v>
      </c>
      <c r="AK148" s="2" t="str">
        <f aca="false">IF(ISBLANK(B148),"",TEXT(B148,"mmm"))</f>
        <v>Jul</v>
      </c>
      <c r="AL148" s="2" t="n">
        <f aca="false">IF(ISBLANK(B148),"",YEAR(B148))</f>
        <v>2025</v>
      </c>
      <c r="AM148" s="2" t="s">
        <v>41</v>
      </c>
      <c r="AN148" s="2" t="str">
        <f aca="false">IF(OR(W148="Invalid",AJ148="Invalid",AH148="Inconsistent",Z148="Mismatch",AD148="Mismatch",AM148="Yes",D148="Yes",E148="Yes"),"Invalid",IF(OR(J148="Yes",Q148="Yes",U148="Yes"),"Warning","Clean"))</f>
        <v>Clean</v>
      </c>
    </row>
    <row r="149" customFormat="false" ht="15" hidden="false" customHeight="false" outlineLevel="0" collapsed="false">
      <c r="A149" s="2" t="s">
        <v>573</v>
      </c>
      <c r="B149" s="3" t="n">
        <v>45649</v>
      </c>
      <c r="C149" s="3" t="n">
        <v>45656</v>
      </c>
      <c r="D149" s="2" t="s">
        <v>41</v>
      </c>
      <c r="E149" s="2" t="s">
        <v>41</v>
      </c>
      <c r="F149" s="2" t="s">
        <v>574</v>
      </c>
      <c r="G149" s="2" t="s">
        <v>134</v>
      </c>
      <c r="H149" s="2" t="s">
        <v>115</v>
      </c>
      <c r="I149" s="2" t="s">
        <v>83</v>
      </c>
      <c r="J149" s="2" t="s">
        <v>41</v>
      </c>
      <c r="K149" s="2" t="s">
        <v>210</v>
      </c>
      <c r="L149" s="2" t="s">
        <v>211</v>
      </c>
      <c r="M149" s="2" t="s">
        <v>61</v>
      </c>
      <c r="N149" s="2" t="s">
        <v>77</v>
      </c>
      <c r="O149" s="2" t="s">
        <v>575</v>
      </c>
      <c r="P149" s="2" t="s">
        <v>70</v>
      </c>
      <c r="Q149" s="2" t="s">
        <v>41</v>
      </c>
      <c r="R149" s="2" t="n">
        <v>8</v>
      </c>
      <c r="S149" s="2" t="n">
        <v>386.1</v>
      </c>
      <c r="T149" s="2" t="n">
        <v>0.1</v>
      </c>
      <c r="U149" s="2" t="str">
        <f aca="false">IF(ISBLANK(T149),"Yes","No")</f>
        <v>No</v>
      </c>
      <c r="V149" s="2" t="n">
        <f aca="false">IF(ISBLANK(T149),0,IF(ISNUMBER(T149),T149,VALUE(LEFT(T149,LEN(T149)-1))/100))</f>
        <v>0.1</v>
      </c>
      <c r="W149" s="2" t="str">
        <f aca="false">IF(AND(V149&gt;=0,V149&lt;=0.25),"Valid","Invalid")</f>
        <v>Valid</v>
      </c>
      <c r="X149" s="2" t="n">
        <v>2779.92</v>
      </c>
      <c r="Y149" s="2" t="n">
        <f aca="false">R149*S149*(1-V149)</f>
        <v>2779.92</v>
      </c>
      <c r="Z149" s="2" t="str">
        <f aca="false">IF(ABS(X149-Y149)&gt;1,"Mismatch","OK")</f>
        <v>OK</v>
      </c>
      <c r="AA149" s="2" t="n">
        <v>1744.05</v>
      </c>
      <c r="AB149" s="2" t="n">
        <v>1035.87</v>
      </c>
      <c r="AC149" s="2" t="n">
        <f aca="false">Y149-AA149</f>
        <v>1035.87</v>
      </c>
      <c r="AD149" s="2" t="str">
        <f aca="false">IF(ABS(AB149-AC149)&gt;1,"Mismatch","OK")</f>
        <v>OK</v>
      </c>
      <c r="AE149" s="4" t="n">
        <f aca="false">IF(Y149=0,0,AC149/Y149)</f>
        <v>0.372625830959164</v>
      </c>
      <c r="AF149" s="2" t="s">
        <v>52</v>
      </c>
      <c r="AG149" s="2" t="s">
        <v>53</v>
      </c>
      <c r="AH149" s="2" t="str">
        <f aca="false">IF(AND(AG149="Completed",AF149&lt;&gt;"Paid"),"Inconsistent","OK")</f>
        <v>OK</v>
      </c>
      <c r="AI149" s="2" t="n">
        <f aca="false">IF(OR(ISBLANK(B149),ISBLANK(C149)),"",C149-B149)</f>
        <v>7</v>
      </c>
      <c r="AJ149" s="2" t="str">
        <f aca="false">IF(AI149="","Unknown",IF(AI149&lt;0,"Invalid","OK"))</f>
        <v>OK</v>
      </c>
      <c r="AK149" s="2" t="str">
        <f aca="false">IF(ISBLANK(B149),"",TEXT(B149,"mmm"))</f>
        <v>Dec</v>
      </c>
      <c r="AL149" s="2" t="n">
        <f aca="false">IF(ISBLANK(B149),"",YEAR(B149))</f>
        <v>2024</v>
      </c>
      <c r="AM149" s="2" t="s">
        <v>41</v>
      </c>
      <c r="AN149" s="2" t="str">
        <f aca="false">IF(OR(W149="Invalid",AJ149="Invalid",AH149="Inconsistent",Z149="Mismatch",AD149="Mismatch",AM149="Yes",D149="Yes",E149="Yes"),"Invalid",IF(OR(J149="Yes",Q149="Yes",U149="Yes"),"Warning","Clean"))</f>
        <v>Clean</v>
      </c>
    </row>
    <row r="150" customFormat="false" ht="15" hidden="false" customHeight="false" outlineLevel="0" collapsed="false">
      <c r="A150" s="2" t="s">
        <v>576</v>
      </c>
      <c r="B150" s="3" t="n">
        <v>45697</v>
      </c>
      <c r="C150" s="3" t="n">
        <v>45701</v>
      </c>
      <c r="D150" s="2" t="s">
        <v>41</v>
      </c>
      <c r="E150" s="2" t="s">
        <v>41</v>
      </c>
      <c r="F150" s="2" t="s">
        <v>577</v>
      </c>
      <c r="G150" s="2" t="s">
        <v>56</v>
      </c>
      <c r="H150" s="2" t="s">
        <v>115</v>
      </c>
      <c r="I150" s="2" t="s">
        <v>83</v>
      </c>
      <c r="J150" s="2" t="s">
        <v>41</v>
      </c>
      <c r="K150" s="2" t="s">
        <v>92</v>
      </c>
      <c r="L150" s="2" t="s">
        <v>93</v>
      </c>
      <c r="M150" s="2" t="s">
        <v>94</v>
      </c>
      <c r="N150" s="2" t="s">
        <v>191</v>
      </c>
      <c r="O150" s="2" t="s">
        <v>578</v>
      </c>
      <c r="P150" s="2" t="s">
        <v>225</v>
      </c>
      <c r="Q150" s="2" t="s">
        <v>226</v>
      </c>
      <c r="R150" s="2" t="n">
        <v>8</v>
      </c>
      <c r="S150" s="2" t="n">
        <v>1696.07</v>
      </c>
      <c r="T150" s="2" t="n">
        <v>0.25</v>
      </c>
      <c r="U150" s="2" t="str">
        <f aca="false">IF(ISBLANK(T150),"Yes","No")</f>
        <v>No</v>
      </c>
      <c r="V150" s="2" t="n">
        <f aca="false">IF(ISBLANK(T150),0,IF(ISNUMBER(T150),T150,VALUE(LEFT(T150,LEN(T150)-1))/100))</f>
        <v>0.25</v>
      </c>
      <c r="W150" s="2" t="str">
        <f aca="false">IF(AND(V150&gt;=0,V150&lt;=0.25),"Valid","Invalid")</f>
        <v>Valid</v>
      </c>
      <c r="X150" s="2" t="n">
        <v>10176.42</v>
      </c>
      <c r="Y150" s="2" t="n">
        <f aca="false">R150*S150*(1-V150)</f>
        <v>10176.42</v>
      </c>
      <c r="Z150" s="2" t="str">
        <f aca="false">IF(ABS(X150-Y150)&gt;1,"Mismatch","OK")</f>
        <v>OK</v>
      </c>
      <c r="AA150" s="2" t="n">
        <v>7604.47</v>
      </c>
      <c r="AB150" s="2" t="n">
        <v>2571.95</v>
      </c>
      <c r="AC150" s="2" t="n">
        <f aca="false">Y150-AA150</f>
        <v>2571.95</v>
      </c>
      <c r="AD150" s="2" t="str">
        <f aca="false">IF(ABS(AB150-AC150)&gt;1,"Mismatch","OK")</f>
        <v>OK</v>
      </c>
      <c r="AE150" s="4" t="n">
        <f aca="false">IF(Y150=0,0,AC150/Y150)</f>
        <v>0.252736227474888</v>
      </c>
      <c r="AF150" s="2" t="s">
        <v>52</v>
      </c>
      <c r="AG150" s="2" t="s">
        <v>53</v>
      </c>
      <c r="AH150" s="2" t="str">
        <f aca="false">IF(AND(AG150="Completed",AF150&lt;&gt;"Paid"),"Inconsistent","OK")</f>
        <v>OK</v>
      </c>
      <c r="AI150" s="2" t="n">
        <f aca="false">IF(OR(ISBLANK(B150),ISBLANK(C150)),"",C150-B150)</f>
        <v>4</v>
      </c>
      <c r="AJ150" s="2" t="str">
        <f aca="false">IF(AI150="","Unknown",IF(AI150&lt;0,"Invalid","OK"))</f>
        <v>OK</v>
      </c>
      <c r="AK150" s="2" t="str">
        <f aca="false">IF(ISBLANK(B150),"",TEXT(B150,"mmm"))</f>
        <v>Feb</v>
      </c>
      <c r="AL150" s="2" t="n">
        <f aca="false">IF(ISBLANK(B150),"",YEAR(B150))</f>
        <v>2025</v>
      </c>
      <c r="AM150" s="2" t="s">
        <v>41</v>
      </c>
      <c r="AN150" s="2" t="str">
        <f aca="false">IF(OR(W150="Invalid",AJ150="Invalid",AH150="Inconsistent",Z150="Mismatch",AD150="Mismatch",AM150="Yes",D150="Yes",E150="Yes"),"Invalid",IF(OR(J150="Yes",Q150="Yes",U150="Yes"),"Warning","Clean"))</f>
        <v>Warning</v>
      </c>
    </row>
    <row r="151" customFormat="false" ht="15" hidden="false" customHeight="false" outlineLevel="0" collapsed="false">
      <c r="A151" s="2" t="s">
        <v>579</v>
      </c>
      <c r="B151" s="3" t="n">
        <v>45321</v>
      </c>
      <c r="C151" s="3" t="n">
        <v>45321</v>
      </c>
      <c r="D151" s="2" t="s">
        <v>41</v>
      </c>
      <c r="E151" s="2" t="s">
        <v>41</v>
      </c>
      <c r="F151" s="2" t="s">
        <v>580</v>
      </c>
      <c r="G151" s="2" t="s">
        <v>148</v>
      </c>
      <c r="H151" s="2" t="s">
        <v>57</v>
      </c>
      <c r="I151" s="2" t="s">
        <v>83</v>
      </c>
      <c r="J151" s="2" t="s">
        <v>41</v>
      </c>
      <c r="K151" s="2" t="s">
        <v>46</v>
      </c>
      <c r="L151" s="2" t="s">
        <v>129</v>
      </c>
      <c r="M151" s="2" t="s">
        <v>94</v>
      </c>
      <c r="N151" s="2" t="s">
        <v>100</v>
      </c>
      <c r="O151" s="2" t="s">
        <v>581</v>
      </c>
      <c r="P151" s="2" t="s">
        <v>64</v>
      </c>
      <c r="Q151" s="2" t="s">
        <v>41</v>
      </c>
      <c r="R151" s="2" t="n">
        <v>7</v>
      </c>
      <c r="S151" s="2" t="n">
        <v>2527.61</v>
      </c>
      <c r="T151" s="2" t="n">
        <v>0.25</v>
      </c>
      <c r="U151" s="2" t="str">
        <f aca="false">IF(ISBLANK(T151),"Yes","No")</f>
        <v>No</v>
      </c>
      <c r="V151" s="2" t="n">
        <f aca="false">IF(ISBLANK(T151),0,IF(ISNUMBER(T151),T151,VALUE(LEFT(T151,LEN(T151)-1))/100))</f>
        <v>0.25</v>
      </c>
      <c r="W151" s="2" t="str">
        <f aca="false">IF(AND(V151&gt;=0,V151&lt;=0.25),"Valid","Invalid")</f>
        <v>Valid</v>
      </c>
      <c r="X151" s="2" t="n">
        <v>13269.95</v>
      </c>
      <c r="Y151" s="2" t="n">
        <f aca="false">R151*S151*(1-V151)</f>
        <v>13269.9525</v>
      </c>
      <c r="Z151" s="2" t="str">
        <f aca="false">IF(ABS(X151-Y151)&gt;1,"Mismatch","OK")</f>
        <v>OK</v>
      </c>
      <c r="AA151" s="2" t="n">
        <v>8977.1</v>
      </c>
      <c r="AB151" s="2" t="n">
        <v>4292.85</v>
      </c>
      <c r="AC151" s="2" t="n">
        <f aca="false">Y151-AA151</f>
        <v>4292.8525</v>
      </c>
      <c r="AD151" s="2" t="str">
        <f aca="false">IF(ABS(AB151-AC151)&gt;1,"Mismatch","OK")</f>
        <v>OK</v>
      </c>
      <c r="AE151" s="4" t="n">
        <f aca="false">IF(Y151=0,0,AC151/Y151)</f>
        <v>0.323501723159898</v>
      </c>
      <c r="AF151" s="2" t="s">
        <v>52</v>
      </c>
      <c r="AG151" s="2" t="s">
        <v>53</v>
      </c>
      <c r="AH151" s="2" t="str">
        <f aca="false">IF(AND(AG151="Completed",AF151&lt;&gt;"Paid"),"Inconsistent","OK")</f>
        <v>OK</v>
      </c>
      <c r="AI151" s="2" t="n">
        <f aca="false">IF(OR(ISBLANK(B151),ISBLANK(C151)),"",C151-B151)</f>
        <v>0</v>
      </c>
      <c r="AJ151" s="2" t="str">
        <f aca="false">IF(AI151="","Unknown",IF(AI151&lt;0,"Invalid","OK"))</f>
        <v>OK</v>
      </c>
      <c r="AK151" s="2" t="str">
        <f aca="false">IF(ISBLANK(B151),"",TEXT(B151,"mmm"))</f>
        <v>Jan</v>
      </c>
      <c r="AL151" s="2" t="n">
        <f aca="false">IF(ISBLANK(B151),"",YEAR(B151))</f>
        <v>2024</v>
      </c>
      <c r="AM151" s="2" t="s">
        <v>41</v>
      </c>
      <c r="AN151" s="2" t="str">
        <f aca="false">IF(OR(W151="Invalid",AJ151="Invalid",AH151="Inconsistent",Z151="Mismatch",AD151="Mismatch",AM151="Yes",D151="Yes",E151="Yes"),"Invalid",IF(OR(J151="Yes",Q151="Yes",U151="Yes"),"Warning","Clean"))</f>
        <v>Clean</v>
      </c>
    </row>
    <row r="152" customFormat="false" ht="15" hidden="false" customHeight="false" outlineLevel="0" collapsed="false">
      <c r="A152" s="2" t="s">
        <v>582</v>
      </c>
      <c r="B152" s="3" t="n">
        <v>45355</v>
      </c>
      <c r="C152" s="3" t="n">
        <v>45363</v>
      </c>
      <c r="D152" s="2" t="s">
        <v>41</v>
      </c>
      <c r="E152" s="2" t="s">
        <v>41</v>
      </c>
      <c r="F152" s="2" t="s">
        <v>583</v>
      </c>
      <c r="G152" s="2" t="s">
        <v>73</v>
      </c>
      <c r="H152" s="2" t="s">
        <v>44</v>
      </c>
      <c r="I152" s="2" t="s">
        <v>225</v>
      </c>
      <c r="J152" s="2" t="s">
        <v>226</v>
      </c>
      <c r="K152" s="2" t="s">
        <v>200</v>
      </c>
      <c r="L152" s="2" t="s">
        <v>201</v>
      </c>
      <c r="M152" s="2" t="s">
        <v>61</v>
      </c>
      <c r="N152" s="2" t="s">
        <v>178</v>
      </c>
      <c r="O152" s="2" t="s">
        <v>584</v>
      </c>
      <c r="P152" s="2" t="s">
        <v>70</v>
      </c>
      <c r="Q152" s="2" t="s">
        <v>41</v>
      </c>
      <c r="R152" s="2" t="n">
        <v>1</v>
      </c>
      <c r="S152" s="2" t="n">
        <v>1554.12</v>
      </c>
      <c r="T152" s="2" t="n">
        <v>0.1</v>
      </c>
      <c r="U152" s="2" t="str">
        <f aca="false">IF(ISBLANK(T152),"Yes","No")</f>
        <v>No</v>
      </c>
      <c r="V152" s="2" t="n">
        <f aca="false">IF(ISBLANK(T152),0,IF(ISNUMBER(T152),T152,VALUE(LEFT(T152,LEN(T152)-1))/100))</f>
        <v>0.1</v>
      </c>
      <c r="W152" s="2" t="str">
        <f aca="false">IF(AND(V152&gt;=0,V152&lt;=0.25),"Valid","Invalid")</f>
        <v>Valid</v>
      </c>
      <c r="X152" s="2" t="n">
        <v>1398.71</v>
      </c>
      <c r="Y152" s="2" t="n">
        <f aca="false">R152*S152*(1-V152)</f>
        <v>1398.708</v>
      </c>
      <c r="Z152" s="2" t="str">
        <f aca="false">IF(ABS(X152-Y152)&gt;1,"Mismatch","OK")</f>
        <v>OK</v>
      </c>
      <c r="AA152" s="2" t="n">
        <v>1056.92</v>
      </c>
      <c r="AB152" s="2" t="n">
        <v>341.79</v>
      </c>
      <c r="AC152" s="2" t="n">
        <f aca="false">Y152-AA152</f>
        <v>341.788</v>
      </c>
      <c r="AD152" s="2" t="str">
        <f aca="false">IF(ABS(AB152-AC152)&gt;1,"Mismatch","OK")</f>
        <v>OK</v>
      </c>
      <c r="AE152" s="4" t="n">
        <f aca="false">IF(Y152=0,0,AC152/Y152)</f>
        <v>0.244359794896433</v>
      </c>
      <c r="AF152" s="2" t="s">
        <v>52</v>
      </c>
      <c r="AG152" s="2" t="s">
        <v>53</v>
      </c>
      <c r="AH152" s="2" t="str">
        <f aca="false">IF(AND(AG152="Completed",AF152&lt;&gt;"Paid"),"Inconsistent","OK")</f>
        <v>OK</v>
      </c>
      <c r="AI152" s="2" t="n">
        <f aca="false">IF(OR(ISBLANK(B152),ISBLANK(C152)),"",C152-B152)</f>
        <v>8</v>
      </c>
      <c r="AJ152" s="2" t="str">
        <f aca="false">IF(AI152="","Unknown",IF(AI152&lt;0,"Invalid","OK"))</f>
        <v>OK</v>
      </c>
      <c r="AK152" s="2" t="str">
        <f aca="false">IF(ISBLANK(B152),"",TEXT(B152,"mmm"))</f>
        <v>Mar</v>
      </c>
      <c r="AL152" s="2" t="n">
        <f aca="false">IF(ISBLANK(B152),"",YEAR(B152))</f>
        <v>2024</v>
      </c>
      <c r="AM152" s="2" t="s">
        <v>41</v>
      </c>
      <c r="AN152" s="2" t="str">
        <f aca="false">IF(OR(W152="Invalid",AJ152="Invalid",AH152="Inconsistent",Z152="Mismatch",AD152="Mismatch",AM152="Yes",D152="Yes",E152="Yes"),"Invalid",IF(OR(J152="Yes",Q152="Yes",U152="Yes"),"Warning","Clean"))</f>
        <v>Warning</v>
      </c>
    </row>
    <row r="153" customFormat="false" ht="15" hidden="false" customHeight="false" outlineLevel="0" collapsed="false">
      <c r="A153" s="2" t="s">
        <v>585</v>
      </c>
      <c r="B153" s="3" t="n">
        <v>45470</v>
      </c>
      <c r="C153" s="3" t="n">
        <v>45470</v>
      </c>
      <c r="D153" s="2" t="s">
        <v>41</v>
      </c>
      <c r="E153" s="2" t="s">
        <v>41</v>
      </c>
      <c r="F153" s="2" t="s">
        <v>586</v>
      </c>
      <c r="G153" s="2" t="s">
        <v>99</v>
      </c>
      <c r="H153" s="2" t="s">
        <v>115</v>
      </c>
      <c r="I153" s="2" t="s">
        <v>225</v>
      </c>
      <c r="J153" s="2" t="s">
        <v>226</v>
      </c>
      <c r="K153" s="2" t="s">
        <v>92</v>
      </c>
      <c r="L153" s="2" t="s">
        <v>93</v>
      </c>
      <c r="M153" s="2" t="s">
        <v>94</v>
      </c>
      <c r="N153" s="2" t="s">
        <v>100</v>
      </c>
      <c r="O153" s="2" t="s">
        <v>587</v>
      </c>
      <c r="P153" s="2" t="s">
        <v>79</v>
      </c>
      <c r="Q153" s="2" t="s">
        <v>41</v>
      </c>
      <c r="R153" s="2" t="n">
        <v>2</v>
      </c>
      <c r="S153" s="2" t="n">
        <v>3859.11</v>
      </c>
      <c r="T153" s="2" t="n">
        <v>0</v>
      </c>
      <c r="U153" s="2" t="str">
        <f aca="false">IF(ISBLANK(T153),"Yes","No")</f>
        <v>No</v>
      </c>
      <c r="V153" s="2" t="n">
        <f aca="false">IF(ISBLANK(T153),0,IF(ISNUMBER(T153),T153,VALUE(LEFT(T153,LEN(T153)-1))/100))</f>
        <v>0</v>
      </c>
      <c r="W153" s="2" t="str">
        <f aca="false">IF(AND(V153&gt;=0,V153&lt;=0.25),"Valid","Invalid")</f>
        <v>Valid</v>
      </c>
      <c r="X153" s="2" t="n">
        <v>7718.22</v>
      </c>
      <c r="Y153" s="2" t="n">
        <f aca="false">R153*S153*(1-V153)</f>
        <v>7718.22</v>
      </c>
      <c r="Z153" s="2" t="str">
        <f aca="false">IF(ABS(X153-Y153)&gt;1,"Mismatch","OK")</f>
        <v>OK</v>
      </c>
      <c r="AA153" s="2" t="n">
        <v>5355.93</v>
      </c>
      <c r="AB153" s="2" t="n">
        <v>2362.29</v>
      </c>
      <c r="AC153" s="2" t="n">
        <f aca="false">Y153-AA153</f>
        <v>2362.29</v>
      </c>
      <c r="AD153" s="2" t="str">
        <f aca="false">IF(ABS(AB153-AC153)&gt;1,"Mismatch","OK")</f>
        <v>OK</v>
      </c>
      <c r="AE153" s="4" t="n">
        <f aca="false">IF(Y153=0,0,AC153/Y153)</f>
        <v>0.306066683769056</v>
      </c>
      <c r="AF153" s="2" t="s">
        <v>131</v>
      </c>
      <c r="AG153" s="2" t="s">
        <v>123</v>
      </c>
      <c r="AH153" s="2" t="str">
        <f aca="false">IF(AND(AG153="Completed",AF153&lt;&gt;"Paid"),"Inconsistent","OK")</f>
        <v>OK</v>
      </c>
      <c r="AI153" s="2" t="n">
        <f aca="false">IF(OR(ISBLANK(B153),ISBLANK(C153)),"",C153-B153)</f>
        <v>0</v>
      </c>
      <c r="AJ153" s="2" t="str">
        <f aca="false">IF(AI153="","Unknown",IF(AI153&lt;0,"Invalid","OK"))</f>
        <v>OK</v>
      </c>
      <c r="AK153" s="2" t="str">
        <f aca="false">IF(ISBLANK(B153),"",TEXT(B153,"mmm"))</f>
        <v>Jun</v>
      </c>
      <c r="AL153" s="2" t="n">
        <f aca="false">IF(ISBLANK(B153),"",YEAR(B153))</f>
        <v>2024</v>
      </c>
      <c r="AM153" s="2" t="s">
        <v>41</v>
      </c>
      <c r="AN153" s="2" t="str">
        <f aca="false">IF(OR(W153="Invalid",AJ153="Invalid",AH153="Inconsistent",Z153="Mismatch",AD153="Mismatch",AM153="Yes",D153="Yes",E153="Yes"),"Invalid",IF(OR(J153="Yes",Q153="Yes",U153="Yes"),"Warning","Clean"))</f>
        <v>Warning</v>
      </c>
    </row>
    <row r="154" customFormat="false" ht="15" hidden="false" customHeight="false" outlineLevel="0" collapsed="false">
      <c r="A154" s="2" t="s">
        <v>588</v>
      </c>
      <c r="B154" s="3" t="n">
        <v>45457</v>
      </c>
      <c r="C154" s="3" t="n">
        <v>45460</v>
      </c>
      <c r="D154" s="2" t="s">
        <v>41</v>
      </c>
      <c r="E154" s="2" t="s">
        <v>41</v>
      </c>
      <c r="F154" s="2" t="s">
        <v>589</v>
      </c>
      <c r="G154" s="2" t="s">
        <v>286</v>
      </c>
      <c r="H154" s="2" t="s">
        <v>57</v>
      </c>
      <c r="I154" s="2" t="s">
        <v>74</v>
      </c>
      <c r="J154" s="2" t="s">
        <v>41</v>
      </c>
      <c r="K154" s="2" t="s">
        <v>205</v>
      </c>
      <c r="L154" s="2" t="s">
        <v>206</v>
      </c>
      <c r="M154" s="2" t="s">
        <v>61</v>
      </c>
      <c r="N154" s="2" t="s">
        <v>62</v>
      </c>
      <c r="O154" s="2" t="s">
        <v>590</v>
      </c>
      <c r="P154" s="2" t="s">
        <v>51</v>
      </c>
      <c r="Q154" s="2" t="s">
        <v>41</v>
      </c>
      <c r="R154" s="2" t="n">
        <v>6</v>
      </c>
      <c r="S154" s="2" t="n">
        <v>1088.04</v>
      </c>
      <c r="T154" s="2" t="n">
        <v>0.1</v>
      </c>
      <c r="U154" s="2" t="str">
        <f aca="false">IF(ISBLANK(T154),"Yes","No")</f>
        <v>No</v>
      </c>
      <c r="V154" s="2" t="n">
        <f aca="false">IF(ISBLANK(T154),0,IF(ISNUMBER(T154),T154,VALUE(LEFT(T154,LEN(T154)-1))/100))</f>
        <v>0.1</v>
      </c>
      <c r="W154" s="2" t="str">
        <f aca="false">IF(AND(V154&gt;=0,V154&lt;=0.25),"Valid","Invalid")</f>
        <v>Valid</v>
      </c>
      <c r="X154" s="2" t="n">
        <v>5875.42</v>
      </c>
      <c r="Y154" s="2" t="n">
        <f aca="false">R154*S154*(1-V154)</f>
        <v>5875.416</v>
      </c>
      <c r="Z154" s="2" t="str">
        <f aca="false">IF(ABS(X154-Y154)&gt;1,"Mismatch","OK")</f>
        <v>OK</v>
      </c>
      <c r="AA154" s="2" t="n">
        <v>4380.55</v>
      </c>
      <c r="AB154" s="2" t="n">
        <v>1494.87</v>
      </c>
      <c r="AC154" s="2" t="n">
        <f aca="false">Y154-AA154</f>
        <v>1494.866</v>
      </c>
      <c r="AD154" s="2" t="str">
        <f aca="false">IF(ABS(AB154-AC154)&gt;1,"Mismatch","OK")</f>
        <v>OK</v>
      </c>
      <c r="AE154" s="4" t="n">
        <f aca="false">IF(Y154=0,0,AC154/Y154)</f>
        <v>0.254427260980329</v>
      </c>
      <c r="AF154" s="2" t="s">
        <v>131</v>
      </c>
      <c r="AG154" s="2" t="s">
        <v>123</v>
      </c>
      <c r="AH154" s="2" t="str">
        <f aca="false">IF(AND(AG154="Completed",AF154&lt;&gt;"Paid"),"Inconsistent","OK")</f>
        <v>OK</v>
      </c>
      <c r="AI154" s="2" t="n">
        <f aca="false">IF(OR(ISBLANK(B154),ISBLANK(C154)),"",C154-B154)</f>
        <v>3</v>
      </c>
      <c r="AJ154" s="2" t="str">
        <f aca="false">IF(AI154="","Unknown",IF(AI154&lt;0,"Invalid","OK"))</f>
        <v>OK</v>
      </c>
      <c r="AK154" s="2" t="str">
        <f aca="false">IF(ISBLANK(B154),"",TEXT(B154,"mmm"))</f>
        <v>Jun</v>
      </c>
      <c r="AL154" s="2" t="n">
        <f aca="false">IF(ISBLANK(B154),"",YEAR(B154))</f>
        <v>2024</v>
      </c>
      <c r="AM154" s="2" t="s">
        <v>41</v>
      </c>
      <c r="AN154" s="2" t="str">
        <f aca="false">IF(OR(W154="Invalid",AJ154="Invalid",AH154="Inconsistent",Z154="Mismatch",AD154="Mismatch",AM154="Yes",D154="Yes",E154="Yes"),"Invalid",IF(OR(J154="Yes",Q154="Yes",U154="Yes"),"Warning","Clean"))</f>
        <v>Clean</v>
      </c>
    </row>
    <row r="155" customFormat="false" ht="15" hidden="false" customHeight="false" outlineLevel="0" collapsed="false">
      <c r="A155" s="2" t="s">
        <v>591</v>
      </c>
      <c r="B155" s="3" t="n">
        <v>45923</v>
      </c>
      <c r="C155" s="3" t="n">
        <v>45925</v>
      </c>
      <c r="D155" s="2" t="s">
        <v>41</v>
      </c>
      <c r="E155" s="2" t="s">
        <v>41</v>
      </c>
      <c r="F155" s="2" t="s">
        <v>592</v>
      </c>
      <c r="G155" s="2" t="s">
        <v>109</v>
      </c>
      <c r="H155" s="2" t="s">
        <v>44</v>
      </c>
      <c r="I155" s="2" t="s">
        <v>58</v>
      </c>
      <c r="J155" s="2" t="s">
        <v>41</v>
      </c>
      <c r="K155" s="2" t="s">
        <v>59</v>
      </c>
      <c r="L155" s="2" t="s">
        <v>60</v>
      </c>
      <c r="M155" s="2" t="s">
        <v>48</v>
      </c>
      <c r="N155" s="2" t="s">
        <v>111</v>
      </c>
      <c r="O155" s="2" t="s">
        <v>593</v>
      </c>
      <c r="P155" s="2" t="s">
        <v>79</v>
      </c>
      <c r="Q155" s="2" t="s">
        <v>41</v>
      </c>
      <c r="R155" s="2" t="n">
        <v>7</v>
      </c>
      <c r="S155" s="2" t="n">
        <v>3280.31</v>
      </c>
      <c r="T155" s="2" t="n">
        <v>0</v>
      </c>
      <c r="U155" s="2" t="str">
        <f aca="false">IF(ISBLANK(T155),"Yes","No")</f>
        <v>No</v>
      </c>
      <c r="V155" s="2" t="n">
        <f aca="false">IF(ISBLANK(T155),0,IF(ISNUMBER(T155),T155,VALUE(LEFT(T155,LEN(T155)-1))/100))</f>
        <v>0</v>
      </c>
      <c r="W155" s="2" t="str">
        <f aca="false">IF(AND(V155&gt;=0,V155&lt;=0.25),"Valid","Invalid")</f>
        <v>Valid</v>
      </c>
      <c r="X155" s="2" t="n">
        <v>22962.17</v>
      </c>
      <c r="Y155" s="2" t="n">
        <f aca="false">R155*S155*(1-V155)</f>
        <v>22962.17</v>
      </c>
      <c r="Z155" s="2" t="str">
        <f aca="false">IF(ABS(X155-Y155)&gt;1,"Mismatch","OK")</f>
        <v>OK</v>
      </c>
      <c r="AA155" s="2" t="n">
        <v>15716.5</v>
      </c>
      <c r="AB155" s="2" t="n">
        <v>7245.67</v>
      </c>
      <c r="AC155" s="2" t="n">
        <f aca="false">Y155-AA155</f>
        <v>7245.67</v>
      </c>
      <c r="AD155" s="2" t="str">
        <f aca="false">IF(ABS(AB155-AC155)&gt;1,"Mismatch","OK")</f>
        <v>OK</v>
      </c>
      <c r="AE155" s="4" t="n">
        <f aca="false">IF(Y155=0,0,AC155/Y155)</f>
        <v>0.315548138525235</v>
      </c>
      <c r="AF155" s="2" t="s">
        <v>122</v>
      </c>
      <c r="AG155" s="2" t="s">
        <v>123</v>
      </c>
      <c r="AH155" s="2" t="str">
        <f aca="false">IF(AND(AG155="Completed",AF155&lt;&gt;"Paid"),"Inconsistent","OK")</f>
        <v>OK</v>
      </c>
      <c r="AI155" s="2" t="n">
        <f aca="false">IF(OR(ISBLANK(B155),ISBLANK(C155)),"",C155-B155)</f>
        <v>2</v>
      </c>
      <c r="AJ155" s="2" t="str">
        <f aca="false">IF(AI155="","Unknown",IF(AI155&lt;0,"Invalid","OK"))</f>
        <v>OK</v>
      </c>
      <c r="AK155" s="2" t="str">
        <f aca="false">IF(ISBLANK(B155),"",TEXT(B155,"mmm"))</f>
        <v>Sep</v>
      </c>
      <c r="AL155" s="2" t="n">
        <f aca="false">IF(ISBLANK(B155),"",YEAR(B155))</f>
        <v>2025</v>
      </c>
      <c r="AM155" s="2" t="s">
        <v>41</v>
      </c>
      <c r="AN155" s="2" t="str">
        <f aca="false">IF(OR(W155="Invalid",AJ155="Invalid",AH155="Inconsistent",Z155="Mismatch",AD155="Mismatch",AM155="Yes",D155="Yes",E155="Yes"),"Invalid",IF(OR(J155="Yes",Q155="Yes",U155="Yes"),"Warning","Clean"))</f>
        <v>Clean</v>
      </c>
    </row>
    <row r="156" customFormat="false" ht="15" hidden="false" customHeight="false" outlineLevel="0" collapsed="false">
      <c r="A156" s="2" t="s">
        <v>594</v>
      </c>
      <c r="B156" s="3" t="n">
        <v>45334</v>
      </c>
      <c r="C156" s="3" t="n">
        <v>45333</v>
      </c>
      <c r="D156" s="2" t="s">
        <v>41</v>
      </c>
      <c r="E156" s="2" t="s">
        <v>41</v>
      </c>
      <c r="F156" s="2" t="s">
        <v>477</v>
      </c>
      <c r="G156" s="2" t="s">
        <v>134</v>
      </c>
      <c r="H156" s="2" t="s">
        <v>44</v>
      </c>
      <c r="I156" s="2" t="s">
        <v>74</v>
      </c>
      <c r="J156" s="2" t="s">
        <v>41</v>
      </c>
      <c r="K156" s="2" t="s">
        <v>269</v>
      </c>
      <c r="L156" s="2" t="s">
        <v>270</v>
      </c>
      <c r="M156" s="2" t="s">
        <v>61</v>
      </c>
      <c r="N156" s="2" t="s">
        <v>178</v>
      </c>
      <c r="O156" s="2" t="s">
        <v>595</v>
      </c>
      <c r="P156" s="2" t="s">
        <v>64</v>
      </c>
      <c r="Q156" s="2" t="s">
        <v>41</v>
      </c>
      <c r="R156" s="2" t="n">
        <v>1</v>
      </c>
      <c r="S156" s="2" t="n">
        <v>2599.12</v>
      </c>
      <c r="T156" s="2" t="n">
        <v>0.15</v>
      </c>
      <c r="U156" s="2" t="str">
        <f aca="false">IF(ISBLANK(T156),"Yes","No")</f>
        <v>No</v>
      </c>
      <c r="V156" s="2" t="n">
        <f aca="false">IF(ISBLANK(T156),0,IF(ISNUMBER(T156),T156,VALUE(LEFT(T156,LEN(T156)-1))/100))</f>
        <v>0.15</v>
      </c>
      <c r="W156" s="2" t="str">
        <f aca="false">IF(AND(V156&gt;=0,V156&lt;=0.25),"Valid","Invalid")</f>
        <v>Valid</v>
      </c>
      <c r="X156" s="2" t="n">
        <v>2209.25</v>
      </c>
      <c r="Y156" s="2" t="n">
        <f aca="false">R156*S156*(1-V156)</f>
        <v>2209.252</v>
      </c>
      <c r="Z156" s="2" t="str">
        <f aca="false">IF(ABS(X156-Y156)&gt;1,"Mismatch","OK")</f>
        <v>OK</v>
      </c>
      <c r="AA156" s="2" t="n">
        <v>1523.78</v>
      </c>
      <c r="AB156" s="2" t="n">
        <v>685.47</v>
      </c>
      <c r="AC156" s="2" t="n">
        <f aca="false">Y156-AA156</f>
        <v>685.472</v>
      </c>
      <c r="AD156" s="2" t="str">
        <f aca="false">IF(ABS(AB156-AC156)&gt;1,"Mismatch","OK")</f>
        <v>OK</v>
      </c>
      <c r="AE156" s="4" t="n">
        <f aca="false">IF(Y156=0,0,AC156/Y156)</f>
        <v>0.310273341384324</v>
      </c>
      <c r="AF156" s="2" t="s">
        <v>52</v>
      </c>
      <c r="AG156" s="2" t="s">
        <v>53</v>
      </c>
      <c r="AH156" s="2" t="str">
        <f aca="false">IF(AND(AG156="Completed",AF156&lt;&gt;"Paid"),"Inconsistent","OK")</f>
        <v>OK</v>
      </c>
      <c r="AI156" s="2" t="n">
        <f aca="false">IF(OR(ISBLANK(B156),ISBLANK(C156)),"",C156-B156)</f>
        <v>-1</v>
      </c>
      <c r="AJ156" s="2" t="str">
        <f aca="false">IF(AI156="","Unknown",IF(AI156&lt;0,"Invalid","OK"))</f>
        <v>Invalid</v>
      </c>
      <c r="AK156" s="2" t="str">
        <f aca="false">IF(ISBLANK(B156),"",TEXT(B156,"mmm"))</f>
        <v>Feb</v>
      </c>
      <c r="AL156" s="2" t="n">
        <f aca="false">IF(ISBLANK(B156),"",YEAR(B156))</f>
        <v>2024</v>
      </c>
      <c r="AM156" s="2" t="s">
        <v>41</v>
      </c>
      <c r="AN156" s="2" t="str">
        <f aca="false">IF(OR(W156="Invalid",AJ156="Invalid",AH156="Inconsistent",Z156="Mismatch",AD156="Mismatch",AM156="Yes",D156="Yes",E156="Yes"),"Invalid",IF(OR(J156="Yes",Q156="Yes",U156="Yes"),"Warning","Clean"))</f>
        <v>Invalid</v>
      </c>
    </row>
    <row r="157" customFormat="false" ht="15" hidden="false" customHeight="false" outlineLevel="0" collapsed="false">
      <c r="A157" s="2" t="s">
        <v>596</v>
      </c>
      <c r="B157" s="3" t="n">
        <v>45683</v>
      </c>
      <c r="C157" s="3" t="n">
        <v>45691</v>
      </c>
      <c r="D157" s="2" t="s">
        <v>41</v>
      </c>
      <c r="E157" s="2" t="s">
        <v>41</v>
      </c>
      <c r="F157" s="2" t="s">
        <v>597</v>
      </c>
      <c r="G157" s="2" t="s">
        <v>43</v>
      </c>
      <c r="H157" s="2" t="s">
        <v>110</v>
      </c>
      <c r="I157" s="2" t="s">
        <v>83</v>
      </c>
      <c r="J157" s="2" t="s">
        <v>41</v>
      </c>
      <c r="K157" s="2" t="s">
        <v>46</v>
      </c>
      <c r="L157" s="2" t="s">
        <v>129</v>
      </c>
      <c r="M157" s="2" t="s">
        <v>61</v>
      </c>
      <c r="N157" s="2" t="s">
        <v>77</v>
      </c>
      <c r="O157" s="2" t="s">
        <v>598</v>
      </c>
      <c r="P157" s="2" t="s">
        <v>64</v>
      </c>
      <c r="Q157" s="2" t="s">
        <v>41</v>
      </c>
      <c r="R157" s="2" t="n">
        <v>3</v>
      </c>
      <c r="S157" s="2" t="n">
        <v>2859.32</v>
      </c>
      <c r="T157" s="2" t="n">
        <v>0.1</v>
      </c>
      <c r="U157" s="2" t="str">
        <f aca="false">IF(ISBLANK(T157),"Yes","No")</f>
        <v>No</v>
      </c>
      <c r="V157" s="2" t="n">
        <f aca="false">IF(ISBLANK(T157),0,IF(ISNUMBER(T157),T157,VALUE(LEFT(T157,LEN(T157)-1))/100))</f>
        <v>0.1</v>
      </c>
      <c r="W157" s="2" t="str">
        <f aca="false">IF(AND(V157&gt;=0,V157&lt;=0.25),"Valid","Invalid")</f>
        <v>Valid</v>
      </c>
      <c r="X157" s="2" t="n">
        <v>7720.16</v>
      </c>
      <c r="Y157" s="2" t="n">
        <f aca="false">R157*S157*(1-V157)</f>
        <v>7720.164</v>
      </c>
      <c r="Z157" s="2" t="str">
        <f aca="false">IF(ABS(X157-Y157)&gt;1,"Mismatch","OK")</f>
        <v>OK</v>
      </c>
      <c r="AA157" s="2" t="n">
        <v>5881</v>
      </c>
      <c r="AB157" s="2" t="n">
        <v>1839.16</v>
      </c>
      <c r="AC157" s="2" t="n">
        <f aca="false">Y157-AA157</f>
        <v>1839.164</v>
      </c>
      <c r="AD157" s="2" t="str">
        <f aca="false">IF(ABS(AB157-AC157)&gt;1,"Mismatch","OK")</f>
        <v>OK</v>
      </c>
      <c r="AE157" s="4" t="n">
        <f aca="false">IF(Y157=0,0,AC157/Y157)</f>
        <v>0.238228617941277</v>
      </c>
      <c r="AF157" s="2" t="s">
        <v>122</v>
      </c>
      <c r="AG157" s="2" t="s">
        <v>123</v>
      </c>
      <c r="AH157" s="2" t="str">
        <f aca="false">IF(AND(AG157="Completed",AF157&lt;&gt;"Paid"),"Inconsistent","OK")</f>
        <v>OK</v>
      </c>
      <c r="AI157" s="2" t="n">
        <f aca="false">IF(OR(ISBLANK(B157),ISBLANK(C157)),"",C157-B157)</f>
        <v>8</v>
      </c>
      <c r="AJ157" s="2" t="str">
        <f aca="false">IF(AI157="","Unknown",IF(AI157&lt;0,"Invalid","OK"))</f>
        <v>OK</v>
      </c>
      <c r="AK157" s="2" t="str">
        <f aca="false">IF(ISBLANK(B157),"",TEXT(B157,"mmm"))</f>
        <v>Jan</v>
      </c>
      <c r="AL157" s="2" t="n">
        <f aca="false">IF(ISBLANK(B157),"",YEAR(B157))</f>
        <v>2025</v>
      </c>
      <c r="AM157" s="2" t="s">
        <v>41</v>
      </c>
      <c r="AN157" s="2" t="str">
        <f aca="false">IF(OR(W157="Invalid",AJ157="Invalid",AH157="Inconsistent",Z157="Mismatch",AD157="Mismatch",AM157="Yes",D157="Yes",E157="Yes"),"Invalid",IF(OR(J157="Yes",Q157="Yes",U157="Yes"),"Warning","Clean"))</f>
        <v>Clean</v>
      </c>
    </row>
    <row r="158" customFormat="false" ht="15" hidden="false" customHeight="false" outlineLevel="0" collapsed="false">
      <c r="A158" s="2" t="s">
        <v>599</v>
      </c>
      <c r="B158" s="3" t="n">
        <v>45743</v>
      </c>
      <c r="C158" s="3" t="n">
        <v>45743</v>
      </c>
      <c r="D158" s="2" t="s">
        <v>41</v>
      </c>
      <c r="E158" s="2" t="s">
        <v>41</v>
      </c>
      <c r="F158" s="2" t="s">
        <v>600</v>
      </c>
      <c r="G158" s="2" t="s">
        <v>91</v>
      </c>
      <c r="H158" s="2" t="s">
        <v>57</v>
      </c>
      <c r="I158" s="2" t="s">
        <v>58</v>
      </c>
      <c r="J158" s="2" t="s">
        <v>41</v>
      </c>
      <c r="K158" s="2" t="s">
        <v>165</v>
      </c>
      <c r="L158" s="2" t="s">
        <v>166</v>
      </c>
      <c r="M158" s="2" t="s">
        <v>94</v>
      </c>
      <c r="N158" s="2" t="s">
        <v>296</v>
      </c>
      <c r="O158" s="2" t="s">
        <v>601</v>
      </c>
      <c r="P158" s="2" t="s">
        <v>51</v>
      </c>
      <c r="Q158" s="2" t="s">
        <v>41</v>
      </c>
      <c r="R158" s="2" t="n">
        <v>7</v>
      </c>
      <c r="S158" s="2" t="n">
        <v>2305.37</v>
      </c>
      <c r="T158" s="2" t="n">
        <v>0.25</v>
      </c>
      <c r="U158" s="2" t="str">
        <f aca="false">IF(ISBLANK(T158),"Yes","No")</f>
        <v>No</v>
      </c>
      <c r="V158" s="2" t="n">
        <f aca="false">IF(ISBLANK(T158),0,IF(ISNUMBER(T158),T158,VALUE(LEFT(T158,LEN(T158)-1))/100))</f>
        <v>0.25</v>
      </c>
      <c r="W158" s="2" t="str">
        <f aca="false">IF(AND(V158&gt;=0,V158&lt;=0.25),"Valid","Invalid")</f>
        <v>Valid</v>
      </c>
      <c r="X158" s="2" t="n">
        <v>12103.19</v>
      </c>
      <c r="Y158" s="2" t="n">
        <f aca="false">R158*S158*(1-V158)</f>
        <v>12103.1925</v>
      </c>
      <c r="Z158" s="2" t="str">
        <f aca="false">IF(ABS(X158-Y158)&gt;1,"Mismatch","OK")</f>
        <v>OK</v>
      </c>
      <c r="AA158" s="2" t="n">
        <v>6717.87</v>
      </c>
      <c r="AB158" s="2" t="n">
        <v>5385.32</v>
      </c>
      <c r="AC158" s="2" t="n">
        <f aca="false">Y158-AA158</f>
        <v>5385.3225</v>
      </c>
      <c r="AD158" s="2" t="str">
        <f aca="false">IF(ABS(AB158-AC158)&gt;1,"Mismatch","OK")</f>
        <v>OK</v>
      </c>
      <c r="AE158" s="4" t="n">
        <f aca="false">IF(Y158=0,0,AC158/Y158)</f>
        <v>0.44495057812226</v>
      </c>
      <c r="AF158" s="2" t="s">
        <v>52</v>
      </c>
      <c r="AG158" s="2" t="s">
        <v>53</v>
      </c>
      <c r="AH158" s="2" t="str">
        <f aca="false">IF(AND(AG158="Completed",AF158&lt;&gt;"Paid"),"Inconsistent","OK")</f>
        <v>OK</v>
      </c>
      <c r="AI158" s="2" t="n">
        <f aca="false">IF(OR(ISBLANK(B158),ISBLANK(C158)),"",C158-B158)</f>
        <v>0</v>
      </c>
      <c r="AJ158" s="2" t="str">
        <f aca="false">IF(AI158="","Unknown",IF(AI158&lt;0,"Invalid","OK"))</f>
        <v>OK</v>
      </c>
      <c r="AK158" s="2" t="str">
        <f aca="false">IF(ISBLANK(B158),"",TEXT(B158,"mmm"))</f>
        <v>Mar</v>
      </c>
      <c r="AL158" s="2" t="n">
        <f aca="false">IF(ISBLANK(B158),"",YEAR(B158))</f>
        <v>2025</v>
      </c>
      <c r="AM158" s="2" t="s">
        <v>41</v>
      </c>
      <c r="AN158" s="2" t="str">
        <f aca="false">IF(OR(W158="Invalid",AJ158="Invalid",AH158="Inconsistent",Z158="Mismatch",AD158="Mismatch",AM158="Yes",D158="Yes",E158="Yes"),"Invalid",IF(OR(J158="Yes",Q158="Yes",U158="Yes"),"Warning","Clean"))</f>
        <v>Clean</v>
      </c>
    </row>
    <row r="159" customFormat="false" ht="15" hidden="false" customHeight="false" outlineLevel="0" collapsed="false">
      <c r="A159" s="2" t="s">
        <v>602</v>
      </c>
      <c r="B159" s="3" t="n">
        <v>45587</v>
      </c>
      <c r="C159" s="3" t="n">
        <v>45589</v>
      </c>
      <c r="D159" s="2" t="s">
        <v>41</v>
      </c>
      <c r="E159" s="2" t="s">
        <v>41</v>
      </c>
      <c r="F159" s="2" t="s">
        <v>603</v>
      </c>
      <c r="G159" s="2" t="s">
        <v>161</v>
      </c>
      <c r="H159" s="2" t="s">
        <v>57</v>
      </c>
      <c r="I159" s="2" t="s">
        <v>74</v>
      </c>
      <c r="J159" s="2" t="s">
        <v>41</v>
      </c>
      <c r="K159" s="2" t="s">
        <v>104</v>
      </c>
      <c r="L159" s="2" t="s">
        <v>105</v>
      </c>
      <c r="M159" s="2" t="s">
        <v>61</v>
      </c>
      <c r="N159" s="2" t="s">
        <v>178</v>
      </c>
      <c r="O159" s="2" t="s">
        <v>604</v>
      </c>
      <c r="P159" s="2" t="s">
        <v>79</v>
      </c>
      <c r="Q159" s="2" t="s">
        <v>41</v>
      </c>
      <c r="R159" s="2" t="n">
        <v>3</v>
      </c>
      <c r="S159" s="2" t="n">
        <v>915.84</v>
      </c>
      <c r="T159" s="2" t="n">
        <v>0.15</v>
      </c>
      <c r="U159" s="2" t="str">
        <f aca="false">IF(ISBLANK(T159),"Yes","No")</f>
        <v>No</v>
      </c>
      <c r="V159" s="2" t="n">
        <f aca="false">IF(ISBLANK(T159),0,IF(ISNUMBER(T159),T159,VALUE(LEFT(T159,LEN(T159)-1))/100))</f>
        <v>0.15</v>
      </c>
      <c r="W159" s="2" t="str">
        <f aca="false">IF(AND(V159&gt;=0,V159&lt;=0.25),"Valid","Invalid")</f>
        <v>Valid</v>
      </c>
      <c r="X159" s="2" t="n">
        <v>2335.39</v>
      </c>
      <c r="Y159" s="2" t="n">
        <f aca="false">R159*S159*(1-V159)</f>
        <v>2335.392</v>
      </c>
      <c r="Z159" s="2" t="str">
        <f aca="false">IF(ABS(X159-Y159)&gt;1,"Mismatch","OK")</f>
        <v>OK</v>
      </c>
      <c r="AA159" s="2" t="n">
        <v>1466.15</v>
      </c>
      <c r="AB159" s="2" t="n">
        <v>869.24</v>
      </c>
      <c r="AC159" s="2" t="n">
        <f aca="false">Y159-AA159</f>
        <v>869.242</v>
      </c>
      <c r="AD159" s="2" t="str">
        <f aca="false">IF(ABS(AB159-AC159)&gt;1,"Mismatch","OK")</f>
        <v>OK</v>
      </c>
      <c r="AE159" s="4" t="n">
        <f aca="false">IF(Y159=0,0,AC159/Y159)</f>
        <v>0.372203895534454</v>
      </c>
      <c r="AF159" s="2" t="s">
        <v>52</v>
      </c>
      <c r="AG159" s="2" t="s">
        <v>53</v>
      </c>
      <c r="AH159" s="2" t="str">
        <f aca="false">IF(AND(AG159="Completed",AF159&lt;&gt;"Paid"),"Inconsistent","OK")</f>
        <v>OK</v>
      </c>
      <c r="AI159" s="2" t="n">
        <f aca="false">IF(OR(ISBLANK(B159),ISBLANK(C159)),"",C159-B159)</f>
        <v>2</v>
      </c>
      <c r="AJ159" s="2" t="str">
        <f aca="false">IF(AI159="","Unknown",IF(AI159&lt;0,"Invalid","OK"))</f>
        <v>OK</v>
      </c>
      <c r="AK159" s="2" t="str">
        <f aca="false">IF(ISBLANK(B159),"",TEXT(B159,"mmm"))</f>
        <v>Oct</v>
      </c>
      <c r="AL159" s="2" t="n">
        <f aca="false">IF(ISBLANK(B159),"",YEAR(B159))</f>
        <v>2024</v>
      </c>
      <c r="AM159" s="2" t="s">
        <v>41</v>
      </c>
      <c r="AN159" s="2" t="str">
        <f aca="false">IF(OR(W159="Invalid",AJ159="Invalid",AH159="Inconsistent",Z159="Mismatch",AD159="Mismatch",AM159="Yes",D159="Yes",E159="Yes"),"Invalid",IF(OR(J159="Yes",Q159="Yes",U159="Yes"),"Warning","Clean"))</f>
        <v>Clean</v>
      </c>
    </row>
    <row r="160" customFormat="false" ht="15" hidden="false" customHeight="false" outlineLevel="0" collapsed="false">
      <c r="A160" s="2" t="s">
        <v>605</v>
      </c>
      <c r="B160" s="3" t="n">
        <v>45544</v>
      </c>
      <c r="C160" s="3" t="n">
        <v>45546</v>
      </c>
      <c r="D160" s="2" t="s">
        <v>41</v>
      </c>
      <c r="E160" s="2" t="s">
        <v>41</v>
      </c>
      <c r="F160" s="2" t="s">
        <v>606</v>
      </c>
      <c r="G160" s="2" t="s">
        <v>99</v>
      </c>
      <c r="H160" s="2" t="s">
        <v>115</v>
      </c>
      <c r="I160" s="2" t="s">
        <v>74</v>
      </c>
      <c r="J160" s="2" t="s">
        <v>41</v>
      </c>
      <c r="K160" s="2" t="s">
        <v>75</v>
      </c>
      <c r="L160" s="2" t="s">
        <v>76</v>
      </c>
      <c r="M160" s="2" t="s">
        <v>61</v>
      </c>
      <c r="N160" s="2" t="s">
        <v>178</v>
      </c>
      <c r="O160" s="2" t="s">
        <v>607</v>
      </c>
      <c r="P160" s="2" t="s">
        <v>70</v>
      </c>
      <c r="Q160" s="2" t="s">
        <v>41</v>
      </c>
      <c r="R160" s="2" t="n">
        <v>1</v>
      </c>
      <c r="S160" s="2" t="n">
        <v>4199.54</v>
      </c>
      <c r="T160" s="2" t="n">
        <v>0.05</v>
      </c>
      <c r="U160" s="2" t="str">
        <f aca="false">IF(ISBLANK(T160),"Yes","No")</f>
        <v>No</v>
      </c>
      <c r="V160" s="2" t="n">
        <f aca="false">IF(ISBLANK(T160),0,IF(ISNUMBER(T160),T160,VALUE(LEFT(T160,LEN(T160)-1))/100))</f>
        <v>0.05</v>
      </c>
      <c r="W160" s="2" t="str">
        <f aca="false">IF(AND(V160&gt;=0,V160&lt;=0.25),"Valid","Invalid")</f>
        <v>Valid</v>
      </c>
      <c r="X160" s="2" t="n">
        <v>3989.56</v>
      </c>
      <c r="Y160" s="2" t="n">
        <f aca="false">R160*S160*(1-V160)</f>
        <v>3989.563</v>
      </c>
      <c r="Z160" s="2" t="str">
        <f aca="false">IF(ABS(X160-Y160)&gt;1,"Mismatch","OK")</f>
        <v>OK</v>
      </c>
      <c r="AA160" s="2" t="n">
        <v>2381.38</v>
      </c>
      <c r="AB160" s="2" t="n">
        <v>1608.18</v>
      </c>
      <c r="AC160" s="2" t="n">
        <f aca="false">Y160-AA160</f>
        <v>1608.183</v>
      </c>
      <c r="AD160" s="2" t="str">
        <f aca="false">IF(ABS(AB160-AC160)&gt;1,"Mismatch","OK")</f>
        <v>OK</v>
      </c>
      <c r="AE160" s="4" t="n">
        <f aca="false">IF(Y160=0,0,AC160/Y160)</f>
        <v>0.403097532235987</v>
      </c>
      <c r="AF160" s="2" t="s">
        <v>52</v>
      </c>
      <c r="AG160" s="2" t="s">
        <v>53</v>
      </c>
      <c r="AH160" s="2" t="str">
        <f aca="false">IF(AND(AG160="Completed",AF160&lt;&gt;"Paid"),"Inconsistent","OK")</f>
        <v>OK</v>
      </c>
      <c r="AI160" s="2" t="n">
        <f aca="false">IF(OR(ISBLANK(B160),ISBLANK(C160)),"",C160-B160)</f>
        <v>2</v>
      </c>
      <c r="AJ160" s="2" t="str">
        <f aca="false">IF(AI160="","Unknown",IF(AI160&lt;0,"Invalid","OK"))</f>
        <v>OK</v>
      </c>
      <c r="AK160" s="2" t="str">
        <f aca="false">IF(ISBLANK(B160),"",TEXT(B160,"mmm"))</f>
        <v>Sep</v>
      </c>
      <c r="AL160" s="2" t="n">
        <f aca="false">IF(ISBLANK(B160),"",YEAR(B160))</f>
        <v>2024</v>
      </c>
      <c r="AM160" s="2" t="s">
        <v>41</v>
      </c>
      <c r="AN160" s="2" t="str">
        <f aca="false">IF(OR(W160="Invalid",AJ160="Invalid",AH160="Inconsistent",Z160="Mismatch",AD160="Mismatch",AM160="Yes",D160="Yes",E160="Yes"),"Invalid",IF(OR(J160="Yes",Q160="Yes",U160="Yes"),"Warning","Clean"))</f>
        <v>Clean</v>
      </c>
    </row>
    <row r="161" customFormat="false" ht="15" hidden="false" customHeight="false" outlineLevel="0" collapsed="false">
      <c r="A161" s="2" t="s">
        <v>608</v>
      </c>
      <c r="B161" s="3" t="n">
        <v>45687</v>
      </c>
      <c r="C161" s="3" t="n">
        <v>45692</v>
      </c>
      <c r="D161" s="2" t="s">
        <v>41</v>
      </c>
      <c r="E161" s="2" t="s">
        <v>41</v>
      </c>
      <c r="F161" s="2" t="s">
        <v>609</v>
      </c>
      <c r="G161" s="2" t="s">
        <v>134</v>
      </c>
      <c r="H161" s="2" t="s">
        <v>110</v>
      </c>
      <c r="I161" s="2" t="s">
        <v>45</v>
      </c>
      <c r="J161" s="2" t="s">
        <v>41</v>
      </c>
      <c r="K161" s="2" t="s">
        <v>258</v>
      </c>
      <c r="L161" s="2" t="s">
        <v>259</v>
      </c>
      <c r="M161" s="2" t="s">
        <v>61</v>
      </c>
      <c r="N161" s="2" t="s">
        <v>86</v>
      </c>
      <c r="O161" s="2" t="s">
        <v>610</v>
      </c>
      <c r="P161" s="2" t="s">
        <v>64</v>
      </c>
      <c r="Q161" s="2" t="s">
        <v>41</v>
      </c>
      <c r="R161" s="2" t="n">
        <v>9</v>
      </c>
      <c r="S161" s="2" t="n">
        <v>4430.5</v>
      </c>
      <c r="T161" s="2" t="n">
        <v>0.15</v>
      </c>
      <c r="U161" s="2" t="str">
        <f aca="false">IF(ISBLANK(T161),"Yes","No")</f>
        <v>No</v>
      </c>
      <c r="V161" s="2" t="n">
        <f aca="false">IF(ISBLANK(T161),0,IF(ISNUMBER(T161),T161,VALUE(LEFT(T161,LEN(T161)-1))/100))</f>
        <v>0.15</v>
      </c>
      <c r="W161" s="2" t="str">
        <f aca="false">IF(AND(V161&gt;=0,V161&lt;=0.25),"Valid","Invalid")</f>
        <v>Valid</v>
      </c>
      <c r="X161" s="2" t="n">
        <v>33893.32</v>
      </c>
      <c r="Y161" s="2" t="n">
        <f aca="false">R161*S161*(1-V161)</f>
        <v>33893.325</v>
      </c>
      <c r="Z161" s="2" t="str">
        <f aca="false">IF(ABS(X161-Y161)&gt;1,"Mismatch","OK")</f>
        <v>OK</v>
      </c>
      <c r="AA161" s="2" t="n">
        <v>25750.35</v>
      </c>
      <c r="AB161" s="2" t="n">
        <v>8142.97</v>
      </c>
      <c r="AC161" s="2" t="n">
        <f aca="false">Y161-AA161</f>
        <v>8142.975</v>
      </c>
      <c r="AD161" s="2" t="str">
        <f aca="false">IF(ABS(AB161-AC161)&gt;1,"Mismatch","OK")</f>
        <v>OK</v>
      </c>
      <c r="AE161" s="4" t="n">
        <f aca="false">IF(Y161=0,0,AC161/Y161)</f>
        <v>0.240253058677483</v>
      </c>
      <c r="AF161" s="2" t="s">
        <v>131</v>
      </c>
      <c r="AG161" s="2" t="s">
        <v>88</v>
      </c>
      <c r="AH161" s="2" t="str">
        <f aca="false">IF(AND(AG161="Completed",AF161&lt;&gt;"Paid"),"Inconsistent","OK")</f>
        <v>OK</v>
      </c>
      <c r="AI161" s="2" t="n">
        <f aca="false">IF(OR(ISBLANK(B161),ISBLANK(C161)),"",C161-B161)</f>
        <v>5</v>
      </c>
      <c r="AJ161" s="2" t="str">
        <f aca="false">IF(AI161="","Unknown",IF(AI161&lt;0,"Invalid","OK"))</f>
        <v>OK</v>
      </c>
      <c r="AK161" s="2" t="str">
        <f aca="false">IF(ISBLANK(B161),"",TEXT(B161,"mmm"))</f>
        <v>Jan</v>
      </c>
      <c r="AL161" s="2" t="n">
        <f aca="false">IF(ISBLANK(B161),"",YEAR(B161))</f>
        <v>2025</v>
      </c>
      <c r="AM161" s="2" t="s">
        <v>41</v>
      </c>
      <c r="AN161" s="2" t="str">
        <f aca="false">IF(OR(W161="Invalid",AJ161="Invalid",AH161="Inconsistent",Z161="Mismatch",AD161="Mismatch",AM161="Yes",D161="Yes",E161="Yes"),"Invalid",IF(OR(J161="Yes",Q161="Yes",U161="Yes"),"Warning","Clean"))</f>
        <v>Clean</v>
      </c>
    </row>
    <row r="162" customFormat="false" ht="15" hidden="false" customHeight="false" outlineLevel="0" collapsed="false">
      <c r="A162" s="2" t="s">
        <v>611</v>
      </c>
      <c r="B162" s="3" t="n">
        <v>45938</v>
      </c>
      <c r="C162" s="3" t="n">
        <v>45936</v>
      </c>
      <c r="D162" s="2" t="s">
        <v>41</v>
      </c>
      <c r="E162" s="2" t="s">
        <v>41</v>
      </c>
      <c r="F162" s="2" t="s">
        <v>612</v>
      </c>
      <c r="G162" s="2" t="s">
        <v>91</v>
      </c>
      <c r="H162" s="2" t="s">
        <v>57</v>
      </c>
      <c r="I162" s="2" t="s">
        <v>83</v>
      </c>
      <c r="J162" s="2" t="s">
        <v>41</v>
      </c>
      <c r="K162" s="2" t="s">
        <v>84</v>
      </c>
      <c r="L162" s="2" t="s">
        <v>85</v>
      </c>
      <c r="M162" s="2" t="s">
        <v>48</v>
      </c>
      <c r="N162" s="2" t="s">
        <v>49</v>
      </c>
      <c r="O162" s="2" t="s">
        <v>613</v>
      </c>
      <c r="P162" s="2" t="s">
        <v>51</v>
      </c>
      <c r="Q162" s="2" t="s">
        <v>41</v>
      </c>
      <c r="R162" s="2" t="n">
        <v>4</v>
      </c>
      <c r="S162" s="2" t="n">
        <v>1260.42</v>
      </c>
      <c r="T162" s="2" t="n">
        <v>0.05</v>
      </c>
      <c r="U162" s="2" t="str">
        <f aca="false">IF(ISBLANK(T162),"Yes","No")</f>
        <v>No</v>
      </c>
      <c r="V162" s="2" t="n">
        <f aca="false">IF(ISBLANK(T162),0,IF(ISNUMBER(T162),T162,VALUE(LEFT(T162,LEN(T162)-1))/100))</f>
        <v>0.05</v>
      </c>
      <c r="W162" s="2" t="str">
        <f aca="false">IF(AND(V162&gt;=0,V162&lt;=0.25),"Valid","Invalid")</f>
        <v>Valid</v>
      </c>
      <c r="X162" s="2" t="n">
        <v>4789.6</v>
      </c>
      <c r="Y162" s="2" t="n">
        <f aca="false">R162*S162*(1-V162)</f>
        <v>4789.596</v>
      </c>
      <c r="Z162" s="2" t="str">
        <f aca="false">IF(ABS(X162-Y162)&gt;1,"Mismatch","OK")</f>
        <v>OK</v>
      </c>
      <c r="AA162" s="2" t="n">
        <v>4037.64</v>
      </c>
      <c r="AB162" s="2" t="n">
        <v>751.96</v>
      </c>
      <c r="AC162" s="2" t="n">
        <f aca="false">Y162-AA162</f>
        <v>751.956000000001</v>
      </c>
      <c r="AD162" s="2" t="str">
        <f aca="false">IF(ABS(AB162-AC162)&gt;1,"Mismatch","OK")</f>
        <v>OK</v>
      </c>
      <c r="AE162" s="4" t="n">
        <f aca="false">IF(Y162=0,0,AC162/Y162)</f>
        <v>0.156997792715711</v>
      </c>
      <c r="AF162" s="2" t="s">
        <v>131</v>
      </c>
      <c r="AG162" s="2" t="s">
        <v>88</v>
      </c>
      <c r="AH162" s="2" t="str">
        <f aca="false">IF(AND(AG162="Completed",AF162&lt;&gt;"Paid"),"Inconsistent","OK")</f>
        <v>OK</v>
      </c>
      <c r="AI162" s="2" t="n">
        <f aca="false">IF(OR(ISBLANK(B162),ISBLANK(C162)),"",C162-B162)</f>
        <v>-2</v>
      </c>
      <c r="AJ162" s="2" t="str">
        <f aca="false">IF(AI162="","Unknown",IF(AI162&lt;0,"Invalid","OK"))</f>
        <v>Invalid</v>
      </c>
      <c r="AK162" s="2" t="str">
        <f aca="false">IF(ISBLANK(B162),"",TEXT(B162,"mmm"))</f>
        <v>Oct</v>
      </c>
      <c r="AL162" s="2" t="n">
        <f aca="false">IF(ISBLANK(B162),"",YEAR(B162))</f>
        <v>2025</v>
      </c>
      <c r="AM162" s="2" t="s">
        <v>41</v>
      </c>
      <c r="AN162" s="2" t="str">
        <f aca="false">IF(OR(W162="Invalid",AJ162="Invalid",AH162="Inconsistent",Z162="Mismatch",AD162="Mismatch",AM162="Yes",D162="Yes",E162="Yes"),"Invalid",IF(OR(J162="Yes",Q162="Yes",U162="Yes"),"Warning","Clean"))</f>
        <v>Invalid</v>
      </c>
    </row>
    <row r="163" customFormat="false" ht="15" hidden="false" customHeight="false" outlineLevel="0" collapsed="false">
      <c r="A163" s="2" t="s">
        <v>614</v>
      </c>
      <c r="B163" s="3" t="n">
        <v>45862</v>
      </c>
      <c r="C163" s="3" t="n">
        <v>45868</v>
      </c>
      <c r="D163" s="2" t="s">
        <v>41</v>
      </c>
      <c r="E163" s="2" t="s">
        <v>41</v>
      </c>
      <c r="F163" s="2" t="s">
        <v>615</v>
      </c>
      <c r="G163" s="2" t="s">
        <v>73</v>
      </c>
      <c r="H163" s="2" t="s">
        <v>44</v>
      </c>
      <c r="I163" s="2" t="s">
        <v>83</v>
      </c>
      <c r="J163" s="2" t="s">
        <v>41</v>
      </c>
      <c r="K163" s="2" t="s">
        <v>46</v>
      </c>
      <c r="L163" s="2" t="s">
        <v>129</v>
      </c>
      <c r="M163" s="2" t="s">
        <v>48</v>
      </c>
      <c r="N163" s="2" t="s">
        <v>173</v>
      </c>
      <c r="O163" s="2" t="s">
        <v>616</v>
      </c>
      <c r="P163" s="2" t="s">
        <v>79</v>
      </c>
      <c r="Q163" s="2" t="s">
        <v>41</v>
      </c>
      <c r="R163" s="2" t="n">
        <v>1</v>
      </c>
      <c r="S163" s="2" t="n">
        <v>1643.41</v>
      </c>
      <c r="T163" s="2" t="n">
        <v>0</v>
      </c>
      <c r="U163" s="2" t="str">
        <f aca="false">IF(ISBLANK(T163),"Yes","No")</f>
        <v>No</v>
      </c>
      <c r="V163" s="2" t="n">
        <f aca="false">IF(ISBLANK(T163),0,IF(ISNUMBER(T163),T163,VALUE(LEFT(T163,LEN(T163)-1))/100))</f>
        <v>0</v>
      </c>
      <c r="W163" s="2" t="str">
        <f aca="false">IF(AND(V163&gt;=0,V163&lt;=0.25),"Valid","Invalid")</f>
        <v>Valid</v>
      </c>
      <c r="X163" s="2" t="n">
        <v>1643.41</v>
      </c>
      <c r="Y163" s="2" t="n">
        <f aca="false">R163*S163*(1-V163)</f>
        <v>1643.41</v>
      </c>
      <c r="Z163" s="2" t="str">
        <f aca="false">IF(ABS(X163-Y163)&gt;1,"Mismatch","OK")</f>
        <v>OK</v>
      </c>
      <c r="AA163" s="2" t="n">
        <v>907.4</v>
      </c>
      <c r="AB163" s="2" t="n">
        <v>736.01</v>
      </c>
      <c r="AC163" s="2" t="n">
        <f aca="false">Y163-AA163</f>
        <v>736.01</v>
      </c>
      <c r="AD163" s="2" t="str">
        <f aca="false">IF(ABS(AB163-AC163)&gt;1,"Mismatch","OK")</f>
        <v>OK</v>
      </c>
      <c r="AE163" s="4" t="n">
        <f aca="false">IF(Y163=0,0,AC163/Y163)</f>
        <v>0.447855373887222</v>
      </c>
      <c r="AF163" s="2" t="s">
        <v>131</v>
      </c>
      <c r="AG163" s="2" t="s">
        <v>88</v>
      </c>
      <c r="AH163" s="2" t="str">
        <f aca="false">IF(AND(AG163="Completed",AF163&lt;&gt;"Paid"),"Inconsistent","OK")</f>
        <v>OK</v>
      </c>
      <c r="AI163" s="2" t="n">
        <f aca="false">IF(OR(ISBLANK(B163),ISBLANK(C163)),"",C163-B163)</f>
        <v>6</v>
      </c>
      <c r="AJ163" s="2" t="str">
        <f aca="false">IF(AI163="","Unknown",IF(AI163&lt;0,"Invalid","OK"))</f>
        <v>OK</v>
      </c>
      <c r="AK163" s="2" t="str">
        <f aca="false">IF(ISBLANK(B163),"",TEXT(B163,"mmm"))</f>
        <v>Jul</v>
      </c>
      <c r="AL163" s="2" t="n">
        <f aca="false">IF(ISBLANK(B163),"",YEAR(B163))</f>
        <v>2025</v>
      </c>
      <c r="AM163" s="2" t="s">
        <v>41</v>
      </c>
      <c r="AN163" s="2" t="str">
        <f aca="false">IF(OR(W163="Invalid",AJ163="Invalid",AH163="Inconsistent",Z163="Mismatch",AD163="Mismatch",AM163="Yes",D163="Yes",E163="Yes"),"Invalid",IF(OR(J163="Yes",Q163="Yes",U163="Yes"),"Warning","Clean"))</f>
        <v>Clean</v>
      </c>
    </row>
    <row r="164" customFormat="false" ht="15" hidden="false" customHeight="false" outlineLevel="0" collapsed="false">
      <c r="A164" s="2" t="s">
        <v>617</v>
      </c>
      <c r="B164" s="3" t="n">
        <v>45360</v>
      </c>
      <c r="C164" s="3" t="n">
        <v>45365</v>
      </c>
      <c r="D164" s="2" t="s">
        <v>41</v>
      </c>
      <c r="E164" s="2" t="s">
        <v>41</v>
      </c>
      <c r="F164" s="2" t="s">
        <v>618</v>
      </c>
      <c r="G164" s="2" t="s">
        <v>99</v>
      </c>
      <c r="H164" s="2" t="s">
        <v>57</v>
      </c>
      <c r="I164" s="2" t="s">
        <v>83</v>
      </c>
      <c r="J164" s="2" t="s">
        <v>41</v>
      </c>
      <c r="K164" s="2" t="s">
        <v>210</v>
      </c>
      <c r="L164" s="2" t="s">
        <v>211</v>
      </c>
      <c r="M164" s="2" t="s">
        <v>61</v>
      </c>
      <c r="N164" s="2" t="s">
        <v>77</v>
      </c>
      <c r="O164" s="2" t="s">
        <v>619</v>
      </c>
      <c r="P164" s="2" t="s">
        <v>51</v>
      </c>
      <c r="Q164" s="2" t="s">
        <v>41</v>
      </c>
      <c r="R164" s="2" t="n">
        <v>8</v>
      </c>
      <c r="S164" s="2" t="n">
        <v>4472.84</v>
      </c>
      <c r="T164" s="2" t="n">
        <v>0</v>
      </c>
      <c r="U164" s="2" t="str">
        <f aca="false">IF(ISBLANK(T164),"Yes","No")</f>
        <v>No</v>
      </c>
      <c r="V164" s="2" t="n">
        <f aca="false">IF(ISBLANK(T164),0,IF(ISNUMBER(T164),T164,VALUE(LEFT(T164,LEN(T164)-1))/100))</f>
        <v>0</v>
      </c>
      <c r="W164" s="2" t="str">
        <f aca="false">IF(AND(V164&gt;=0,V164&lt;=0.25),"Valid","Invalid")</f>
        <v>Valid</v>
      </c>
      <c r="X164" s="2" t="n">
        <v>35997.62</v>
      </c>
      <c r="Y164" s="2" t="n">
        <f aca="false">R164*S164*(1-V164)</f>
        <v>35782.72</v>
      </c>
      <c r="Z164" s="2" t="str">
        <f aca="false">IF(ABS(X164-Y164)&gt;1,"Mismatch","OK")</f>
        <v>Mismatch</v>
      </c>
      <c r="AA164" s="2" t="n">
        <v>26424.41</v>
      </c>
      <c r="AB164" s="2" t="n">
        <v>9358.31</v>
      </c>
      <c r="AC164" s="2" t="n">
        <f aca="false">Y164-AA164</f>
        <v>9358.31</v>
      </c>
      <c r="AD164" s="2" t="str">
        <f aca="false">IF(ABS(AB164-AC164)&gt;1,"Mismatch","OK")</f>
        <v>OK</v>
      </c>
      <c r="AE164" s="4" t="n">
        <f aca="false">IF(Y164=0,0,AC164/Y164)</f>
        <v>0.261531543717191</v>
      </c>
      <c r="AF164" s="2" t="s">
        <v>131</v>
      </c>
      <c r="AG164" s="2" t="s">
        <v>123</v>
      </c>
      <c r="AH164" s="2" t="str">
        <f aca="false">IF(AND(AG164="Completed",AF164&lt;&gt;"Paid"),"Inconsistent","OK")</f>
        <v>OK</v>
      </c>
      <c r="AI164" s="2" t="n">
        <f aca="false">IF(OR(ISBLANK(B164),ISBLANK(C164)),"",C164-B164)</f>
        <v>5</v>
      </c>
      <c r="AJ164" s="2" t="str">
        <f aca="false">IF(AI164="","Unknown",IF(AI164&lt;0,"Invalid","OK"))</f>
        <v>OK</v>
      </c>
      <c r="AK164" s="2" t="str">
        <f aca="false">IF(ISBLANK(B164),"",TEXT(B164,"mmm"))</f>
        <v>Mar</v>
      </c>
      <c r="AL164" s="2" t="n">
        <f aca="false">IF(ISBLANK(B164),"",YEAR(B164))</f>
        <v>2024</v>
      </c>
      <c r="AM164" s="2" t="s">
        <v>41</v>
      </c>
      <c r="AN164" s="2" t="str">
        <f aca="false">IF(OR(W164="Invalid",AJ164="Invalid",AH164="Inconsistent",Z164="Mismatch",AD164="Mismatch",AM164="Yes",D164="Yes",E164="Yes"),"Invalid",IF(OR(J164="Yes",Q164="Yes",U164="Yes"),"Warning","Clean"))</f>
        <v>Invalid</v>
      </c>
    </row>
    <row r="165" customFormat="false" ht="15" hidden="false" customHeight="false" outlineLevel="0" collapsed="false">
      <c r="A165" s="2" t="s">
        <v>620</v>
      </c>
      <c r="B165" s="3" t="n">
        <v>45921</v>
      </c>
      <c r="C165" s="3" t="n">
        <v>45926</v>
      </c>
      <c r="D165" s="2" t="s">
        <v>41</v>
      </c>
      <c r="E165" s="2" t="s">
        <v>41</v>
      </c>
      <c r="F165" s="2" t="s">
        <v>621</v>
      </c>
      <c r="G165" s="2" t="s">
        <v>161</v>
      </c>
      <c r="H165" s="2" t="s">
        <v>115</v>
      </c>
      <c r="I165" s="2" t="s">
        <v>83</v>
      </c>
      <c r="J165" s="2" t="s">
        <v>41</v>
      </c>
      <c r="K165" s="2" t="s">
        <v>200</v>
      </c>
      <c r="L165" s="2" t="s">
        <v>201</v>
      </c>
      <c r="M165" s="2" t="s">
        <v>61</v>
      </c>
      <c r="N165" s="2" t="s">
        <v>62</v>
      </c>
      <c r="O165" s="2" t="s">
        <v>622</v>
      </c>
      <c r="P165" s="2" t="s">
        <v>225</v>
      </c>
      <c r="Q165" s="2" t="s">
        <v>226</v>
      </c>
      <c r="R165" s="2" t="n">
        <v>6</v>
      </c>
      <c r="S165" s="2" t="n">
        <v>2903.58</v>
      </c>
      <c r="T165" s="2" t="n">
        <v>0.1</v>
      </c>
      <c r="U165" s="2" t="str">
        <f aca="false">IF(ISBLANK(T165),"Yes","No")</f>
        <v>No</v>
      </c>
      <c r="V165" s="2" t="n">
        <f aca="false">IF(ISBLANK(T165),0,IF(ISNUMBER(T165),T165,VALUE(LEFT(T165,LEN(T165)-1))/100))</f>
        <v>0.1</v>
      </c>
      <c r="W165" s="2" t="str">
        <f aca="false">IF(AND(V165&gt;=0,V165&lt;=0.25),"Valid","Invalid")</f>
        <v>Valid</v>
      </c>
      <c r="X165" s="2" t="n">
        <v>15679.33</v>
      </c>
      <c r="Y165" s="2" t="n">
        <f aca="false">R165*S165*(1-V165)</f>
        <v>15679.332</v>
      </c>
      <c r="Z165" s="2" t="str">
        <f aca="false">IF(ABS(X165-Y165)&gt;1,"Mismatch","OK")</f>
        <v>OK</v>
      </c>
      <c r="AA165" s="2" t="n">
        <v>12477.82</v>
      </c>
      <c r="AB165" s="2" t="n">
        <v>3201.51</v>
      </c>
      <c r="AC165" s="2" t="n">
        <f aca="false">Y165-AA165</f>
        <v>3201.512</v>
      </c>
      <c r="AD165" s="2" t="str">
        <f aca="false">IF(ABS(AB165-AC165)&gt;1,"Mismatch","OK")</f>
        <v>OK</v>
      </c>
      <c r="AE165" s="4" t="n">
        <f aca="false">IF(Y165=0,0,AC165/Y165)</f>
        <v>0.204186759997173</v>
      </c>
      <c r="AF165" s="2" t="s">
        <v>131</v>
      </c>
      <c r="AG165" s="2" t="s">
        <v>123</v>
      </c>
      <c r="AH165" s="2" t="str">
        <f aca="false">IF(AND(AG165="Completed",AF165&lt;&gt;"Paid"),"Inconsistent","OK")</f>
        <v>OK</v>
      </c>
      <c r="AI165" s="2" t="n">
        <f aca="false">IF(OR(ISBLANK(B165),ISBLANK(C165)),"",C165-B165)</f>
        <v>5</v>
      </c>
      <c r="AJ165" s="2" t="str">
        <f aca="false">IF(AI165="","Unknown",IF(AI165&lt;0,"Invalid","OK"))</f>
        <v>OK</v>
      </c>
      <c r="AK165" s="2" t="str">
        <f aca="false">IF(ISBLANK(B165),"",TEXT(B165,"mmm"))</f>
        <v>Sep</v>
      </c>
      <c r="AL165" s="2" t="n">
        <f aca="false">IF(ISBLANK(B165),"",YEAR(B165))</f>
        <v>2025</v>
      </c>
      <c r="AM165" s="2" t="s">
        <v>41</v>
      </c>
      <c r="AN165" s="2" t="str">
        <f aca="false">IF(OR(W165="Invalid",AJ165="Invalid",AH165="Inconsistent",Z165="Mismatch",AD165="Mismatch",AM165="Yes",D165="Yes",E165="Yes"),"Invalid",IF(OR(J165="Yes",Q165="Yes",U165="Yes"),"Warning","Clean"))</f>
        <v>Warning</v>
      </c>
    </row>
    <row r="166" customFormat="false" ht="15" hidden="false" customHeight="false" outlineLevel="0" collapsed="false">
      <c r="A166" s="2" t="s">
        <v>623</v>
      </c>
      <c r="B166" s="3" t="n">
        <v>45909</v>
      </c>
      <c r="C166" s="3" t="n">
        <v>45914</v>
      </c>
      <c r="D166" s="2" t="s">
        <v>41</v>
      </c>
      <c r="E166" s="2" t="s">
        <v>41</v>
      </c>
      <c r="F166" s="2" t="s">
        <v>624</v>
      </c>
      <c r="G166" s="2" t="s">
        <v>138</v>
      </c>
      <c r="H166" s="2" t="s">
        <v>57</v>
      </c>
      <c r="I166" s="2" t="s">
        <v>58</v>
      </c>
      <c r="J166" s="2" t="s">
        <v>41</v>
      </c>
      <c r="K166" s="2" t="s">
        <v>119</v>
      </c>
      <c r="L166" s="2" t="s">
        <v>120</v>
      </c>
      <c r="M166" s="2" t="s">
        <v>61</v>
      </c>
      <c r="N166" s="2" t="s">
        <v>178</v>
      </c>
      <c r="O166" s="2" t="s">
        <v>625</v>
      </c>
      <c r="P166" s="2" t="s">
        <v>51</v>
      </c>
      <c r="Q166" s="2" t="s">
        <v>41</v>
      </c>
      <c r="R166" s="2" t="n">
        <v>1</v>
      </c>
      <c r="S166" s="2" t="n">
        <v>3154.42</v>
      </c>
      <c r="T166" s="2" t="n">
        <v>0.25</v>
      </c>
      <c r="U166" s="2" t="str">
        <f aca="false">IF(ISBLANK(T166),"Yes","No")</f>
        <v>No</v>
      </c>
      <c r="V166" s="2" t="n">
        <f aca="false">IF(ISBLANK(T166),0,IF(ISNUMBER(T166),T166,VALUE(LEFT(T166,LEN(T166)-1))/100))</f>
        <v>0.25</v>
      </c>
      <c r="W166" s="2" t="str">
        <f aca="false">IF(AND(V166&gt;=0,V166&lt;=0.25),"Valid","Invalid")</f>
        <v>Valid</v>
      </c>
      <c r="X166" s="2" t="n">
        <v>2365.82</v>
      </c>
      <c r="Y166" s="2" t="n">
        <f aca="false">R166*S166*(1-V166)</f>
        <v>2365.815</v>
      </c>
      <c r="Z166" s="2" t="str">
        <f aca="false">IF(ABS(X166-Y166)&gt;1,"Mismatch","OK")</f>
        <v>OK</v>
      </c>
      <c r="AA166" s="2" t="n">
        <v>1547.99</v>
      </c>
      <c r="AB166" s="2" t="n">
        <v>817.83</v>
      </c>
      <c r="AC166" s="2" t="n">
        <f aca="false">Y166-AA166</f>
        <v>817.825</v>
      </c>
      <c r="AD166" s="2" t="str">
        <f aca="false">IF(ABS(AB166-AC166)&gt;1,"Mismatch","OK")</f>
        <v>OK</v>
      </c>
      <c r="AE166" s="4" t="n">
        <f aca="false">IF(Y166=0,0,AC166/Y166)</f>
        <v>0.345684256799454</v>
      </c>
      <c r="AF166" s="2" t="s">
        <v>52</v>
      </c>
      <c r="AG166" s="2" t="s">
        <v>53</v>
      </c>
      <c r="AH166" s="2" t="str">
        <f aca="false">IF(AND(AG166="Completed",AF166&lt;&gt;"Paid"),"Inconsistent","OK")</f>
        <v>OK</v>
      </c>
      <c r="AI166" s="2" t="n">
        <f aca="false">IF(OR(ISBLANK(B166),ISBLANK(C166)),"",C166-B166)</f>
        <v>5</v>
      </c>
      <c r="AJ166" s="2" t="str">
        <f aca="false">IF(AI166="","Unknown",IF(AI166&lt;0,"Invalid","OK"))</f>
        <v>OK</v>
      </c>
      <c r="AK166" s="2" t="str">
        <f aca="false">IF(ISBLANK(B166),"",TEXT(B166,"mmm"))</f>
        <v>Sep</v>
      </c>
      <c r="AL166" s="2" t="n">
        <f aca="false">IF(ISBLANK(B166),"",YEAR(B166))</f>
        <v>2025</v>
      </c>
      <c r="AM166" s="2" t="s">
        <v>41</v>
      </c>
      <c r="AN166" s="2" t="str">
        <f aca="false">IF(OR(W166="Invalid",AJ166="Invalid",AH166="Inconsistent",Z166="Mismatch",AD166="Mismatch",AM166="Yes",D166="Yes",E166="Yes"),"Invalid",IF(OR(J166="Yes",Q166="Yes",U166="Yes"),"Warning","Clean"))</f>
        <v>Clean</v>
      </c>
    </row>
    <row r="167" customFormat="false" ht="15" hidden="false" customHeight="false" outlineLevel="0" collapsed="false">
      <c r="A167" s="2" t="s">
        <v>626</v>
      </c>
      <c r="B167" s="3" t="n">
        <v>45618</v>
      </c>
      <c r="C167" s="3" t="n">
        <v>45625</v>
      </c>
      <c r="D167" s="2" t="s">
        <v>41</v>
      </c>
      <c r="E167" s="2" t="s">
        <v>41</v>
      </c>
      <c r="F167" s="2" t="s">
        <v>627</v>
      </c>
      <c r="G167" s="2" t="s">
        <v>56</v>
      </c>
      <c r="H167" s="2" t="s">
        <v>115</v>
      </c>
      <c r="I167" s="2" t="s">
        <v>58</v>
      </c>
      <c r="J167" s="2" t="s">
        <v>41</v>
      </c>
      <c r="K167" s="2" t="s">
        <v>165</v>
      </c>
      <c r="L167" s="2" t="s">
        <v>166</v>
      </c>
      <c r="M167" s="2" t="s">
        <v>61</v>
      </c>
      <c r="N167" s="2" t="s">
        <v>86</v>
      </c>
      <c r="O167" s="2" t="s">
        <v>628</v>
      </c>
      <c r="P167" s="2" t="s">
        <v>79</v>
      </c>
      <c r="Q167" s="2" t="s">
        <v>41</v>
      </c>
      <c r="R167" s="2" t="n">
        <v>4</v>
      </c>
      <c r="S167" s="2" t="n">
        <v>3422.99</v>
      </c>
      <c r="T167" s="2" t="n">
        <v>0.25</v>
      </c>
      <c r="U167" s="2" t="str">
        <f aca="false">IF(ISBLANK(T167),"Yes","No")</f>
        <v>No</v>
      </c>
      <c r="V167" s="2" t="n">
        <f aca="false">IF(ISBLANK(T167),0,IF(ISNUMBER(T167),T167,VALUE(LEFT(T167,LEN(T167)-1))/100))</f>
        <v>0.25</v>
      </c>
      <c r="W167" s="2" t="str">
        <f aca="false">IF(AND(V167&gt;=0,V167&lt;=0.25),"Valid","Invalid")</f>
        <v>Valid</v>
      </c>
      <c r="X167" s="2" t="n">
        <v>10268.97</v>
      </c>
      <c r="Y167" s="2" t="n">
        <f aca="false">R167*S167*(1-V167)</f>
        <v>10268.97</v>
      </c>
      <c r="Z167" s="2" t="str">
        <f aca="false">IF(ABS(X167-Y167)&gt;1,"Mismatch","OK")</f>
        <v>OK</v>
      </c>
      <c r="AA167" s="2" t="n">
        <v>6470.92</v>
      </c>
      <c r="AB167" s="2" t="n">
        <v>3798.05</v>
      </c>
      <c r="AC167" s="2" t="n">
        <f aca="false">Y167-AA167</f>
        <v>3798.05</v>
      </c>
      <c r="AD167" s="2" t="str">
        <f aca="false">IF(ABS(AB167-AC167)&gt;1,"Mismatch","OK")</f>
        <v>OK</v>
      </c>
      <c r="AE167" s="4" t="n">
        <f aca="false">IF(Y167=0,0,AC167/Y167)</f>
        <v>0.369856957416372</v>
      </c>
      <c r="AF167" s="2" t="s">
        <v>52</v>
      </c>
      <c r="AG167" s="2" t="s">
        <v>53</v>
      </c>
      <c r="AH167" s="2" t="str">
        <f aca="false">IF(AND(AG167="Completed",AF167&lt;&gt;"Paid"),"Inconsistent","OK")</f>
        <v>OK</v>
      </c>
      <c r="AI167" s="2" t="n">
        <f aca="false">IF(OR(ISBLANK(B167),ISBLANK(C167)),"",C167-B167)</f>
        <v>7</v>
      </c>
      <c r="AJ167" s="2" t="str">
        <f aca="false">IF(AI167="","Unknown",IF(AI167&lt;0,"Invalid","OK"))</f>
        <v>OK</v>
      </c>
      <c r="AK167" s="2" t="str">
        <f aca="false">IF(ISBLANK(B167),"",TEXT(B167,"mmm"))</f>
        <v>Nov</v>
      </c>
      <c r="AL167" s="2" t="n">
        <f aca="false">IF(ISBLANK(B167),"",YEAR(B167))</f>
        <v>2024</v>
      </c>
      <c r="AM167" s="2" t="s">
        <v>41</v>
      </c>
      <c r="AN167" s="2" t="str">
        <f aca="false">IF(OR(W167="Invalid",AJ167="Invalid",AH167="Inconsistent",Z167="Mismatch",AD167="Mismatch",AM167="Yes",D167="Yes",E167="Yes"),"Invalid",IF(OR(J167="Yes",Q167="Yes",U167="Yes"),"Warning","Clean"))</f>
        <v>Clean</v>
      </c>
    </row>
    <row r="168" customFormat="false" ht="15" hidden="false" customHeight="false" outlineLevel="0" collapsed="false">
      <c r="A168" s="2" t="s">
        <v>629</v>
      </c>
      <c r="B168" s="3" t="n">
        <v>45708</v>
      </c>
      <c r="C168" s="3" t="n">
        <v>45714</v>
      </c>
      <c r="D168" s="2" t="s">
        <v>41</v>
      </c>
      <c r="E168" s="2" t="s">
        <v>41</v>
      </c>
      <c r="F168" s="2" t="s">
        <v>630</v>
      </c>
      <c r="G168" s="2" t="s">
        <v>43</v>
      </c>
      <c r="H168" s="2" t="s">
        <v>57</v>
      </c>
      <c r="I168" s="2" t="s">
        <v>83</v>
      </c>
      <c r="J168" s="2" t="s">
        <v>41</v>
      </c>
      <c r="K168" s="2" t="s">
        <v>200</v>
      </c>
      <c r="L168" s="2" t="s">
        <v>201</v>
      </c>
      <c r="M168" s="2" t="s">
        <v>48</v>
      </c>
      <c r="N168" s="2" t="s">
        <v>111</v>
      </c>
      <c r="O168" s="2" t="s">
        <v>631</v>
      </c>
      <c r="P168" s="2" t="s">
        <v>70</v>
      </c>
      <c r="Q168" s="2" t="s">
        <v>41</v>
      </c>
      <c r="R168" s="2" t="n">
        <v>1</v>
      </c>
      <c r="S168" s="2" t="n">
        <v>2557.85</v>
      </c>
      <c r="T168" s="2" t="n">
        <v>0.2</v>
      </c>
      <c r="U168" s="2" t="str">
        <f aca="false">IF(ISBLANK(T168),"Yes","No")</f>
        <v>No</v>
      </c>
      <c r="V168" s="2" t="n">
        <f aca="false">IF(ISBLANK(T168),0,IF(ISNUMBER(T168),T168,VALUE(LEFT(T168,LEN(T168)-1))/100))</f>
        <v>0.2</v>
      </c>
      <c r="W168" s="2" t="str">
        <f aca="false">IF(AND(V168&gt;=0,V168&lt;=0.25),"Valid","Invalid")</f>
        <v>Valid</v>
      </c>
      <c r="X168" s="2" t="n">
        <v>2046.28</v>
      </c>
      <c r="Y168" s="2" t="n">
        <f aca="false">R168*S168*(1-V168)</f>
        <v>2046.28</v>
      </c>
      <c r="Z168" s="2" t="str">
        <f aca="false">IF(ABS(X168-Y168)&gt;1,"Mismatch","OK")</f>
        <v>OK</v>
      </c>
      <c r="AA168" s="2" t="n">
        <v>1449.54</v>
      </c>
      <c r="AB168" s="2" t="n">
        <v>596.74</v>
      </c>
      <c r="AC168" s="2" t="n">
        <f aca="false">Y168-AA168</f>
        <v>596.74</v>
      </c>
      <c r="AD168" s="2" t="str">
        <f aca="false">IF(ABS(AB168-AC168)&gt;1,"Mismatch","OK")</f>
        <v>OK</v>
      </c>
      <c r="AE168" s="4" t="n">
        <f aca="false">IF(Y168=0,0,AC168/Y168)</f>
        <v>0.291621869929824</v>
      </c>
      <c r="AF168" s="2" t="s">
        <v>52</v>
      </c>
      <c r="AG168" s="2" t="s">
        <v>53</v>
      </c>
      <c r="AH168" s="2" t="str">
        <f aca="false">IF(AND(AG168="Completed",AF168&lt;&gt;"Paid"),"Inconsistent","OK")</f>
        <v>OK</v>
      </c>
      <c r="AI168" s="2" t="n">
        <f aca="false">IF(OR(ISBLANK(B168),ISBLANK(C168)),"",C168-B168)</f>
        <v>6</v>
      </c>
      <c r="AJ168" s="2" t="str">
        <f aca="false">IF(AI168="","Unknown",IF(AI168&lt;0,"Invalid","OK"))</f>
        <v>OK</v>
      </c>
      <c r="AK168" s="2" t="str">
        <f aca="false">IF(ISBLANK(B168),"",TEXT(B168,"mmm"))</f>
        <v>Feb</v>
      </c>
      <c r="AL168" s="2" t="n">
        <f aca="false">IF(ISBLANK(B168),"",YEAR(B168))</f>
        <v>2025</v>
      </c>
      <c r="AM168" s="2" t="s">
        <v>41</v>
      </c>
      <c r="AN168" s="2" t="str">
        <f aca="false">IF(OR(W168="Invalid",AJ168="Invalid",AH168="Inconsistent",Z168="Mismatch",AD168="Mismatch",AM168="Yes",D168="Yes",E168="Yes"),"Invalid",IF(OR(J168="Yes",Q168="Yes",U168="Yes"),"Warning","Clean"))</f>
        <v>Clean</v>
      </c>
    </row>
    <row r="169" customFormat="false" ht="15" hidden="false" customHeight="false" outlineLevel="0" collapsed="false">
      <c r="A169" s="2" t="s">
        <v>632</v>
      </c>
      <c r="B169" s="3" t="n">
        <v>45887</v>
      </c>
      <c r="C169" s="3" t="n">
        <v>45887</v>
      </c>
      <c r="D169" s="2" t="s">
        <v>41</v>
      </c>
      <c r="E169" s="2" t="s">
        <v>41</v>
      </c>
      <c r="F169" s="2" t="s">
        <v>633</v>
      </c>
      <c r="G169" s="2" t="s">
        <v>73</v>
      </c>
      <c r="H169" s="2" t="s">
        <v>115</v>
      </c>
      <c r="I169" s="2" t="s">
        <v>74</v>
      </c>
      <c r="J169" s="2" t="s">
        <v>41</v>
      </c>
      <c r="K169" s="2" t="s">
        <v>195</v>
      </c>
      <c r="L169" s="2" t="s">
        <v>196</v>
      </c>
      <c r="M169" s="2" t="s">
        <v>48</v>
      </c>
      <c r="N169" s="2" t="s">
        <v>144</v>
      </c>
      <c r="O169" s="2" t="s">
        <v>634</v>
      </c>
      <c r="P169" s="2" t="s">
        <v>70</v>
      </c>
      <c r="Q169" s="2" t="s">
        <v>41</v>
      </c>
      <c r="R169" s="2" t="n">
        <v>9</v>
      </c>
      <c r="S169" s="2" t="n">
        <v>3030.93</v>
      </c>
      <c r="T169" s="2" t="n">
        <v>0.15</v>
      </c>
      <c r="U169" s="2" t="str">
        <f aca="false">IF(ISBLANK(T169),"Yes","No")</f>
        <v>No</v>
      </c>
      <c r="V169" s="2" t="n">
        <f aca="false">IF(ISBLANK(T169),0,IF(ISNUMBER(T169),T169,VALUE(LEFT(T169,LEN(T169)-1))/100))</f>
        <v>0.15</v>
      </c>
      <c r="W169" s="2" t="str">
        <f aca="false">IF(AND(V169&gt;=0,V169&lt;=0.25),"Valid","Invalid")</f>
        <v>Valid</v>
      </c>
      <c r="X169" s="2" t="n">
        <v>23186.61</v>
      </c>
      <c r="Y169" s="2" t="n">
        <f aca="false">R169*S169*(1-V169)</f>
        <v>23186.6145</v>
      </c>
      <c r="Z169" s="2" t="str">
        <f aca="false">IF(ABS(X169-Y169)&gt;1,"Mismatch","OK")</f>
        <v>OK</v>
      </c>
      <c r="AA169" s="2" t="n">
        <v>17906.54</v>
      </c>
      <c r="AB169" s="2" t="n">
        <v>5280.07</v>
      </c>
      <c r="AC169" s="2" t="n">
        <f aca="false">Y169-AA169</f>
        <v>5280.0745</v>
      </c>
      <c r="AD169" s="2" t="str">
        <f aca="false">IF(ABS(AB169-AC169)&gt;1,"Mismatch","OK")</f>
        <v>OK</v>
      </c>
      <c r="AE169" s="4" t="n">
        <f aca="false">IF(Y169=0,0,AC169/Y169)</f>
        <v>0.22772080417346</v>
      </c>
      <c r="AF169" s="2" t="s">
        <v>52</v>
      </c>
      <c r="AG169" s="2" t="s">
        <v>123</v>
      </c>
      <c r="AH169" s="2" t="str">
        <f aca="false">IF(AND(AG169="Completed",AF169&lt;&gt;"Paid"),"Inconsistent","OK")</f>
        <v>OK</v>
      </c>
      <c r="AI169" s="2" t="n">
        <f aca="false">IF(OR(ISBLANK(B169),ISBLANK(C169)),"",C169-B169)</f>
        <v>0</v>
      </c>
      <c r="AJ169" s="2" t="str">
        <f aca="false">IF(AI169="","Unknown",IF(AI169&lt;0,"Invalid","OK"))</f>
        <v>OK</v>
      </c>
      <c r="AK169" s="2" t="str">
        <f aca="false">IF(ISBLANK(B169),"",TEXT(B169,"mmm"))</f>
        <v>Aug</v>
      </c>
      <c r="AL169" s="2" t="n">
        <f aca="false">IF(ISBLANK(B169),"",YEAR(B169))</f>
        <v>2025</v>
      </c>
      <c r="AM169" s="2" t="s">
        <v>41</v>
      </c>
      <c r="AN169" s="2" t="str">
        <f aca="false">IF(OR(W169="Invalid",AJ169="Invalid",AH169="Inconsistent",Z169="Mismatch",AD169="Mismatch",AM169="Yes",D169="Yes",E169="Yes"),"Invalid",IF(OR(J169="Yes",Q169="Yes",U169="Yes"),"Warning","Clean"))</f>
        <v>Clean</v>
      </c>
    </row>
    <row r="170" customFormat="false" ht="15" hidden="false" customHeight="false" outlineLevel="0" collapsed="false">
      <c r="A170" s="2" t="s">
        <v>635</v>
      </c>
      <c r="B170" s="3" t="n">
        <v>45677</v>
      </c>
      <c r="C170" s="3" t="n">
        <v>45680</v>
      </c>
      <c r="D170" s="2" t="s">
        <v>41</v>
      </c>
      <c r="E170" s="2" t="s">
        <v>41</v>
      </c>
      <c r="F170" s="2" t="s">
        <v>636</v>
      </c>
      <c r="G170" s="2" t="s">
        <v>286</v>
      </c>
      <c r="H170" s="2" t="s">
        <v>44</v>
      </c>
      <c r="I170" s="2" t="s">
        <v>83</v>
      </c>
      <c r="J170" s="2" t="s">
        <v>41</v>
      </c>
      <c r="K170" s="2" t="s">
        <v>84</v>
      </c>
      <c r="L170" s="2" t="s">
        <v>85</v>
      </c>
      <c r="M170" s="2" t="s">
        <v>94</v>
      </c>
      <c r="N170" s="2" t="s">
        <v>95</v>
      </c>
      <c r="O170" s="2" t="s">
        <v>637</v>
      </c>
      <c r="P170" s="2" t="s">
        <v>64</v>
      </c>
      <c r="Q170" s="2" t="s">
        <v>41</v>
      </c>
      <c r="R170" s="2" t="n">
        <v>5</v>
      </c>
      <c r="S170" s="2" t="n">
        <v>639.27</v>
      </c>
      <c r="T170" s="2" t="n">
        <v>0.2</v>
      </c>
      <c r="U170" s="2" t="str">
        <f aca="false">IF(ISBLANK(T170),"Yes","No")</f>
        <v>No</v>
      </c>
      <c r="V170" s="2" t="n">
        <f aca="false">IF(ISBLANK(T170),0,IF(ISNUMBER(T170),T170,VALUE(LEFT(T170,LEN(T170)-1))/100))</f>
        <v>0.2</v>
      </c>
      <c r="W170" s="2" t="str">
        <f aca="false">IF(AND(V170&gt;=0,V170&lt;=0.25),"Valid","Invalid")</f>
        <v>Valid</v>
      </c>
      <c r="X170" s="2" t="n">
        <v>2557.08</v>
      </c>
      <c r="Y170" s="2" t="n">
        <f aca="false">R170*S170*(1-V170)</f>
        <v>2557.08</v>
      </c>
      <c r="Z170" s="2" t="str">
        <f aca="false">IF(ABS(X170-Y170)&gt;1,"Mismatch","OK")</f>
        <v>OK</v>
      </c>
      <c r="AA170" s="2" t="n">
        <v>2025.69</v>
      </c>
      <c r="AB170" s="2" t="n">
        <v>531.39</v>
      </c>
      <c r="AC170" s="2" t="n">
        <f aca="false">Y170-AA170</f>
        <v>531.39</v>
      </c>
      <c r="AD170" s="2" t="str">
        <f aca="false">IF(ABS(AB170-AC170)&gt;1,"Mismatch","OK")</f>
        <v>OK</v>
      </c>
      <c r="AE170" s="4" t="n">
        <f aca="false">IF(Y170=0,0,AC170/Y170)</f>
        <v>0.207811253460979</v>
      </c>
      <c r="AF170" s="2" t="s">
        <v>52</v>
      </c>
      <c r="AG170" s="2" t="s">
        <v>88</v>
      </c>
      <c r="AH170" s="2" t="str">
        <f aca="false">IF(AND(AG170="Completed",AF170&lt;&gt;"Paid"),"Inconsistent","OK")</f>
        <v>OK</v>
      </c>
      <c r="AI170" s="2" t="n">
        <f aca="false">IF(OR(ISBLANK(B170),ISBLANK(C170)),"",C170-B170)</f>
        <v>3</v>
      </c>
      <c r="AJ170" s="2" t="str">
        <f aca="false">IF(AI170="","Unknown",IF(AI170&lt;0,"Invalid","OK"))</f>
        <v>OK</v>
      </c>
      <c r="AK170" s="2" t="str">
        <f aca="false">IF(ISBLANK(B170),"",TEXT(B170,"mmm"))</f>
        <v>Jan</v>
      </c>
      <c r="AL170" s="2" t="n">
        <f aca="false">IF(ISBLANK(B170),"",YEAR(B170))</f>
        <v>2025</v>
      </c>
      <c r="AM170" s="2" t="s">
        <v>41</v>
      </c>
      <c r="AN170" s="2" t="str">
        <f aca="false">IF(OR(W170="Invalid",AJ170="Invalid",AH170="Inconsistent",Z170="Mismatch",AD170="Mismatch",AM170="Yes",D170="Yes",E170="Yes"),"Invalid",IF(OR(J170="Yes",Q170="Yes",U170="Yes"),"Warning","Clean"))</f>
        <v>Clean</v>
      </c>
    </row>
    <row r="171" customFormat="false" ht="15" hidden="false" customHeight="false" outlineLevel="0" collapsed="false">
      <c r="A171" s="2" t="s">
        <v>638</v>
      </c>
      <c r="B171" s="3" t="n">
        <v>45913</v>
      </c>
      <c r="C171" s="3" t="n">
        <v>45913</v>
      </c>
      <c r="D171" s="2" t="s">
        <v>41</v>
      </c>
      <c r="E171" s="2" t="s">
        <v>41</v>
      </c>
      <c r="F171" s="2" t="s">
        <v>639</v>
      </c>
      <c r="G171" s="2" t="s">
        <v>182</v>
      </c>
      <c r="H171" s="2" t="s">
        <v>44</v>
      </c>
      <c r="I171" s="2" t="s">
        <v>58</v>
      </c>
      <c r="J171" s="2" t="s">
        <v>41</v>
      </c>
      <c r="K171" s="2" t="s">
        <v>186</v>
      </c>
      <c r="L171" s="2" t="s">
        <v>187</v>
      </c>
      <c r="M171" s="2" t="s">
        <v>48</v>
      </c>
      <c r="N171" s="2" t="s">
        <v>68</v>
      </c>
      <c r="O171" s="2" t="s">
        <v>640</v>
      </c>
      <c r="P171" s="2" t="s">
        <v>79</v>
      </c>
      <c r="Q171" s="2" t="s">
        <v>41</v>
      </c>
      <c r="R171" s="2" t="n">
        <v>8</v>
      </c>
      <c r="S171" s="2" t="n">
        <v>733.9</v>
      </c>
      <c r="T171" s="2" t="n">
        <v>0.05</v>
      </c>
      <c r="U171" s="2" t="str">
        <f aca="false">IF(ISBLANK(T171),"Yes","No")</f>
        <v>No</v>
      </c>
      <c r="V171" s="2" t="n">
        <f aca="false">IF(ISBLANK(T171),0,IF(ISNUMBER(T171),T171,VALUE(LEFT(T171,LEN(T171)-1))/100))</f>
        <v>0.05</v>
      </c>
      <c r="W171" s="2" t="str">
        <f aca="false">IF(AND(V171&gt;=0,V171&lt;=0.25),"Valid","Invalid")</f>
        <v>Valid</v>
      </c>
      <c r="X171" s="2" t="n">
        <v>5577.64</v>
      </c>
      <c r="Y171" s="2" t="n">
        <f aca="false">R171*S171*(1-V171)</f>
        <v>5577.64</v>
      </c>
      <c r="Z171" s="2" t="str">
        <f aca="false">IF(ABS(X171-Y171)&gt;1,"Mismatch","OK")</f>
        <v>OK</v>
      </c>
      <c r="AA171" s="2" t="n">
        <v>3541.29</v>
      </c>
      <c r="AB171" s="2" t="n">
        <v>2036.35</v>
      </c>
      <c r="AC171" s="2" t="n">
        <f aca="false">Y171-AA171</f>
        <v>2036.35</v>
      </c>
      <c r="AD171" s="2" t="str">
        <f aca="false">IF(ABS(AB171-AC171)&gt;1,"Mismatch","OK")</f>
        <v>OK</v>
      </c>
      <c r="AE171" s="4" t="n">
        <f aca="false">IF(Y171=0,0,AC171/Y171)</f>
        <v>0.365091687523756</v>
      </c>
      <c r="AF171" s="2" t="s">
        <v>131</v>
      </c>
      <c r="AG171" s="2" t="s">
        <v>123</v>
      </c>
      <c r="AH171" s="2" t="str">
        <f aca="false">IF(AND(AG171="Completed",AF171&lt;&gt;"Paid"),"Inconsistent","OK")</f>
        <v>OK</v>
      </c>
      <c r="AI171" s="2" t="n">
        <f aca="false">IF(OR(ISBLANK(B171),ISBLANK(C171)),"",C171-B171)</f>
        <v>0</v>
      </c>
      <c r="AJ171" s="2" t="str">
        <f aca="false">IF(AI171="","Unknown",IF(AI171&lt;0,"Invalid","OK"))</f>
        <v>OK</v>
      </c>
      <c r="AK171" s="2" t="str">
        <f aca="false">IF(ISBLANK(B171),"",TEXT(B171,"mmm"))</f>
        <v>Sep</v>
      </c>
      <c r="AL171" s="2" t="n">
        <f aca="false">IF(ISBLANK(B171),"",YEAR(B171))</f>
        <v>2025</v>
      </c>
      <c r="AM171" s="2" t="s">
        <v>41</v>
      </c>
      <c r="AN171" s="2" t="str">
        <f aca="false">IF(OR(W171="Invalid",AJ171="Invalid",AH171="Inconsistent",Z171="Mismatch",AD171="Mismatch",AM171="Yes",D171="Yes",E171="Yes"),"Invalid",IF(OR(J171="Yes",Q171="Yes",U171="Yes"),"Warning","Clean"))</f>
        <v>Clean</v>
      </c>
    </row>
    <row r="172" customFormat="false" ht="15" hidden="false" customHeight="false" outlineLevel="0" collapsed="false">
      <c r="A172" s="2" t="s">
        <v>641</v>
      </c>
      <c r="B172" s="3" t="n">
        <v>45907</v>
      </c>
      <c r="C172" s="3" t="n">
        <v>45915</v>
      </c>
      <c r="D172" s="2" t="s">
        <v>41</v>
      </c>
      <c r="E172" s="2" t="s">
        <v>41</v>
      </c>
      <c r="F172" s="2" t="s">
        <v>642</v>
      </c>
      <c r="G172" s="2" t="s">
        <v>161</v>
      </c>
      <c r="H172" s="2" t="s">
        <v>110</v>
      </c>
      <c r="I172" s="2" t="s">
        <v>58</v>
      </c>
      <c r="J172" s="2" t="s">
        <v>41</v>
      </c>
      <c r="K172" s="2" t="s">
        <v>165</v>
      </c>
      <c r="L172" s="2" t="s">
        <v>166</v>
      </c>
      <c r="M172" s="2" t="s">
        <v>94</v>
      </c>
      <c r="N172" s="2" t="s">
        <v>100</v>
      </c>
      <c r="O172" s="2" t="s">
        <v>643</v>
      </c>
      <c r="P172" s="2" t="s">
        <v>79</v>
      </c>
      <c r="Q172" s="2" t="s">
        <v>41</v>
      </c>
      <c r="R172" s="2" t="n">
        <v>3</v>
      </c>
      <c r="S172" s="2" t="n">
        <v>1711.32</v>
      </c>
      <c r="T172" s="2" t="n">
        <v>0</v>
      </c>
      <c r="U172" s="2" t="str">
        <f aca="false">IF(ISBLANK(T172),"Yes","No")</f>
        <v>No</v>
      </c>
      <c r="V172" s="2" t="n">
        <f aca="false">IF(ISBLANK(T172),0,IF(ISNUMBER(T172),T172,VALUE(LEFT(T172,LEN(T172)-1))/100))</f>
        <v>0</v>
      </c>
      <c r="W172" s="2" t="str">
        <f aca="false">IF(AND(V172&gt;=0,V172&lt;=0.25),"Valid","Invalid")</f>
        <v>Valid</v>
      </c>
      <c r="X172" s="2" t="n">
        <v>5133.96</v>
      </c>
      <c r="Y172" s="2" t="n">
        <f aca="false">R172*S172*(1-V172)</f>
        <v>5133.96</v>
      </c>
      <c r="Z172" s="2" t="str">
        <f aca="false">IF(ABS(X172-Y172)&gt;1,"Mismatch","OK")</f>
        <v>OK</v>
      </c>
      <c r="AA172" s="2" t="n">
        <v>3930</v>
      </c>
      <c r="AB172" s="2" t="n">
        <v>1203.96</v>
      </c>
      <c r="AC172" s="2" t="n">
        <f aca="false">Y172-AA172</f>
        <v>1203.96</v>
      </c>
      <c r="AD172" s="2" t="str">
        <f aca="false">IF(ABS(AB172-AC172)&gt;1,"Mismatch","OK")</f>
        <v>OK</v>
      </c>
      <c r="AE172" s="4" t="n">
        <f aca="false">IF(Y172=0,0,AC172/Y172)</f>
        <v>0.234509033962088</v>
      </c>
      <c r="AF172" s="2" t="s">
        <v>52</v>
      </c>
      <c r="AG172" s="2" t="s">
        <v>53</v>
      </c>
      <c r="AH172" s="2" t="str">
        <f aca="false">IF(AND(AG172="Completed",AF172&lt;&gt;"Paid"),"Inconsistent","OK")</f>
        <v>OK</v>
      </c>
      <c r="AI172" s="2" t="n">
        <f aca="false">IF(OR(ISBLANK(B172),ISBLANK(C172)),"",C172-B172)</f>
        <v>8</v>
      </c>
      <c r="AJ172" s="2" t="str">
        <f aca="false">IF(AI172="","Unknown",IF(AI172&lt;0,"Invalid","OK"))</f>
        <v>OK</v>
      </c>
      <c r="AK172" s="2" t="str">
        <f aca="false">IF(ISBLANK(B172),"",TEXT(B172,"mmm"))</f>
        <v>Sep</v>
      </c>
      <c r="AL172" s="2" t="n">
        <f aca="false">IF(ISBLANK(B172),"",YEAR(B172))</f>
        <v>2025</v>
      </c>
      <c r="AM172" s="2" t="s">
        <v>226</v>
      </c>
      <c r="AN172" s="2" t="str">
        <f aca="false">IF(OR(W172="Invalid",AJ172="Invalid",AH172="Inconsistent",Z172="Mismatch",AD172="Mismatch",AM172="Yes",D172="Yes",E172="Yes"),"Invalid",IF(OR(J172="Yes",Q172="Yes",U172="Yes"),"Warning","Clean"))</f>
        <v>Invalid</v>
      </c>
    </row>
    <row r="173" customFormat="false" ht="15" hidden="false" customHeight="false" outlineLevel="0" collapsed="false">
      <c r="A173" s="2" t="s">
        <v>644</v>
      </c>
      <c r="B173" s="3" t="n">
        <v>45711</v>
      </c>
      <c r="C173" s="3" t="n">
        <v>45713</v>
      </c>
      <c r="D173" s="2" t="s">
        <v>41</v>
      </c>
      <c r="E173" s="2" t="s">
        <v>41</v>
      </c>
      <c r="F173" s="2" t="s">
        <v>645</v>
      </c>
      <c r="G173" s="2" t="s">
        <v>43</v>
      </c>
      <c r="H173" s="2" t="s">
        <v>110</v>
      </c>
      <c r="I173" s="2" t="s">
        <v>58</v>
      </c>
      <c r="J173" s="2" t="s">
        <v>41</v>
      </c>
      <c r="K173" s="2" t="s">
        <v>165</v>
      </c>
      <c r="L173" s="2" t="s">
        <v>166</v>
      </c>
      <c r="M173" s="2" t="s">
        <v>48</v>
      </c>
      <c r="N173" s="2" t="s">
        <v>111</v>
      </c>
      <c r="O173" s="2" t="s">
        <v>646</v>
      </c>
      <c r="P173" s="2" t="s">
        <v>64</v>
      </c>
      <c r="Q173" s="2" t="s">
        <v>41</v>
      </c>
      <c r="R173" s="2" t="n">
        <v>5</v>
      </c>
      <c r="S173" s="2" t="n">
        <v>4246.27</v>
      </c>
      <c r="T173" s="2" t="n">
        <v>0.25</v>
      </c>
      <c r="U173" s="2" t="str">
        <f aca="false">IF(ISBLANK(T173),"Yes","No")</f>
        <v>No</v>
      </c>
      <c r="V173" s="2" t="n">
        <f aca="false">IF(ISBLANK(T173),0,IF(ISNUMBER(T173),T173,VALUE(LEFT(T173,LEN(T173)-1))/100))</f>
        <v>0.25</v>
      </c>
      <c r="W173" s="2" t="str">
        <f aca="false">IF(AND(V173&gt;=0,V173&lt;=0.25),"Valid","Invalid")</f>
        <v>Valid</v>
      </c>
      <c r="X173" s="2" t="n">
        <v>15923.51</v>
      </c>
      <c r="Y173" s="2" t="n">
        <f aca="false">R173*S173*(1-V173)</f>
        <v>15923.5125</v>
      </c>
      <c r="Z173" s="2" t="str">
        <f aca="false">IF(ABS(X173-Y173)&gt;1,"Mismatch","OK")</f>
        <v>OK</v>
      </c>
      <c r="AA173" s="2" t="n">
        <v>11291.8</v>
      </c>
      <c r="AB173" s="2" t="n">
        <v>4631.71</v>
      </c>
      <c r="AC173" s="2" t="n">
        <f aca="false">Y173-AA173</f>
        <v>4631.7125</v>
      </c>
      <c r="AD173" s="2" t="str">
        <f aca="false">IF(ABS(AB173-AC173)&gt;1,"Mismatch","OK")</f>
        <v>OK</v>
      </c>
      <c r="AE173" s="4" t="n">
        <f aca="false">IF(Y173=0,0,AC173/Y173)</f>
        <v>0.290872538329719</v>
      </c>
      <c r="AF173" s="2" t="s">
        <v>52</v>
      </c>
      <c r="AG173" s="2" t="s">
        <v>53</v>
      </c>
      <c r="AH173" s="2" t="str">
        <f aca="false">IF(AND(AG173="Completed",AF173&lt;&gt;"Paid"),"Inconsistent","OK")</f>
        <v>OK</v>
      </c>
      <c r="AI173" s="2" t="n">
        <f aca="false">IF(OR(ISBLANK(B173),ISBLANK(C173)),"",C173-B173)</f>
        <v>2</v>
      </c>
      <c r="AJ173" s="2" t="str">
        <f aca="false">IF(AI173="","Unknown",IF(AI173&lt;0,"Invalid","OK"))</f>
        <v>OK</v>
      </c>
      <c r="AK173" s="2" t="str">
        <f aca="false">IF(ISBLANK(B173),"",TEXT(B173,"mmm"))</f>
        <v>Feb</v>
      </c>
      <c r="AL173" s="2" t="n">
        <f aca="false">IF(ISBLANK(B173),"",YEAR(B173))</f>
        <v>2025</v>
      </c>
      <c r="AM173" s="2" t="s">
        <v>41</v>
      </c>
      <c r="AN173" s="2" t="str">
        <f aca="false">IF(OR(W173="Invalid",AJ173="Invalid",AH173="Inconsistent",Z173="Mismatch",AD173="Mismatch",AM173="Yes",D173="Yes",E173="Yes"),"Invalid",IF(OR(J173="Yes",Q173="Yes",U173="Yes"),"Warning","Clean"))</f>
        <v>Clean</v>
      </c>
    </row>
    <row r="174" customFormat="false" ht="15" hidden="false" customHeight="false" outlineLevel="0" collapsed="false">
      <c r="A174" s="2" t="s">
        <v>647</v>
      </c>
      <c r="B174" s="3" t="n">
        <v>45871</v>
      </c>
      <c r="C174" s="3" t="n">
        <v>45879</v>
      </c>
      <c r="D174" s="2" t="s">
        <v>41</v>
      </c>
      <c r="E174" s="2" t="s">
        <v>41</v>
      </c>
      <c r="F174" s="2" t="s">
        <v>648</v>
      </c>
      <c r="G174" s="2" t="s">
        <v>43</v>
      </c>
      <c r="H174" s="2" t="s">
        <v>110</v>
      </c>
      <c r="I174" s="2" t="s">
        <v>45</v>
      </c>
      <c r="J174" s="2" t="s">
        <v>41</v>
      </c>
      <c r="K174" s="2" t="s">
        <v>372</v>
      </c>
      <c r="L174" s="2" t="s">
        <v>373</v>
      </c>
      <c r="M174" s="2" t="s">
        <v>61</v>
      </c>
      <c r="N174" s="2" t="s">
        <v>77</v>
      </c>
      <c r="O174" s="2" t="s">
        <v>649</v>
      </c>
      <c r="P174" s="2" t="s">
        <v>64</v>
      </c>
      <c r="Q174" s="2" t="s">
        <v>41</v>
      </c>
      <c r="R174" s="2" t="n">
        <v>9</v>
      </c>
      <c r="S174" s="2" t="n">
        <v>2962.62</v>
      </c>
      <c r="T174" s="2" t="n">
        <v>0.1</v>
      </c>
      <c r="U174" s="2" t="str">
        <f aca="false">IF(ISBLANK(T174),"Yes","No")</f>
        <v>No</v>
      </c>
      <c r="V174" s="2" t="n">
        <f aca="false">IF(ISBLANK(T174),0,IF(ISNUMBER(T174),T174,VALUE(LEFT(T174,LEN(T174)-1))/100))</f>
        <v>0.1</v>
      </c>
      <c r="W174" s="2" t="str">
        <f aca="false">IF(AND(V174&gt;=0,V174&lt;=0.25),"Valid","Invalid")</f>
        <v>Valid</v>
      </c>
      <c r="X174" s="2" t="n">
        <v>23997.22</v>
      </c>
      <c r="Y174" s="2" t="n">
        <f aca="false">R174*S174*(1-V174)</f>
        <v>23997.222</v>
      </c>
      <c r="Z174" s="2" t="str">
        <f aca="false">IF(ABS(X174-Y174)&gt;1,"Mismatch","OK")</f>
        <v>OK</v>
      </c>
      <c r="AA174" s="2" t="n">
        <v>16134.63</v>
      </c>
      <c r="AB174" s="2" t="n">
        <v>7862.59</v>
      </c>
      <c r="AC174" s="2" t="n">
        <f aca="false">Y174-AA174</f>
        <v>7862.592</v>
      </c>
      <c r="AD174" s="2" t="str">
        <f aca="false">IF(ABS(AB174-AC174)&gt;1,"Mismatch","OK")</f>
        <v>OK</v>
      </c>
      <c r="AE174" s="4" t="n">
        <f aca="false">IF(Y174=0,0,AC174/Y174)</f>
        <v>0.327645925015821</v>
      </c>
      <c r="AF174" s="2" t="s">
        <v>122</v>
      </c>
      <c r="AG174" s="2" t="s">
        <v>123</v>
      </c>
      <c r="AH174" s="2" t="str">
        <f aca="false">IF(AND(AG174="Completed",AF174&lt;&gt;"Paid"),"Inconsistent","OK")</f>
        <v>OK</v>
      </c>
      <c r="AI174" s="2" t="n">
        <f aca="false">IF(OR(ISBLANK(B174),ISBLANK(C174)),"",C174-B174)</f>
        <v>8</v>
      </c>
      <c r="AJ174" s="2" t="str">
        <f aca="false">IF(AI174="","Unknown",IF(AI174&lt;0,"Invalid","OK"))</f>
        <v>OK</v>
      </c>
      <c r="AK174" s="2" t="str">
        <f aca="false">IF(ISBLANK(B174),"",TEXT(B174,"mmm"))</f>
        <v>Aug</v>
      </c>
      <c r="AL174" s="2" t="n">
        <f aca="false">IF(ISBLANK(B174),"",YEAR(B174))</f>
        <v>2025</v>
      </c>
      <c r="AM174" s="2" t="s">
        <v>41</v>
      </c>
      <c r="AN174" s="2" t="str">
        <f aca="false">IF(OR(W174="Invalid",AJ174="Invalid",AH174="Inconsistent",Z174="Mismatch",AD174="Mismatch",AM174="Yes",D174="Yes",E174="Yes"),"Invalid",IF(OR(J174="Yes",Q174="Yes",U174="Yes"),"Warning","Clean"))</f>
        <v>Clean</v>
      </c>
    </row>
    <row r="175" customFormat="false" ht="15" hidden="false" customHeight="false" outlineLevel="0" collapsed="false">
      <c r="A175" s="2" t="s">
        <v>650</v>
      </c>
      <c r="B175" s="3" t="n">
        <v>45414</v>
      </c>
      <c r="C175" s="3" t="n">
        <v>45420</v>
      </c>
      <c r="D175" s="2" t="s">
        <v>41</v>
      </c>
      <c r="E175" s="2" t="s">
        <v>41</v>
      </c>
      <c r="F175" s="2" t="s">
        <v>651</v>
      </c>
      <c r="G175" s="2" t="s">
        <v>652</v>
      </c>
      <c r="H175" s="2" t="s">
        <v>115</v>
      </c>
      <c r="I175" s="2" t="s">
        <v>45</v>
      </c>
      <c r="J175" s="2" t="s">
        <v>41</v>
      </c>
      <c r="K175" s="2" t="s">
        <v>142</v>
      </c>
      <c r="L175" s="2" t="s">
        <v>143</v>
      </c>
      <c r="M175" s="2" t="s">
        <v>94</v>
      </c>
      <c r="N175" s="2" t="s">
        <v>100</v>
      </c>
      <c r="O175" s="2" t="s">
        <v>653</v>
      </c>
      <c r="P175" s="2" t="s">
        <v>51</v>
      </c>
      <c r="Q175" s="2" t="s">
        <v>41</v>
      </c>
      <c r="R175" s="2" t="n">
        <v>1</v>
      </c>
      <c r="S175" s="2" t="n">
        <v>2312.25</v>
      </c>
      <c r="T175" s="2" t="n">
        <v>0.25</v>
      </c>
      <c r="U175" s="2" t="str">
        <f aca="false">IF(ISBLANK(T175),"Yes","No")</f>
        <v>No</v>
      </c>
      <c r="V175" s="2" t="n">
        <f aca="false">IF(ISBLANK(T175),0,IF(ISNUMBER(T175),T175,VALUE(LEFT(T175,LEN(T175)-1))/100))</f>
        <v>0.25</v>
      </c>
      <c r="W175" s="2" t="str">
        <f aca="false">IF(AND(V175&gt;=0,V175&lt;=0.25),"Valid","Invalid")</f>
        <v>Valid</v>
      </c>
      <c r="X175" s="2" t="n">
        <v>1734.19</v>
      </c>
      <c r="Y175" s="2" t="n">
        <f aca="false">R175*S175*(1-V175)</f>
        <v>1734.1875</v>
      </c>
      <c r="Z175" s="2" t="str">
        <f aca="false">IF(ABS(X175-Y175)&gt;1,"Mismatch","OK")</f>
        <v>OK</v>
      </c>
      <c r="AA175" s="2" t="n">
        <v>1386.07</v>
      </c>
      <c r="AB175" s="2" t="n">
        <v>348.12</v>
      </c>
      <c r="AC175" s="2" t="n">
        <f aca="false">Y175-AA175</f>
        <v>348.1175</v>
      </c>
      <c r="AD175" s="2" t="str">
        <f aca="false">IF(ABS(AB175-AC175)&gt;1,"Mismatch","OK")</f>
        <v>OK</v>
      </c>
      <c r="AE175" s="4" t="n">
        <f aca="false">IF(Y175=0,0,AC175/Y175)</f>
        <v>0.200738097812376</v>
      </c>
      <c r="AF175" s="2" t="s">
        <v>52</v>
      </c>
      <c r="AG175" s="2" t="s">
        <v>53</v>
      </c>
      <c r="AH175" s="2" t="str">
        <f aca="false">IF(AND(AG175="Completed",AF175&lt;&gt;"Paid"),"Inconsistent","OK")</f>
        <v>OK</v>
      </c>
      <c r="AI175" s="2" t="n">
        <f aca="false">IF(OR(ISBLANK(B175),ISBLANK(C175)),"",C175-B175)</f>
        <v>6</v>
      </c>
      <c r="AJ175" s="2" t="str">
        <f aca="false">IF(AI175="","Unknown",IF(AI175&lt;0,"Invalid","OK"))</f>
        <v>OK</v>
      </c>
      <c r="AK175" s="2" t="str">
        <f aca="false">IF(ISBLANK(B175),"",TEXT(B175,"mmm"))</f>
        <v>May</v>
      </c>
      <c r="AL175" s="2" t="n">
        <f aca="false">IF(ISBLANK(B175),"",YEAR(B175))</f>
        <v>2024</v>
      </c>
      <c r="AM175" s="2" t="s">
        <v>41</v>
      </c>
      <c r="AN175" s="2" t="str">
        <f aca="false">IF(OR(W175="Invalid",AJ175="Invalid",AH175="Inconsistent",Z175="Mismatch",AD175="Mismatch",AM175="Yes",D175="Yes",E175="Yes"),"Invalid",IF(OR(J175="Yes",Q175="Yes",U175="Yes"),"Warning","Clean"))</f>
        <v>Clean</v>
      </c>
    </row>
    <row r="176" customFormat="false" ht="15" hidden="false" customHeight="false" outlineLevel="0" collapsed="false">
      <c r="A176" s="2" t="s">
        <v>654</v>
      </c>
      <c r="B176" s="3" t="n">
        <v>45928</v>
      </c>
      <c r="C176" s="3" t="n">
        <v>45934</v>
      </c>
      <c r="D176" s="2" t="s">
        <v>41</v>
      </c>
      <c r="E176" s="2" t="s">
        <v>41</v>
      </c>
      <c r="F176" s="2" t="s">
        <v>655</v>
      </c>
      <c r="G176" s="2" t="s">
        <v>43</v>
      </c>
      <c r="H176" s="2" t="s">
        <v>57</v>
      </c>
      <c r="I176" s="2" t="s">
        <v>74</v>
      </c>
      <c r="J176" s="2" t="s">
        <v>41</v>
      </c>
      <c r="K176" s="2" t="s">
        <v>195</v>
      </c>
      <c r="L176" s="2" t="s">
        <v>196</v>
      </c>
      <c r="M176" s="2" t="s">
        <v>61</v>
      </c>
      <c r="N176" s="2" t="s">
        <v>178</v>
      </c>
      <c r="O176" s="2" t="s">
        <v>656</v>
      </c>
      <c r="P176" s="2" t="s">
        <v>70</v>
      </c>
      <c r="Q176" s="2" t="s">
        <v>41</v>
      </c>
      <c r="R176" s="2" t="n">
        <v>6</v>
      </c>
      <c r="S176" s="2" t="n">
        <v>1620.53</v>
      </c>
      <c r="T176" s="2" t="n">
        <v>0.15</v>
      </c>
      <c r="U176" s="2" t="str">
        <f aca="false">IF(ISBLANK(T176),"Yes","No")</f>
        <v>No</v>
      </c>
      <c r="V176" s="2" t="n">
        <f aca="false">IF(ISBLANK(T176),0,IF(ISNUMBER(T176),T176,VALUE(LEFT(T176,LEN(T176)-1))/100))</f>
        <v>0.15</v>
      </c>
      <c r="W176" s="2" t="str">
        <f aca="false">IF(AND(V176&gt;=0,V176&lt;=0.25),"Valid","Invalid")</f>
        <v>Valid</v>
      </c>
      <c r="X176" s="2" t="n">
        <v>8264.7</v>
      </c>
      <c r="Y176" s="2" t="n">
        <f aca="false">R176*S176*(1-V176)</f>
        <v>8264.703</v>
      </c>
      <c r="Z176" s="2" t="str">
        <f aca="false">IF(ABS(X176-Y176)&gt;1,"Mismatch","OK")</f>
        <v>OK</v>
      </c>
      <c r="AA176" s="2" t="n">
        <v>4768.75</v>
      </c>
      <c r="AB176" s="2" t="n">
        <v>3495.95</v>
      </c>
      <c r="AC176" s="2" t="n">
        <f aca="false">Y176-AA176</f>
        <v>3495.953</v>
      </c>
      <c r="AD176" s="2" t="str">
        <f aca="false">IF(ABS(AB176-AC176)&gt;1,"Mismatch","OK")</f>
        <v>OK</v>
      </c>
      <c r="AE176" s="4" t="n">
        <f aca="false">IF(Y176=0,0,AC176/Y176)</f>
        <v>0.422998019408562</v>
      </c>
      <c r="AF176" s="2" t="s">
        <v>131</v>
      </c>
      <c r="AG176" s="2" t="s">
        <v>123</v>
      </c>
      <c r="AH176" s="2" t="str">
        <f aca="false">IF(AND(AG176="Completed",AF176&lt;&gt;"Paid"),"Inconsistent","OK")</f>
        <v>OK</v>
      </c>
      <c r="AI176" s="2" t="n">
        <f aca="false">IF(OR(ISBLANK(B176),ISBLANK(C176)),"",C176-B176)</f>
        <v>6</v>
      </c>
      <c r="AJ176" s="2" t="str">
        <f aca="false">IF(AI176="","Unknown",IF(AI176&lt;0,"Invalid","OK"))</f>
        <v>OK</v>
      </c>
      <c r="AK176" s="2" t="str">
        <f aca="false">IF(ISBLANK(B176),"",TEXT(B176,"mmm"))</f>
        <v>Sep</v>
      </c>
      <c r="AL176" s="2" t="n">
        <f aca="false">IF(ISBLANK(B176),"",YEAR(B176))</f>
        <v>2025</v>
      </c>
      <c r="AM176" s="2" t="s">
        <v>41</v>
      </c>
      <c r="AN176" s="2" t="str">
        <f aca="false">IF(OR(W176="Invalid",AJ176="Invalid",AH176="Inconsistent",Z176="Mismatch",AD176="Mismatch",AM176="Yes",D176="Yes",E176="Yes"),"Invalid",IF(OR(J176="Yes",Q176="Yes",U176="Yes"),"Warning","Clean"))</f>
        <v>Clean</v>
      </c>
    </row>
    <row r="177" customFormat="false" ht="15" hidden="false" customHeight="false" outlineLevel="0" collapsed="false">
      <c r="A177" s="2" t="s">
        <v>657</v>
      </c>
      <c r="B177" s="3" t="n">
        <v>45318</v>
      </c>
      <c r="C177" s="3" t="n">
        <v>45325</v>
      </c>
      <c r="D177" s="2" t="s">
        <v>41</v>
      </c>
      <c r="E177" s="2" t="s">
        <v>41</v>
      </c>
      <c r="F177" s="2" t="s">
        <v>658</v>
      </c>
      <c r="G177" s="2" t="s">
        <v>73</v>
      </c>
      <c r="H177" s="2" t="s">
        <v>57</v>
      </c>
      <c r="I177" s="2" t="s">
        <v>58</v>
      </c>
      <c r="J177" s="2" t="s">
        <v>41</v>
      </c>
      <c r="K177" s="2" t="s">
        <v>165</v>
      </c>
      <c r="L177" s="2" t="s">
        <v>166</v>
      </c>
      <c r="M177" s="2" t="s">
        <v>94</v>
      </c>
      <c r="N177" s="2" t="s">
        <v>296</v>
      </c>
      <c r="O177" s="2" t="s">
        <v>659</v>
      </c>
      <c r="P177" s="2" t="s">
        <v>64</v>
      </c>
      <c r="Q177" s="2" t="s">
        <v>41</v>
      </c>
      <c r="R177" s="2" t="n">
        <v>7</v>
      </c>
      <c r="S177" s="2" t="n">
        <v>2673.42</v>
      </c>
      <c r="T177" s="2" t="n">
        <v>0.15</v>
      </c>
      <c r="U177" s="2" t="str">
        <f aca="false">IF(ISBLANK(T177),"Yes","No")</f>
        <v>No</v>
      </c>
      <c r="V177" s="2" t="n">
        <f aca="false">IF(ISBLANK(T177),0,IF(ISNUMBER(T177),T177,VALUE(LEFT(T177,LEN(T177)-1))/100))</f>
        <v>0.15</v>
      </c>
      <c r="W177" s="2" t="str">
        <f aca="false">IF(AND(V177&gt;=0,V177&lt;=0.25),"Valid","Invalid")</f>
        <v>Valid</v>
      </c>
      <c r="X177" s="2" t="n">
        <v>15906.85</v>
      </c>
      <c r="Y177" s="2" t="n">
        <f aca="false">R177*S177*(1-V177)</f>
        <v>15906.849</v>
      </c>
      <c r="Z177" s="2" t="str">
        <f aca="false">IF(ABS(X177-Y177)&gt;1,"Mismatch","OK")</f>
        <v>OK</v>
      </c>
      <c r="AA177" s="2" t="n">
        <v>11014.46</v>
      </c>
      <c r="AB177" s="2" t="n">
        <v>4892.39</v>
      </c>
      <c r="AC177" s="2" t="n">
        <f aca="false">Y177-AA177</f>
        <v>4892.389</v>
      </c>
      <c r="AD177" s="2" t="str">
        <f aca="false">IF(ABS(AB177-AC177)&gt;1,"Mismatch","OK")</f>
        <v>OK</v>
      </c>
      <c r="AE177" s="4" t="n">
        <f aca="false">IF(Y177=0,0,AC177/Y177)</f>
        <v>0.307564936336543</v>
      </c>
      <c r="AF177" s="2" t="s">
        <v>52</v>
      </c>
      <c r="AG177" s="2" t="s">
        <v>123</v>
      </c>
      <c r="AH177" s="2" t="str">
        <f aca="false">IF(AND(AG177="Completed",AF177&lt;&gt;"Paid"),"Inconsistent","OK")</f>
        <v>OK</v>
      </c>
      <c r="AI177" s="2" t="n">
        <f aca="false">IF(OR(ISBLANK(B177),ISBLANK(C177)),"",C177-B177)</f>
        <v>7</v>
      </c>
      <c r="AJ177" s="2" t="str">
        <f aca="false">IF(AI177="","Unknown",IF(AI177&lt;0,"Invalid","OK"))</f>
        <v>OK</v>
      </c>
      <c r="AK177" s="2" t="str">
        <f aca="false">IF(ISBLANK(B177),"",TEXT(B177,"mmm"))</f>
        <v>Jan</v>
      </c>
      <c r="AL177" s="2" t="n">
        <f aca="false">IF(ISBLANK(B177),"",YEAR(B177))</f>
        <v>2024</v>
      </c>
      <c r="AM177" s="2" t="s">
        <v>41</v>
      </c>
      <c r="AN177" s="2" t="str">
        <f aca="false">IF(OR(W177="Invalid",AJ177="Invalid",AH177="Inconsistent",Z177="Mismatch",AD177="Mismatch",AM177="Yes",D177="Yes",E177="Yes"),"Invalid",IF(OR(J177="Yes",Q177="Yes",U177="Yes"),"Warning","Clean"))</f>
        <v>Clean</v>
      </c>
    </row>
    <row r="178" customFormat="false" ht="15" hidden="false" customHeight="false" outlineLevel="0" collapsed="false">
      <c r="A178" s="2" t="s">
        <v>660</v>
      </c>
      <c r="B178" s="3" t="n">
        <v>45734</v>
      </c>
      <c r="C178" s="3" t="n">
        <v>45742</v>
      </c>
      <c r="D178" s="2" t="s">
        <v>41</v>
      </c>
      <c r="E178" s="2" t="s">
        <v>41</v>
      </c>
      <c r="F178" s="2" t="s">
        <v>661</v>
      </c>
      <c r="G178" s="2" t="s">
        <v>91</v>
      </c>
      <c r="H178" s="2" t="s">
        <v>110</v>
      </c>
      <c r="I178" s="2" t="s">
        <v>58</v>
      </c>
      <c r="J178" s="2" t="s">
        <v>41</v>
      </c>
      <c r="K178" s="2" t="s">
        <v>250</v>
      </c>
      <c r="L178" s="2" t="s">
        <v>251</v>
      </c>
      <c r="M178" s="2" t="s">
        <v>61</v>
      </c>
      <c r="N178" s="2" t="s">
        <v>178</v>
      </c>
      <c r="O178" s="2" t="s">
        <v>662</v>
      </c>
      <c r="P178" s="2" t="s">
        <v>79</v>
      </c>
      <c r="Q178" s="2" t="s">
        <v>41</v>
      </c>
      <c r="R178" s="2" t="n">
        <v>8</v>
      </c>
      <c r="S178" s="2" t="n">
        <v>3563.09</v>
      </c>
      <c r="T178" s="2" t="n">
        <v>0.15</v>
      </c>
      <c r="U178" s="2" t="str">
        <f aca="false">IF(ISBLANK(T178),"Yes","No")</f>
        <v>No</v>
      </c>
      <c r="V178" s="2" t="n">
        <f aca="false">IF(ISBLANK(T178),0,IF(ISNUMBER(T178),T178,VALUE(LEFT(T178,LEN(T178)-1))/100))</f>
        <v>0.15</v>
      </c>
      <c r="W178" s="2" t="str">
        <f aca="false">IF(AND(V178&gt;=0,V178&lt;=0.25),"Valid","Invalid")</f>
        <v>Valid</v>
      </c>
      <c r="X178" s="2" t="n">
        <v>24229.01</v>
      </c>
      <c r="Y178" s="2" t="n">
        <f aca="false">R178*S178*(1-V178)</f>
        <v>24229.012</v>
      </c>
      <c r="Z178" s="2" t="str">
        <f aca="false">IF(ABS(X178-Y178)&gt;1,"Mismatch","OK")</f>
        <v>OK</v>
      </c>
      <c r="AA178" s="2" t="n">
        <v>13910.64</v>
      </c>
      <c r="AB178" s="2" t="n">
        <v>10318.37</v>
      </c>
      <c r="AC178" s="2" t="n">
        <f aca="false">Y178-AA178</f>
        <v>10318.372</v>
      </c>
      <c r="AD178" s="2" t="str">
        <f aca="false">IF(ABS(AB178-AC178)&gt;1,"Mismatch","OK")</f>
        <v>OK</v>
      </c>
      <c r="AE178" s="4" t="n">
        <f aca="false">IF(Y178=0,0,AC178/Y178)</f>
        <v>0.425868458854203</v>
      </c>
      <c r="AF178" s="2" t="s">
        <v>52</v>
      </c>
      <c r="AG178" s="2" t="s">
        <v>53</v>
      </c>
      <c r="AH178" s="2" t="str">
        <f aca="false">IF(AND(AG178="Completed",AF178&lt;&gt;"Paid"),"Inconsistent","OK")</f>
        <v>OK</v>
      </c>
      <c r="AI178" s="2" t="n">
        <f aca="false">IF(OR(ISBLANK(B178),ISBLANK(C178)),"",C178-B178)</f>
        <v>8</v>
      </c>
      <c r="AJ178" s="2" t="str">
        <f aca="false">IF(AI178="","Unknown",IF(AI178&lt;0,"Invalid","OK"))</f>
        <v>OK</v>
      </c>
      <c r="AK178" s="2" t="str">
        <f aca="false">IF(ISBLANK(B178),"",TEXT(B178,"mmm"))</f>
        <v>Mar</v>
      </c>
      <c r="AL178" s="2" t="n">
        <f aca="false">IF(ISBLANK(B178),"",YEAR(B178))</f>
        <v>2025</v>
      </c>
      <c r="AM178" s="2" t="s">
        <v>41</v>
      </c>
      <c r="AN178" s="2" t="str">
        <f aca="false">IF(OR(W178="Invalid",AJ178="Invalid",AH178="Inconsistent",Z178="Mismatch",AD178="Mismatch",AM178="Yes",D178="Yes",E178="Yes"),"Invalid",IF(OR(J178="Yes",Q178="Yes",U178="Yes"),"Warning","Clean"))</f>
        <v>Clean</v>
      </c>
    </row>
    <row r="179" customFormat="false" ht="15" hidden="false" customHeight="false" outlineLevel="0" collapsed="false">
      <c r="A179" s="2" t="s">
        <v>663</v>
      </c>
      <c r="B179" s="3" t="n">
        <v>45444</v>
      </c>
      <c r="C179" s="3" t="n">
        <v>45446</v>
      </c>
      <c r="D179" s="2" t="s">
        <v>41</v>
      </c>
      <c r="E179" s="2" t="s">
        <v>41</v>
      </c>
      <c r="F179" s="2" t="s">
        <v>664</v>
      </c>
      <c r="G179" s="2" t="s">
        <v>152</v>
      </c>
      <c r="H179" s="2" t="s">
        <v>115</v>
      </c>
      <c r="I179" s="2" t="s">
        <v>225</v>
      </c>
      <c r="J179" s="2" t="s">
        <v>226</v>
      </c>
      <c r="K179" s="2" t="s">
        <v>165</v>
      </c>
      <c r="L179" s="2" t="s">
        <v>166</v>
      </c>
      <c r="M179" s="2" t="s">
        <v>48</v>
      </c>
      <c r="N179" s="2" t="s">
        <v>68</v>
      </c>
      <c r="O179" s="2" t="s">
        <v>665</v>
      </c>
      <c r="P179" s="2" t="s">
        <v>64</v>
      </c>
      <c r="Q179" s="2" t="s">
        <v>41</v>
      </c>
      <c r="R179" s="2" t="n">
        <v>8</v>
      </c>
      <c r="S179" s="2" t="n">
        <v>3879.95</v>
      </c>
      <c r="T179" s="2" t="n">
        <v>0</v>
      </c>
      <c r="U179" s="2" t="str">
        <f aca="false">IF(ISBLANK(T179),"Yes","No")</f>
        <v>No</v>
      </c>
      <c r="V179" s="2" t="n">
        <f aca="false">IF(ISBLANK(T179),0,IF(ISNUMBER(T179),T179,VALUE(LEFT(T179,LEN(T179)-1))/100))</f>
        <v>0</v>
      </c>
      <c r="W179" s="2" t="str">
        <f aca="false">IF(AND(V179&gt;=0,V179&lt;=0.25),"Valid","Invalid")</f>
        <v>Valid</v>
      </c>
      <c r="X179" s="2" t="n">
        <v>31039.6</v>
      </c>
      <c r="Y179" s="2" t="n">
        <f aca="false">R179*S179*(1-V179)</f>
        <v>31039.6</v>
      </c>
      <c r="Z179" s="2" t="str">
        <f aca="false">IF(ABS(X179-Y179)&gt;1,"Mismatch","OK")</f>
        <v>OK</v>
      </c>
      <c r="AA179" s="2" t="n">
        <v>20866.72</v>
      </c>
      <c r="AB179" s="2" t="n">
        <v>10172.88</v>
      </c>
      <c r="AC179" s="2" t="n">
        <f aca="false">Y179-AA179</f>
        <v>10172.88</v>
      </c>
      <c r="AD179" s="2" t="str">
        <f aca="false">IF(ABS(AB179-AC179)&gt;1,"Mismatch","OK")</f>
        <v>OK</v>
      </c>
      <c r="AE179" s="4" t="n">
        <f aca="false">IF(Y179=0,0,AC179/Y179)</f>
        <v>0.327738759520097</v>
      </c>
      <c r="AF179" s="2" t="s">
        <v>52</v>
      </c>
      <c r="AG179" s="2" t="s">
        <v>53</v>
      </c>
      <c r="AH179" s="2" t="str">
        <f aca="false">IF(AND(AG179="Completed",AF179&lt;&gt;"Paid"),"Inconsistent","OK")</f>
        <v>OK</v>
      </c>
      <c r="AI179" s="2" t="n">
        <f aca="false">IF(OR(ISBLANK(B179),ISBLANK(C179)),"",C179-B179)</f>
        <v>2</v>
      </c>
      <c r="AJ179" s="2" t="str">
        <f aca="false">IF(AI179="","Unknown",IF(AI179&lt;0,"Invalid","OK"))</f>
        <v>OK</v>
      </c>
      <c r="AK179" s="2" t="str">
        <f aca="false">IF(ISBLANK(B179),"",TEXT(B179,"mmm"))</f>
        <v>Jun</v>
      </c>
      <c r="AL179" s="2" t="n">
        <f aca="false">IF(ISBLANK(B179),"",YEAR(B179))</f>
        <v>2024</v>
      </c>
      <c r="AM179" s="2" t="s">
        <v>41</v>
      </c>
      <c r="AN179" s="2" t="str">
        <f aca="false">IF(OR(W179="Invalid",AJ179="Invalid",AH179="Inconsistent",Z179="Mismatch",AD179="Mismatch",AM179="Yes",D179="Yes",E179="Yes"),"Invalid",IF(OR(J179="Yes",Q179="Yes",U179="Yes"),"Warning","Clean"))</f>
        <v>Warning</v>
      </c>
    </row>
    <row r="180" customFormat="false" ht="15" hidden="false" customHeight="false" outlineLevel="0" collapsed="false">
      <c r="A180" s="2" t="s">
        <v>666</v>
      </c>
      <c r="B180" s="3" t="n">
        <v>45565</v>
      </c>
      <c r="C180" s="3" t="n">
        <v>45565</v>
      </c>
      <c r="D180" s="2" t="s">
        <v>41</v>
      </c>
      <c r="E180" s="2" t="s">
        <v>41</v>
      </c>
      <c r="F180" s="2" t="s">
        <v>667</v>
      </c>
      <c r="G180" s="2" t="s">
        <v>67</v>
      </c>
      <c r="H180" s="2" t="s">
        <v>110</v>
      </c>
      <c r="I180" s="2" t="s">
        <v>74</v>
      </c>
      <c r="J180" s="2" t="s">
        <v>41</v>
      </c>
      <c r="K180" s="2" t="s">
        <v>75</v>
      </c>
      <c r="L180" s="2" t="s">
        <v>76</v>
      </c>
      <c r="M180" s="2" t="s">
        <v>48</v>
      </c>
      <c r="N180" s="2" t="s">
        <v>68</v>
      </c>
      <c r="O180" s="2" t="s">
        <v>668</v>
      </c>
      <c r="P180" s="2" t="s">
        <v>79</v>
      </c>
      <c r="Q180" s="2" t="s">
        <v>41</v>
      </c>
      <c r="R180" s="2" t="n">
        <v>4</v>
      </c>
      <c r="S180" s="2" t="n">
        <v>3281.74</v>
      </c>
      <c r="T180" s="2" t="n">
        <v>0</v>
      </c>
      <c r="U180" s="2" t="str">
        <f aca="false">IF(ISBLANK(T180),"Yes","No")</f>
        <v>No</v>
      </c>
      <c r="V180" s="2" t="n">
        <f aca="false">IF(ISBLANK(T180),0,IF(ISNUMBER(T180),T180,VALUE(LEFT(T180,LEN(T180)-1))/100))</f>
        <v>0</v>
      </c>
      <c r="W180" s="2" t="str">
        <f aca="false">IF(AND(V180&gt;=0,V180&lt;=0.25),"Valid","Invalid")</f>
        <v>Valid</v>
      </c>
      <c r="X180" s="2" t="n">
        <v>13126.96</v>
      </c>
      <c r="Y180" s="2" t="n">
        <f aca="false">R180*S180*(1-V180)</f>
        <v>13126.96</v>
      </c>
      <c r="Z180" s="2" t="str">
        <f aca="false">IF(ABS(X180-Y180)&gt;1,"Mismatch","OK")</f>
        <v>OK</v>
      </c>
      <c r="AA180" s="2" t="n">
        <v>10732.44</v>
      </c>
      <c r="AB180" s="2" t="n">
        <v>2394.52</v>
      </c>
      <c r="AC180" s="2" t="n">
        <f aca="false">Y180-AA180</f>
        <v>2394.52</v>
      </c>
      <c r="AD180" s="2" t="str">
        <f aca="false">IF(ABS(AB180-AC180)&gt;1,"Mismatch","OK")</f>
        <v>OK</v>
      </c>
      <c r="AE180" s="4" t="n">
        <f aca="false">IF(Y180=0,0,AC180/Y180)</f>
        <v>0.182412378799052</v>
      </c>
      <c r="AF180" s="2" t="s">
        <v>52</v>
      </c>
      <c r="AG180" s="2" t="s">
        <v>53</v>
      </c>
      <c r="AH180" s="2" t="str">
        <f aca="false">IF(AND(AG180="Completed",AF180&lt;&gt;"Paid"),"Inconsistent","OK")</f>
        <v>OK</v>
      </c>
      <c r="AI180" s="2" t="n">
        <f aca="false">IF(OR(ISBLANK(B180),ISBLANK(C180)),"",C180-B180)</f>
        <v>0</v>
      </c>
      <c r="AJ180" s="2" t="str">
        <f aca="false">IF(AI180="","Unknown",IF(AI180&lt;0,"Invalid","OK"))</f>
        <v>OK</v>
      </c>
      <c r="AK180" s="2" t="str">
        <f aca="false">IF(ISBLANK(B180),"",TEXT(B180,"mmm"))</f>
        <v>Sep</v>
      </c>
      <c r="AL180" s="2" t="n">
        <f aca="false">IF(ISBLANK(B180),"",YEAR(B180))</f>
        <v>2024</v>
      </c>
      <c r="AM180" s="2" t="s">
        <v>41</v>
      </c>
      <c r="AN180" s="2" t="str">
        <f aca="false">IF(OR(W180="Invalid",AJ180="Invalid",AH180="Inconsistent",Z180="Mismatch",AD180="Mismatch",AM180="Yes",D180="Yes",E180="Yes"),"Invalid",IF(OR(J180="Yes",Q180="Yes",U180="Yes"),"Warning","Clean"))</f>
        <v>Clean</v>
      </c>
    </row>
    <row r="181" customFormat="false" ht="15" hidden="false" customHeight="false" outlineLevel="0" collapsed="false">
      <c r="A181" s="2" t="s">
        <v>669</v>
      </c>
      <c r="B181" s="3" t="n">
        <v>45366</v>
      </c>
      <c r="C181" s="3" t="n">
        <v>45370</v>
      </c>
      <c r="D181" s="2" t="s">
        <v>41</v>
      </c>
      <c r="E181" s="2" t="s">
        <v>41</v>
      </c>
      <c r="F181" s="2" t="s">
        <v>670</v>
      </c>
      <c r="G181" s="2" t="s">
        <v>82</v>
      </c>
      <c r="H181" s="2" t="s">
        <v>57</v>
      </c>
      <c r="I181" s="2" t="s">
        <v>74</v>
      </c>
      <c r="J181" s="2" t="s">
        <v>41</v>
      </c>
      <c r="K181" s="2" t="s">
        <v>269</v>
      </c>
      <c r="L181" s="2" t="s">
        <v>270</v>
      </c>
      <c r="M181" s="2" t="s">
        <v>61</v>
      </c>
      <c r="N181" s="2" t="s">
        <v>77</v>
      </c>
      <c r="O181" s="2" t="s">
        <v>671</v>
      </c>
      <c r="P181" s="2" t="s">
        <v>79</v>
      </c>
      <c r="Q181" s="2" t="s">
        <v>41</v>
      </c>
      <c r="R181" s="2" t="n">
        <v>4</v>
      </c>
      <c r="S181" s="2" t="n">
        <v>3186.3</v>
      </c>
      <c r="T181" s="2" t="n">
        <v>0.25</v>
      </c>
      <c r="U181" s="2" t="str">
        <f aca="false">IF(ISBLANK(T181),"Yes","No")</f>
        <v>No</v>
      </c>
      <c r="V181" s="2" t="n">
        <f aca="false">IF(ISBLANK(T181),0,IF(ISNUMBER(T181),T181,VALUE(LEFT(T181,LEN(T181)-1))/100))</f>
        <v>0.25</v>
      </c>
      <c r="W181" s="2" t="str">
        <f aca="false">IF(AND(V181&gt;=0,V181&lt;=0.25),"Valid","Invalid")</f>
        <v>Valid</v>
      </c>
      <c r="X181" s="2" t="n">
        <v>9558.9</v>
      </c>
      <c r="Y181" s="2" t="n">
        <f aca="false">R181*S181*(1-V181)</f>
        <v>9558.9</v>
      </c>
      <c r="Z181" s="2" t="str">
        <f aca="false">IF(ABS(X181-Y181)&gt;1,"Mismatch","OK")</f>
        <v>OK</v>
      </c>
      <c r="AA181" s="2" t="n">
        <v>5516.76</v>
      </c>
      <c r="AB181" s="2" t="n">
        <v>4042.14</v>
      </c>
      <c r="AC181" s="2" t="n">
        <f aca="false">Y181-AA181</f>
        <v>4042.14</v>
      </c>
      <c r="AD181" s="2" t="str">
        <f aca="false">IF(ABS(AB181-AC181)&gt;1,"Mismatch","OK")</f>
        <v>OK</v>
      </c>
      <c r="AE181" s="4" t="n">
        <f aca="false">IF(Y181=0,0,AC181/Y181)</f>
        <v>0.422866647836048</v>
      </c>
      <c r="AF181" s="2" t="s">
        <v>122</v>
      </c>
      <c r="AG181" s="2" t="s">
        <v>123</v>
      </c>
      <c r="AH181" s="2" t="str">
        <f aca="false">IF(AND(AG181="Completed",AF181&lt;&gt;"Paid"),"Inconsistent","OK")</f>
        <v>OK</v>
      </c>
      <c r="AI181" s="2" t="n">
        <f aca="false">IF(OR(ISBLANK(B181),ISBLANK(C181)),"",C181-B181)</f>
        <v>4</v>
      </c>
      <c r="AJ181" s="2" t="str">
        <f aca="false">IF(AI181="","Unknown",IF(AI181&lt;0,"Invalid","OK"))</f>
        <v>OK</v>
      </c>
      <c r="AK181" s="2" t="str">
        <f aca="false">IF(ISBLANK(B181),"",TEXT(B181,"mmm"))</f>
        <v>Mar</v>
      </c>
      <c r="AL181" s="2" t="n">
        <f aca="false">IF(ISBLANK(B181),"",YEAR(B181))</f>
        <v>2024</v>
      </c>
      <c r="AM181" s="2" t="s">
        <v>41</v>
      </c>
      <c r="AN181" s="2" t="str">
        <f aca="false">IF(OR(W181="Invalid",AJ181="Invalid",AH181="Inconsistent",Z181="Mismatch",AD181="Mismatch",AM181="Yes",D181="Yes",E181="Yes"),"Invalid",IF(OR(J181="Yes",Q181="Yes",U181="Yes"),"Warning","Clean"))</f>
        <v>Clean</v>
      </c>
    </row>
    <row r="182" customFormat="false" ht="15" hidden="false" customHeight="false" outlineLevel="0" collapsed="false">
      <c r="A182" s="2" t="s">
        <v>672</v>
      </c>
      <c r="B182" s="3" t="n">
        <v>45530</v>
      </c>
      <c r="C182" s="3" t="n">
        <v>45530</v>
      </c>
      <c r="D182" s="2" t="s">
        <v>41</v>
      </c>
      <c r="E182" s="2" t="s">
        <v>41</v>
      </c>
      <c r="F182" s="2" t="s">
        <v>673</v>
      </c>
      <c r="G182" s="2" t="s">
        <v>56</v>
      </c>
      <c r="H182" s="2" t="s">
        <v>115</v>
      </c>
      <c r="I182" s="2" t="s">
        <v>45</v>
      </c>
      <c r="J182" s="2" t="s">
        <v>41</v>
      </c>
      <c r="K182" s="2" t="s">
        <v>156</v>
      </c>
      <c r="L182" s="2" t="s">
        <v>157</v>
      </c>
      <c r="M182" s="2" t="s">
        <v>48</v>
      </c>
      <c r="N182" s="2" t="s">
        <v>173</v>
      </c>
      <c r="O182" s="2" t="s">
        <v>674</v>
      </c>
      <c r="P182" s="2" t="s">
        <v>70</v>
      </c>
      <c r="Q182" s="2" t="s">
        <v>41</v>
      </c>
      <c r="R182" s="2" t="n">
        <v>7</v>
      </c>
      <c r="S182" s="2" t="n">
        <v>844.59</v>
      </c>
      <c r="T182" s="2" t="n">
        <v>0.1</v>
      </c>
      <c r="U182" s="2" t="str">
        <f aca="false">IF(ISBLANK(T182),"Yes","No")</f>
        <v>No</v>
      </c>
      <c r="V182" s="2" t="n">
        <f aca="false">IF(ISBLANK(T182),0,IF(ISNUMBER(T182),T182,VALUE(LEFT(T182,LEN(T182)-1))/100))</f>
        <v>0.1</v>
      </c>
      <c r="W182" s="2" t="str">
        <f aca="false">IF(AND(V182&gt;=0,V182&lt;=0.25),"Valid","Invalid")</f>
        <v>Valid</v>
      </c>
      <c r="X182" s="2" t="n">
        <v>5320.92</v>
      </c>
      <c r="Y182" s="2" t="n">
        <f aca="false">R182*S182*(1-V182)</f>
        <v>5320.917</v>
      </c>
      <c r="Z182" s="2" t="str">
        <f aca="false">IF(ABS(X182-Y182)&gt;1,"Mismatch","OK")</f>
        <v>OK</v>
      </c>
      <c r="AA182" s="2" t="n">
        <v>3041.5</v>
      </c>
      <c r="AB182" s="2" t="n">
        <v>2279.42</v>
      </c>
      <c r="AC182" s="2" t="n">
        <f aca="false">Y182-AA182</f>
        <v>2279.417</v>
      </c>
      <c r="AD182" s="2" t="str">
        <f aca="false">IF(ABS(AB182-AC182)&gt;1,"Mismatch","OK")</f>
        <v>OK</v>
      </c>
      <c r="AE182" s="4" t="n">
        <f aca="false">IF(Y182=0,0,AC182/Y182)</f>
        <v>0.42838800154184</v>
      </c>
      <c r="AF182" s="2" t="s">
        <v>52</v>
      </c>
      <c r="AG182" s="2" t="s">
        <v>53</v>
      </c>
      <c r="AH182" s="2" t="str">
        <f aca="false">IF(AND(AG182="Completed",AF182&lt;&gt;"Paid"),"Inconsistent","OK")</f>
        <v>OK</v>
      </c>
      <c r="AI182" s="2" t="n">
        <f aca="false">IF(OR(ISBLANK(B182),ISBLANK(C182)),"",C182-B182)</f>
        <v>0</v>
      </c>
      <c r="AJ182" s="2" t="str">
        <f aca="false">IF(AI182="","Unknown",IF(AI182&lt;0,"Invalid","OK"))</f>
        <v>OK</v>
      </c>
      <c r="AK182" s="2" t="str">
        <f aca="false">IF(ISBLANK(B182),"",TEXT(B182,"mmm"))</f>
        <v>Aug</v>
      </c>
      <c r="AL182" s="2" t="n">
        <f aca="false">IF(ISBLANK(B182),"",YEAR(B182))</f>
        <v>2024</v>
      </c>
      <c r="AM182" s="2" t="s">
        <v>41</v>
      </c>
      <c r="AN182" s="2" t="str">
        <f aca="false">IF(OR(W182="Invalid",AJ182="Invalid",AH182="Inconsistent",Z182="Mismatch",AD182="Mismatch",AM182="Yes",D182="Yes",E182="Yes"),"Invalid",IF(OR(J182="Yes",Q182="Yes",U182="Yes"),"Warning","Clean"))</f>
        <v>Clean</v>
      </c>
    </row>
    <row r="183" customFormat="false" ht="15" hidden="false" customHeight="false" outlineLevel="0" collapsed="false">
      <c r="A183" s="2" t="s">
        <v>675</v>
      </c>
      <c r="B183" s="3" t="n">
        <v>45909</v>
      </c>
      <c r="C183" s="3" t="n">
        <v>45910</v>
      </c>
      <c r="D183" s="2" t="s">
        <v>41</v>
      </c>
      <c r="E183" s="2" t="s">
        <v>41</v>
      </c>
      <c r="F183" s="2" t="s">
        <v>676</v>
      </c>
      <c r="G183" s="2" t="s">
        <v>134</v>
      </c>
      <c r="H183" s="2" t="s">
        <v>115</v>
      </c>
      <c r="I183" s="2" t="s">
        <v>74</v>
      </c>
      <c r="J183" s="2" t="s">
        <v>41</v>
      </c>
      <c r="K183" s="2" t="s">
        <v>269</v>
      </c>
      <c r="L183" s="2" t="s">
        <v>270</v>
      </c>
      <c r="M183" s="2" t="s">
        <v>48</v>
      </c>
      <c r="N183" s="2" t="s">
        <v>68</v>
      </c>
      <c r="O183" s="2" t="s">
        <v>677</v>
      </c>
      <c r="P183" s="2" t="s">
        <v>51</v>
      </c>
      <c r="Q183" s="2" t="s">
        <v>41</v>
      </c>
      <c r="R183" s="2" t="n">
        <v>4</v>
      </c>
      <c r="S183" s="2" t="n">
        <v>2551.45</v>
      </c>
      <c r="T183" s="2" t="n">
        <v>0</v>
      </c>
      <c r="U183" s="2" t="str">
        <f aca="false">IF(ISBLANK(T183),"Yes","No")</f>
        <v>No</v>
      </c>
      <c r="V183" s="2" t="n">
        <f aca="false">IF(ISBLANK(T183),0,IF(ISNUMBER(T183),T183,VALUE(LEFT(T183,LEN(T183)-1))/100))</f>
        <v>0</v>
      </c>
      <c r="W183" s="2" t="str">
        <f aca="false">IF(AND(V183&gt;=0,V183&lt;=0.25),"Valid","Invalid")</f>
        <v>Valid</v>
      </c>
      <c r="X183" s="2" t="n">
        <v>10205.8</v>
      </c>
      <c r="Y183" s="2" t="n">
        <f aca="false">R183*S183*(1-V183)</f>
        <v>10205.8</v>
      </c>
      <c r="Z183" s="2" t="str">
        <f aca="false">IF(ABS(X183-Y183)&gt;1,"Mismatch","OK")</f>
        <v>OK</v>
      </c>
      <c r="AA183" s="2" t="n">
        <v>5986.31</v>
      </c>
      <c r="AB183" s="2" t="n">
        <v>4219.49</v>
      </c>
      <c r="AC183" s="2" t="n">
        <f aca="false">Y183-AA183</f>
        <v>4219.49</v>
      </c>
      <c r="AD183" s="2" t="str">
        <f aca="false">IF(ABS(AB183-AC183)&gt;1,"Mismatch","OK")</f>
        <v>OK</v>
      </c>
      <c r="AE183" s="4" t="n">
        <f aca="false">IF(Y183=0,0,AC183/Y183)</f>
        <v>0.413440396637206</v>
      </c>
      <c r="AF183" s="2" t="s">
        <v>52</v>
      </c>
      <c r="AG183" s="2" t="s">
        <v>53</v>
      </c>
      <c r="AH183" s="2" t="str">
        <f aca="false">IF(AND(AG183="Completed",AF183&lt;&gt;"Paid"),"Inconsistent","OK")</f>
        <v>OK</v>
      </c>
      <c r="AI183" s="2" t="n">
        <f aca="false">IF(OR(ISBLANK(B183),ISBLANK(C183)),"",C183-B183)</f>
        <v>1</v>
      </c>
      <c r="AJ183" s="2" t="str">
        <f aca="false">IF(AI183="","Unknown",IF(AI183&lt;0,"Invalid","OK"))</f>
        <v>OK</v>
      </c>
      <c r="AK183" s="2" t="str">
        <f aca="false">IF(ISBLANK(B183),"",TEXT(B183,"mmm"))</f>
        <v>Sep</v>
      </c>
      <c r="AL183" s="2" t="n">
        <f aca="false">IF(ISBLANK(B183),"",YEAR(B183))</f>
        <v>2025</v>
      </c>
      <c r="AM183" s="2" t="s">
        <v>41</v>
      </c>
      <c r="AN183" s="2" t="str">
        <f aca="false">IF(OR(W183="Invalid",AJ183="Invalid",AH183="Inconsistent",Z183="Mismatch",AD183="Mismatch",AM183="Yes",D183="Yes",E183="Yes"),"Invalid",IF(OR(J183="Yes",Q183="Yes",U183="Yes"),"Warning","Clean"))</f>
        <v>Clean</v>
      </c>
    </row>
    <row r="184" customFormat="false" ht="15" hidden="false" customHeight="false" outlineLevel="0" collapsed="false">
      <c r="A184" s="2" t="s">
        <v>678</v>
      </c>
      <c r="B184" s="3" t="n">
        <v>45581</v>
      </c>
      <c r="C184" s="3" t="n">
        <v>45581</v>
      </c>
      <c r="D184" s="2" t="s">
        <v>41</v>
      </c>
      <c r="E184" s="2" t="s">
        <v>41</v>
      </c>
      <c r="F184" s="2" t="s">
        <v>679</v>
      </c>
      <c r="G184" s="2" t="s">
        <v>82</v>
      </c>
      <c r="H184" s="2" t="s">
        <v>115</v>
      </c>
      <c r="I184" s="2" t="s">
        <v>58</v>
      </c>
      <c r="J184" s="2" t="s">
        <v>41</v>
      </c>
      <c r="K184" s="2" t="s">
        <v>165</v>
      </c>
      <c r="L184" s="2" t="s">
        <v>166</v>
      </c>
      <c r="M184" s="2" t="s">
        <v>94</v>
      </c>
      <c r="N184" s="2" t="s">
        <v>296</v>
      </c>
      <c r="O184" s="2" t="s">
        <v>680</v>
      </c>
      <c r="P184" s="2" t="s">
        <v>79</v>
      </c>
      <c r="Q184" s="2" t="s">
        <v>41</v>
      </c>
      <c r="R184" s="2" t="n">
        <v>7</v>
      </c>
      <c r="S184" s="2" t="n">
        <v>775.77</v>
      </c>
      <c r="T184" s="2" t="n">
        <v>0</v>
      </c>
      <c r="U184" s="2" t="str">
        <f aca="false">IF(ISBLANK(T184),"Yes","No")</f>
        <v>No</v>
      </c>
      <c r="V184" s="2" t="n">
        <f aca="false">IF(ISBLANK(T184),0,IF(ISNUMBER(T184),T184,VALUE(LEFT(T184,LEN(T184)-1))/100))</f>
        <v>0</v>
      </c>
      <c r="W184" s="2" t="str">
        <f aca="false">IF(AND(V184&gt;=0,V184&lt;=0.25),"Valid","Invalid")</f>
        <v>Valid</v>
      </c>
      <c r="X184" s="2" t="n">
        <v>5430.39</v>
      </c>
      <c r="Y184" s="2" t="n">
        <f aca="false">R184*S184*(1-V184)</f>
        <v>5430.39</v>
      </c>
      <c r="Z184" s="2" t="str">
        <f aca="false">IF(ABS(X184-Y184)&gt;1,"Mismatch","OK")</f>
        <v>OK</v>
      </c>
      <c r="AA184" s="2" t="n">
        <v>3707.66</v>
      </c>
      <c r="AB184" s="2" t="n">
        <v>1722.73</v>
      </c>
      <c r="AC184" s="2" t="n">
        <f aca="false">Y184-AA184</f>
        <v>1722.73</v>
      </c>
      <c r="AD184" s="2" t="str">
        <f aca="false">IF(ABS(AB184-AC184)&gt;1,"Mismatch","OK")</f>
        <v>OK</v>
      </c>
      <c r="AE184" s="4" t="n">
        <f aca="false">IF(Y184=0,0,AC184/Y184)</f>
        <v>0.317238725027116</v>
      </c>
      <c r="AF184" s="2" t="s">
        <v>52</v>
      </c>
      <c r="AG184" s="2" t="s">
        <v>53</v>
      </c>
      <c r="AH184" s="2" t="str">
        <f aca="false">IF(AND(AG184="Completed",AF184&lt;&gt;"Paid"),"Inconsistent","OK")</f>
        <v>OK</v>
      </c>
      <c r="AI184" s="2" t="n">
        <f aca="false">IF(OR(ISBLANK(B184),ISBLANK(C184)),"",C184-B184)</f>
        <v>0</v>
      </c>
      <c r="AJ184" s="2" t="str">
        <f aca="false">IF(AI184="","Unknown",IF(AI184&lt;0,"Invalid","OK"))</f>
        <v>OK</v>
      </c>
      <c r="AK184" s="2" t="str">
        <f aca="false">IF(ISBLANK(B184),"",TEXT(B184,"mmm"))</f>
        <v>Oct</v>
      </c>
      <c r="AL184" s="2" t="n">
        <f aca="false">IF(ISBLANK(B184),"",YEAR(B184))</f>
        <v>2024</v>
      </c>
      <c r="AM184" s="2" t="s">
        <v>41</v>
      </c>
      <c r="AN184" s="2" t="str">
        <f aca="false">IF(OR(W184="Invalid",AJ184="Invalid",AH184="Inconsistent",Z184="Mismatch",AD184="Mismatch",AM184="Yes",D184="Yes",E184="Yes"),"Invalid",IF(OR(J184="Yes",Q184="Yes",U184="Yes"),"Warning","Clean"))</f>
        <v>Clean</v>
      </c>
    </row>
    <row r="185" customFormat="false" ht="15" hidden="false" customHeight="false" outlineLevel="0" collapsed="false">
      <c r="A185" s="2" t="s">
        <v>681</v>
      </c>
      <c r="B185" s="3" t="n">
        <v>45832</v>
      </c>
      <c r="C185" s="3" t="n">
        <v>45835</v>
      </c>
      <c r="D185" s="2" t="s">
        <v>41</v>
      </c>
      <c r="E185" s="2" t="s">
        <v>41</v>
      </c>
      <c r="F185" s="2" t="s">
        <v>682</v>
      </c>
      <c r="G185" s="2" t="s">
        <v>91</v>
      </c>
      <c r="H185" s="2" t="s">
        <v>115</v>
      </c>
      <c r="I185" s="2" t="s">
        <v>74</v>
      </c>
      <c r="J185" s="2" t="s">
        <v>41</v>
      </c>
      <c r="K185" s="2" t="s">
        <v>75</v>
      </c>
      <c r="L185" s="2" t="s">
        <v>76</v>
      </c>
      <c r="M185" s="2" t="s">
        <v>94</v>
      </c>
      <c r="N185" s="2" t="s">
        <v>100</v>
      </c>
      <c r="O185" s="2" t="s">
        <v>683</v>
      </c>
      <c r="P185" s="2" t="s">
        <v>79</v>
      </c>
      <c r="Q185" s="2" t="s">
        <v>41</v>
      </c>
      <c r="R185" s="2" t="n">
        <v>7</v>
      </c>
      <c r="S185" s="2" t="n">
        <v>2304.86</v>
      </c>
      <c r="T185" s="2" t="n">
        <v>0.2</v>
      </c>
      <c r="U185" s="2" t="str">
        <f aca="false">IF(ISBLANK(T185),"Yes","No")</f>
        <v>No</v>
      </c>
      <c r="V185" s="2" t="n">
        <f aca="false">IF(ISBLANK(T185),0,IF(ISNUMBER(T185),T185,VALUE(LEFT(T185,LEN(T185)-1))/100))</f>
        <v>0.2</v>
      </c>
      <c r="W185" s="2" t="str">
        <f aca="false">IF(AND(V185&gt;=0,V185&lt;=0.25),"Valid","Invalid")</f>
        <v>Valid</v>
      </c>
      <c r="X185" s="2" t="n">
        <v>12907.22</v>
      </c>
      <c r="Y185" s="2" t="n">
        <f aca="false">R185*S185*(1-V185)</f>
        <v>12907.216</v>
      </c>
      <c r="Z185" s="2" t="str">
        <f aca="false">IF(ABS(X185-Y185)&gt;1,"Mismatch","OK")</f>
        <v>OK</v>
      </c>
      <c r="AA185" s="2" t="n">
        <v>8327.89</v>
      </c>
      <c r="AB185" s="2" t="n">
        <v>4579.33</v>
      </c>
      <c r="AC185" s="2" t="n">
        <f aca="false">Y185-AA185</f>
        <v>4579.326</v>
      </c>
      <c r="AD185" s="2" t="str">
        <f aca="false">IF(ABS(AB185-AC185)&gt;1,"Mismatch","OK")</f>
        <v>OK</v>
      </c>
      <c r="AE185" s="4" t="n">
        <f aca="false">IF(Y185=0,0,AC185/Y185)</f>
        <v>0.354788050343312</v>
      </c>
      <c r="AF185" s="2" t="s">
        <v>52</v>
      </c>
      <c r="AG185" s="2" t="s">
        <v>123</v>
      </c>
      <c r="AH185" s="2" t="str">
        <f aca="false">IF(AND(AG185="Completed",AF185&lt;&gt;"Paid"),"Inconsistent","OK")</f>
        <v>OK</v>
      </c>
      <c r="AI185" s="2" t="n">
        <f aca="false">IF(OR(ISBLANK(B185),ISBLANK(C185)),"",C185-B185)</f>
        <v>3</v>
      </c>
      <c r="AJ185" s="2" t="str">
        <f aca="false">IF(AI185="","Unknown",IF(AI185&lt;0,"Invalid","OK"))</f>
        <v>OK</v>
      </c>
      <c r="AK185" s="2" t="str">
        <f aca="false">IF(ISBLANK(B185),"",TEXT(B185,"mmm"))</f>
        <v>Jun</v>
      </c>
      <c r="AL185" s="2" t="n">
        <f aca="false">IF(ISBLANK(B185),"",YEAR(B185))</f>
        <v>2025</v>
      </c>
      <c r="AM185" s="2" t="s">
        <v>41</v>
      </c>
      <c r="AN185" s="2" t="str">
        <f aca="false">IF(OR(W185="Invalid",AJ185="Invalid",AH185="Inconsistent",Z185="Mismatch",AD185="Mismatch",AM185="Yes",D185="Yes",E185="Yes"),"Invalid",IF(OR(J185="Yes",Q185="Yes",U185="Yes"),"Warning","Clean"))</f>
        <v>Clean</v>
      </c>
    </row>
    <row r="186" customFormat="false" ht="15" hidden="false" customHeight="false" outlineLevel="0" collapsed="false">
      <c r="A186" s="2" t="s">
        <v>684</v>
      </c>
      <c r="B186" s="3" t="n">
        <v>45384</v>
      </c>
      <c r="C186" s="3" t="n">
        <v>45388</v>
      </c>
      <c r="D186" s="2" t="s">
        <v>41</v>
      </c>
      <c r="E186" s="2" t="s">
        <v>41</v>
      </c>
      <c r="F186" s="2" t="s">
        <v>685</v>
      </c>
      <c r="G186" s="2" t="s">
        <v>91</v>
      </c>
      <c r="H186" s="2" t="s">
        <v>110</v>
      </c>
      <c r="I186" s="2" t="s">
        <v>83</v>
      </c>
      <c r="J186" s="2" t="s">
        <v>41</v>
      </c>
      <c r="K186" s="2" t="s">
        <v>92</v>
      </c>
      <c r="L186" s="2" t="s">
        <v>93</v>
      </c>
      <c r="M186" s="2" t="s">
        <v>61</v>
      </c>
      <c r="N186" s="2" t="s">
        <v>178</v>
      </c>
      <c r="O186" s="2" t="s">
        <v>686</v>
      </c>
      <c r="P186" s="2" t="s">
        <v>79</v>
      </c>
      <c r="Q186" s="2" t="s">
        <v>41</v>
      </c>
      <c r="R186" s="2" t="n">
        <v>2</v>
      </c>
      <c r="S186" s="2" t="n">
        <v>888.98</v>
      </c>
      <c r="T186" s="2" t="n">
        <v>0</v>
      </c>
      <c r="U186" s="2" t="str">
        <f aca="false">IF(ISBLANK(T186),"Yes","No")</f>
        <v>No</v>
      </c>
      <c r="V186" s="2" t="n">
        <f aca="false">IF(ISBLANK(T186),0,IF(ISNUMBER(T186),T186,VALUE(LEFT(T186,LEN(T186)-1))/100))</f>
        <v>0</v>
      </c>
      <c r="W186" s="2" t="str">
        <f aca="false">IF(AND(V186&gt;=0,V186&lt;=0.25),"Valid","Invalid")</f>
        <v>Valid</v>
      </c>
      <c r="X186" s="2" t="n">
        <v>1777.96</v>
      </c>
      <c r="Y186" s="2" t="n">
        <f aca="false">R186*S186*(1-V186)</f>
        <v>1777.96</v>
      </c>
      <c r="Z186" s="2" t="str">
        <f aca="false">IF(ABS(X186-Y186)&gt;1,"Mismatch","OK")</f>
        <v>OK</v>
      </c>
      <c r="AA186" s="2" t="n">
        <v>1021.16</v>
      </c>
      <c r="AB186" s="2" t="n">
        <v>756.8</v>
      </c>
      <c r="AC186" s="2" t="n">
        <f aca="false">Y186-AA186</f>
        <v>756.8</v>
      </c>
      <c r="AD186" s="2" t="str">
        <f aca="false">IF(ABS(AB186-AC186)&gt;1,"Mismatch","OK")</f>
        <v>OK</v>
      </c>
      <c r="AE186" s="4" t="n">
        <f aca="false">IF(Y186=0,0,AC186/Y186)</f>
        <v>0.425656370222052</v>
      </c>
      <c r="AF186" s="2" t="s">
        <v>122</v>
      </c>
      <c r="AG186" s="2" t="s">
        <v>123</v>
      </c>
      <c r="AH186" s="2" t="str">
        <f aca="false">IF(AND(AG186="Completed",AF186&lt;&gt;"Paid"),"Inconsistent","OK")</f>
        <v>OK</v>
      </c>
      <c r="AI186" s="2" t="n">
        <f aca="false">IF(OR(ISBLANK(B186),ISBLANK(C186)),"",C186-B186)</f>
        <v>4</v>
      </c>
      <c r="AJ186" s="2" t="str">
        <f aca="false">IF(AI186="","Unknown",IF(AI186&lt;0,"Invalid","OK"))</f>
        <v>OK</v>
      </c>
      <c r="AK186" s="2" t="str">
        <f aca="false">IF(ISBLANK(B186),"",TEXT(B186,"mmm"))</f>
        <v>Apr</v>
      </c>
      <c r="AL186" s="2" t="n">
        <f aca="false">IF(ISBLANK(B186),"",YEAR(B186))</f>
        <v>2024</v>
      </c>
      <c r="AM186" s="2" t="s">
        <v>41</v>
      </c>
      <c r="AN186" s="2" t="str">
        <f aca="false">IF(OR(W186="Invalid",AJ186="Invalid",AH186="Inconsistent",Z186="Mismatch",AD186="Mismatch",AM186="Yes",D186="Yes",E186="Yes"),"Invalid",IF(OR(J186="Yes",Q186="Yes",U186="Yes"),"Warning","Clean"))</f>
        <v>Clean</v>
      </c>
    </row>
    <row r="187" customFormat="false" ht="15" hidden="false" customHeight="false" outlineLevel="0" collapsed="false">
      <c r="A187" s="2" t="s">
        <v>687</v>
      </c>
      <c r="B187" s="3" t="n">
        <v>45601</v>
      </c>
      <c r="C187" s="3" t="n">
        <v>45609</v>
      </c>
      <c r="D187" s="2" t="s">
        <v>41</v>
      </c>
      <c r="E187" s="2" t="s">
        <v>41</v>
      </c>
      <c r="F187" s="2" t="s">
        <v>688</v>
      </c>
      <c r="G187" s="2" t="s">
        <v>73</v>
      </c>
      <c r="H187" s="2" t="s">
        <v>44</v>
      </c>
      <c r="I187" s="2" t="s">
        <v>225</v>
      </c>
      <c r="J187" s="2" t="s">
        <v>226</v>
      </c>
      <c r="K187" s="2" t="s">
        <v>142</v>
      </c>
      <c r="L187" s="2" t="s">
        <v>143</v>
      </c>
      <c r="M187" s="2" t="s">
        <v>48</v>
      </c>
      <c r="N187" s="2" t="s">
        <v>111</v>
      </c>
      <c r="O187" s="2" t="s">
        <v>689</v>
      </c>
      <c r="P187" s="2" t="s">
        <v>51</v>
      </c>
      <c r="Q187" s="2" t="s">
        <v>41</v>
      </c>
      <c r="R187" s="2" t="n">
        <v>2</v>
      </c>
      <c r="S187" s="2" t="n">
        <v>1003.17</v>
      </c>
      <c r="T187" s="2" t="n">
        <v>0.2</v>
      </c>
      <c r="U187" s="2" t="str">
        <f aca="false">IF(ISBLANK(T187),"Yes","No")</f>
        <v>No</v>
      </c>
      <c r="V187" s="2" t="n">
        <f aca="false">IF(ISBLANK(T187),0,IF(ISNUMBER(T187),T187,VALUE(LEFT(T187,LEN(T187)-1))/100))</f>
        <v>0.2</v>
      </c>
      <c r="W187" s="2" t="str">
        <f aca="false">IF(AND(V187&gt;=0,V187&lt;=0.25),"Valid","Invalid")</f>
        <v>Valid</v>
      </c>
      <c r="X187" s="2" t="n">
        <v>1605.07</v>
      </c>
      <c r="Y187" s="2" t="n">
        <f aca="false">R187*S187*(1-V187)</f>
        <v>1605.072</v>
      </c>
      <c r="Z187" s="2" t="str">
        <f aca="false">IF(ABS(X187-Y187)&gt;1,"Mismatch","OK")</f>
        <v>OK</v>
      </c>
      <c r="AA187" s="2" t="n">
        <v>1337.28</v>
      </c>
      <c r="AB187" s="2" t="n">
        <v>267.79</v>
      </c>
      <c r="AC187" s="2" t="n">
        <f aca="false">Y187-AA187</f>
        <v>267.792</v>
      </c>
      <c r="AD187" s="2" t="str">
        <f aca="false">IF(ABS(AB187-AC187)&gt;1,"Mismatch","OK")</f>
        <v>OK</v>
      </c>
      <c r="AE187" s="4" t="n">
        <f aca="false">IF(Y187=0,0,AC187/Y187)</f>
        <v>0.166841113669667</v>
      </c>
      <c r="AF187" s="2" t="s">
        <v>52</v>
      </c>
      <c r="AG187" s="2" t="s">
        <v>53</v>
      </c>
      <c r="AH187" s="2" t="str">
        <f aca="false">IF(AND(AG187="Completed",AF187&lt;&gt;"Paid"),"Inconsistent","OK")</f>
        <v>OK</v>
      </c>
      <c r="AI187" s="2" t="n">
        <f aca="false">IF(OR(ISBLANK(B187),ISBLANK(C187)),"",C187-B187)</f>
        <v>8</v>
      </c>
      <c r="AJ187" s="2" t="str">
        <f aca="false">IF(AI187="","Unknown",IF(AI187&lt;0,"Invalid","OK"))</f>
        <v>OK</v>
      </c>
      <c r="AK187" s="2" t="str">
        <f aca="false">IF(ISBLANK(B187),"",TEXT(B187,"mmm"))</f>
        <v>Nov</v>
      </c>
      <c r="AL187" s="2" t="n">
        <f aca="false">IF(ISBLANK(B187),"",YEAR(B187))</f>
        <v>2024</v>
      </c>
      <c r="AM187" s="2" t="s">
        <v>41</v>
      </c>
      <c r="AN187" s="2" t="str">
        <f aca="false">IF(OR(W187="Invalid",AJ187="Invalid",AH187="Inconsistent",Z187="Mismatch",AD187="Mismatch",AM187="Yes",D187="Yes",E187="Yes"),"Invalid",IF(OR(J187="Yes",Q187="Yes",U187="Yes"),"Warning","Clean"))</f>
        <v>Warning</v>
      </c>
    </row>
    <row r="188" customFormat="false" ht="15" hidden="false" customHeight="false" outlineLevel="0" collapsed="false">
      <c r="A188" s="2" t="s">
        <v>690</v>
      </c>
      <c r="B188" s="3" t="n">
        <v>45492</v>
      </c>
      <c r="C188" s="3" t="n">
        <v>45493</v>
      </c>
      <c r="D188" s="2" t="s">
        <v>41</v>
      </c>
      <c r="E188" s="2" t="s">
        <v>41</v>
      </c>
      <c r="F188" s="2" t="s">
        <v>285</v>
      </c>
      <c r="G188" s="2" t="s">
        <v>91</v>
      </c>
      <c r="H188" s="2" t="s">
        <v>44</v>
      </c>
      <c r="I188" s="2" t="s">
        <v>74</v>
      </c>
      <c r="J188" s="2" t="s">
        <v>41</v>
      </c>
      <c r="K188" s="2" t="s">
        <v>269</v>
      </c>
      <c r="L188" s="2" t="s">
        <v>270</v>
      </c>
      <c r="M188" s="2" t="s">
        <v>61</v>
      </c>
      <c r="N188" s="2" t="s">
        <v>62</v>
      </c>
      <c r="O188" s="2" t="s">
        <v>691</v>
      </c>
      <c r="P188" s="2" t="s">
        <v>70</v>
      </c>
      <c r="Q188" s="2" t="s">
        <v>41</v>
      </c>
      <c r="R188" s="2" t="n">
        <v>7</v>
      </c>
      <c r="S188" s="2" t="n">
        <v>3608.43</v>
      </c>
      <c r="T188" s="2" t="n">
        <v>0.05</v>
      </c>
      <c r="U188" s="2" t="str">
        <f aca="false">IF(ISBLANK(T188),"Yes","No")</f>
        <v>No</v>
      </c>
      <c r="V188" s="2" t="n">
        <f aca="false">IF(ISBLANK(T188),0,IF(ISNUMBER(T188),T188,VALUE(LEFT(T188,LEN(T188)-1))/100))</f>
        <v>0.05</v>
      </c>
      <c r="W188" s="2" t="str">
        <f aca="false">IF(AND(V188&gt;=0,V188&lt;=0.25),"Valid","Invalid")</f>
        <v>Valid</v>
      </c>
      <c r="X188" s="2" t="n">
        <v>23996.06</v>
      </c>
      <c r="Y188" s="2" t="n">
        <f aca="false">R188*S188*(1-V188)</f>
        <v>23996.0595</v>
      </c>
      <c r="Z188" s="2" t="str">
        <f aca="false">IF(ABS(X188-Y188)&gt;1,"Mismatch","OK")</f>
        <v>OK</v>
      </c>
      <c r="AA188" s="2" t="n">
        <v>20167.28</v>
      </c>
      <c r="AB188" s="2" t="n">
        <v>3828.78</v>
      </c>
      <c r="AC188" s="2" t="n">
        <f aca="false">Y188-AA188</f>
        <v>3828.7795</v>
      </c>
      <c r="AD188" s="2" t="str">
        <f aca="false">IF(ABS(AB188-AC188)&gt;1,"Mismatch","OK")</f>
        <v>OK</v>
      </c>
      <c r="AE188" s="4" t="n">
        <f aca="false">IF(Y188=0,0,AC188/Y188)</f>
        <v>0.159558676706898</v>
      </c>
      <c r="AF188" s="2" t="s">
        <v>52</v>
      </c>
      <c r="AG188" s="2" t="s">
        <v>53</v>
      </c>
      <c r="AH188" s="2" t="str">
        <f aca="false">IF(AND(AG188="Completed",AF188&lt;&gt;"Paid"),"Inconsistent","OK")</f>
        <v>OK</v>
      </c>
      <c r="AI188" s="2" t="n">
        <f aca="false">IF(OR(ISBLANK(B188),ISBLANK(C188)),"",C188-B188)</f>
        <v>1</v>
      </c>
      <c r="AJ188" s="2" t="str">
        <f aca="false">IF(AI188="","Unknown",IF(AI188&lt;0,"Invalid","OK"))</f>
        <v>OK</v>
      </c>
      <c r="AK188" s="2" t="str">
        <f aca="false">IF(ISBLANK(B188),"",TEXT(B188,"mmm"))</f>
        <v>Jul</v>
      </c>
      <c r="AL188" s="2" t="n">
        <f aca="false">IF(ISBLANK(B188),"",YEAR(B188))</f>
        <v>2024</v>
      </c>
      <c r="AM188" s="2" t="s">
        <v>41</v>
      </c>
      <c r="AN188" s="2" t="str">
        <f aca="false">IF(OR(W188="Invalid",AJ188="Invalid",AH188="Inconsistent",Z188="Mismatch",AD188="Mismatch",AM188="Yes",D188="Yes",E188="Yes"),"Invalid",IF(OR(J188="Yes",Q188="Yes",U188="Yes"),"Warning","Clean"))</f>
        <v>Clean</v>
      </c>
    </row>
    <row r="189" customFormat="false" ht="15" hidden="false" customHeight="false" outlineLevel="0" collapsed="false">
      <c r="A189" s="2" t="s">
        <v>692</v>
      </c>
      <c r="B189" s="3" t="n">
        <v>45778</v>
      </c>
      <c r="C189" s="3" t="n">
        <v>45779</v>
      </c>
      <c r="D189" s="2" t="s">
        <v>41</v>
      </c>
      <c r="E189" s="2" t="s">
        <v>41</v>
      </c>
      <c r="F189" s="2" t="s">
        <v>693</v>
      </c>
      <c r="G189" s="2" t="s">
        <v>56</v>
      </c>
      <c r="H189" s="2" t="s">
        <v>44</v>
      </c>
      <c r="I189" s="2" t="s">
        <v>83</v>
      </c>
      <c r="J189" s="2" t="s">
        <v>41</v>
      </c>
      <c r="K189" s="2" t="s">
        <v>92</v>
      </c>
      <c r="L189" s="2" t="s">
        <v>93</v>
      </c>
      <c r="M189" s="2" t="s">
        <v>61</v>
      </c>
      <c r="N189" s="2" t="s">
        <v>86</v>
      </c>
      <c r="O189" s="2" t="s">
        <v>694</v>
      </c>
      <c r="P189" s="2" t="s">
        <v>64</v>
      </c>
      <c r="Q189" s="2" t="s">
        <v>41</v>
      </c>
      <c r="R189" s="2" t="n">
        <v>3</v>
      </c>
      <c r="S189" s="2" t="n">
        <v>2905.74</v>
      </c>
      <c r="T189" s="2" t="n">
        <v>0</v>
      </c>
      <c r="U189" s="2" t="str">
        <f aca="false">IF(ISBLANK(T189),"Yes","No")</f>
        <v>No</v>
      </c>
      <c r="V189" s="2" t="n">
        <f aca="false">IF(ISBLANK(T189),0,IF(ISNUMBER(T189),T189,VALUE(LEFT(T189,LEN(T189)-1))/100))</f>
        <v>0</v>
      </c>
      <c r="W189" s="2" t="str">
        <f aca="false">IF(AND(V189&gt;=0,V189&lt;=0.25),"Valid","Invalid")</f>
        <v>Valid</v>
      </c>
      <c r="X189" s="2" t="n">
        <v>8717.22</v>
      </c>
      <c r="Y189" s="2" t="n">
        <f aca="false">R189*S189*(1-V189)</f>
        <v>8717.22</v>
      </c>
      <c r="Z189" s="2" t="str">
        <f aca="false">IF(ABS(X189-Y189)&gt;1,"Mismatch","OK")</f>
        <v>OK</v>
      </c>
      <c r="AA189" s="2" t="n">
        <v>6215.96</v>
      </c>
      <c r="AB189" s="2" t="n">
        <v>2501.26</v>
      </c>
      <c r="AC189" s="2" t="n">
        <f aca="false">Y189-AA189</f>
        <v>2501.26</v>
      </c>
      <c r="AD189" s="2" t="str">
        <f aca="false">IF(ABS(AB189-AC189)&gt;1,"Mismatch","OK")</f>
        <v>OK</v>
      </c>
      <c r="AE189" s="4" t="n">
        <f aca="false">IF(Y189=0,0,AC189/Y189)</f>
        <v>0.286933219535586</v>
      </c>
      <c r="AF189" s="2" t="s">
        <v>52</v>
      </c>
      <c r="AG189" s="2" t="s">
        <v>123</v>
      </c>
      <c r="AH189" s="2" t="str">
        <f aca="false">IF(AND(AG189="Completed",AF189&lt;&gt;"Paid"),"Inconsistent","OK")</f>
        <v>OK</v>
      </c>
      <c r="AI189" s="2" t="n">
        <f aca="false">IF(OR(ISBLANK(B189),ISBLANK(C189)),"",C189-B189)</f>
        <v>1</v>
      </c>
      <c r="AJ189" s="2" t="str">
        <f aca="false">IF(AI189="","Unknown",IF(AI189&lt;0,"Invalid","OK"))</f>
        <v>OK</v>
      </c>
      <c r="AK189" s="2" t="str">
        <f aca="false">IF(ISBLANK(B189),"",TEXT(B189,"mmm"))</f>
        <v>May</v>
      </c>
      <c r="AL189" s="2" t="n">
        <f aca="false">IF(ISBLANK(B189),"",YEAR(B189))</f>
        <v>2025</v>
      </c>
      <c r="AM189" s="2" t="s">
        <v>41</v>
      </c>
      <c r="AN189" s="2" t="str">
        <f aca="false">IF(OR(W189="Invalid",AJ189="Invalid",AH189="Inconsistent",Z189="Mismatch",AD189="Mismatch",AM189="Yes",D189="Yes",E189="Yes"),"Invalid",IF(OR(J189="Yes",Q189="Yes",U189="Yes"),"Warning","Clean"))</f>
        <v>Clean</v>
      </c>
    </row>
    <row r="190" customFormat="false" ht="15" hidden="false" customHeight="false" outlineLevel="0" collapsed="false">
      <c r="A190" s="2" t="s">
        <v>695</v>
      </c>
      <c r="B190" s="3" t="n">
        <v>45798</v>
      </c>
      <c r="C190" s="3" t="n">
        <v>45805</v>
      </c>
      <c r="D190" s="2" t="s">
        <v>41</v>
      </c>
      <c r="E190" s="2" t="s">
        <v>41</v>
      </c>
      <c r="F190" s="2" t="s">
        <v>696</v>
      </c>
      <c r="G190" s="2" t="s">
        <v>134</v>
      </c>
      <c r="H190" s="2" t="s">
        <v>110</v>
      </c>
      <c r="I190" s="2" t="s">
        <v>58</v>
      </c>
      <c r="J190" s="2" t="s">
        <v>41</v>
      </c>
      <c r="K190" s="2" t="s">
        <v>119</v>
      </c>
      <c r="L190" s="2" t="s">
        <v>120</v>
      </c>
      <c r="M190" s="2" t="s">
        <v>61</v>
      </c>
      <c r="N190" s="2" t="s">
        <v>178</v>
      </c>
      <c r="O190" s="2" t="s">
        <v>697</v>
      </c>
      <c r="P190" s="2" t="s">
        <v>64</v>
      </c>
      <c r="Q190" s="2" t="s">
        <v>41</v>
      </c>
      <c r="R190" s="2" t="n">
        <v>2</v>
      </c>
      <c r="S190" s="2" t="n">
        <v>3559.57</v>
      </c>
      <c r="T190" s="2" t="n">
        <v>0.1</v>
      </c>
      <c r="U190" s="2" t="str">
        <f aca="false">IF(ISBLANK(T190),"Yes","No")</f>
        <v>No</v>
      </c>
      <c r="V190" s="2" t="n">
        <f aca="false">IF(ISBLANK(T190),0,IF(ISNUMBER(T190),T190,VALUE(LEFT(T190,LEN(T190)-1))/100))</f>
        <v>0.1</v>
      </c>
      <c r="W190" s="2" t="str">
        <f aca="false">IF(AND(V190&gt;=0,V190&lt;=0.25),"Valid","Invalid")</f>
        <v>Valid</v>
      </c>
      <c r="X190" s="2" t="n">
        <v>6553.95</v>
      </c>
      <c r="Y190" s="2" t="n">
        <f aca="false">R190*S190*(1-V190)</f>
        <v>6407.226</v>
      </c>
      <c r="Z190" s="2" t="str">
        <f aca="false">IF(ABS(X190-Y190)&gt;1,"Mismatch","OK")</f>
        <v>Mismatch</v>
      </c>
      <c r="AA190" s="2" t="n">
        <v>4923.09</v>
      </c>
      <c r="AB190" s="2" t="n">
        <v>1484.14</v>
      </c>
      <c r="AC190" s="2" t="n">
        <f aca="false">Y190-AA190</f>
        <v>1484.136</v>
      </c>
      <c r="AD190" s="2" t="str">
        <f aca="false">IF(ABS(AB190-AC190)&gt;1,"Mismatch","OK")</f>
        <v>OK</v>
      </c>
      <c r="AE190" s="4" t="n">
        <f aca="false">IF(Y190=0,0,AC190/Y190)</f>
        <v>0.231634719924036</v>
      </c>
      <c r="AF190" s="2" t="s">
        <v>52</v>
      </c>
      <c r="AG190" s="2" t="s">
        <v>53</v>
      </c>
      <c r="AH190" s="2" t="str">
        <f aca="false">IF(AND(AG190="Completed",AF190&lt;&gt;"Paid"),"Inconsistent","OK")</f>
        <v>OK</v>
      </c>
      <c r="AI190" s="2" t="n">
        <f aca="false">IF(OR(ISBLANK(B190),ISBLANK(C190)),"",C190-B190)</f>
        <v>7</v>
      </c>
      <c r="AJ190" s="2" t="str">
        <f aca="false">IF(AI190="","Unknown",IF(AI190&lt;0,"Invalid","OK"))</f>
        <v>OK</v>
      </c>
      <c r="AK190" s="2" t="str">
        <f aca="false">IF(ISBLANK(B190),"",TEXT(B190,"mmm"))</f>
        <v>May</v>
      </c>
      <c r="AL190" s="2" t="n">
        <f aca="false">IF(ISBLANK(B190),"",YEAR(B190))</f>
        <v>2025</v>
      </c>
      <c r="AM190" s="2" t="s">
        <v>41</v>
      </c>
      <c r="AN190" s="2" t="str">
        <f aca="false">IF(OR(W190="Invalid",AJ190="Invalid",AH190="Inconsistent",Z190="Mismatch",AD190="Mismatch",AM190="Yes",D190="Yes",E190="Yes"),"Invalid",IF(OR(J190="Yes",Q190="Yes",U190="Yes"),"Warning","Clean"))</f>
        <v>Invalid</v>
      </c>
    </row>
    <row r="191" customFormat="false" ht="15" hidden="false" customHeight="false" outlineLevel="0" collapsed="false">
      <c r="A191" s="2" t="s">
        <v>698</v>
      </c>
      <c r="B191" s="3" t="n">
        <v>45783</v>
      </c>
      <c r="C191" s="3" t="n">
        <v>45784</v>
      </c>
      <c r="D191" s="2" t="s">
        <v>41</v>
      </c>
      <c r="E191" s="2" t="s">
        <v>41</v>
      </c>
      <c r="F191" s="2" t="s">
        <v>699</v>
      </c>
      <c r="G191" s="2" t="s">
        <v>73</v>
      </c>
      <c r="H191" s="2" t="s">
        <v>44</v>
      </c>
      <c r="I191" s="2" t="s">
        <v>83</v>
      </c>
      <c r="J191" s="2" t="s">
        <v>41</v>
      </c>
      <c r="K191" s="2" t="s">
        <v>46</v>
      </c>
      <c r="L191" s="2" t="s">
        <v>129</v>
      </c>
      <c r="M191" s="2" t="s">
        <v>61</v>
      </c>
      <c r="N191" s="2" t="s">
        <v>178</v>
      </c>
      <c r="O191" s="2" t="s">
        <v>700</v>
      </c>
      <c r="P191" s="2" t="s">
        <v>70</v>
      </c>
      <c r="Q191" s="2" t="s">
        <v>41</v>
      </c>
      <c r="R191" s="2" t="n">
        <v>9</v>
      </c>
      <c r="S191" s="2" t="n">
        <v>3318.24</v>
      </c>
      <c r="T191" s="2"/>
      <c r="U191" s="2" t="str">
        <f aca="false">IF(ISBLANK(T191),"Yes","No")</f>
        <v>Yes</v>
      </c>
      <c r="V191" s="2" t="n">
        <f aca="false">IF(ISBLANK(T191),0,IF(ISNUMBER(T191),T191,VALUE(LEFT(T191,LEN(T191)-1))/100))</f>
        <v>0</v>
      </c>
      <c r="W191" s="2" t="str">
        <f aca="false">IF(AND(V191&gt;=0,V191&lt;=0.25),"Valid","Invalid")</f>
        <v>Valid</v>
      </c>
      <c r="X191" s="2" t="n">
        <v>25384.54</v>
      </c>
      <c r="Y191" s="2" t="n">
        <f aca="false">R191*S191*(1-V191)</f>
        <v>29864.16</v>
      </c>
      <c r="Z191" s="2" t="str">
        <f aca="false">IF(ABS(X191-Y191)&gt;1,"Mismatch","OK")</f>
        <v>Mismatch</v>
      </c>
      <c r="AA191" s="2" t="n">
        <v>16872.39</v>
      </c>
      <c r="AB191" s="2" t="n">
        <v>8512.15</v>
      </c>
      <c r="AC191" s="2" t="n">
        <f aca="false">Y191-AA191</f>
        <v>12991.77</v>
      </c>
      <c r="AD191" s="2" t="str">
        <f aca="false">IF(ABS(AB191-AC191)&gt;1,"Mismatch","OK")</f>
        <v>Mismatch</v>
      </c>
      <c r="AE191" s="4" t="n">
        <f aca="false">IF(Y191=0,0,AC191/Y191)</f>
        <v>0.435028810453735</v>
      </c>
      <c r="AF191" s="2" t="s">
        <v>52</v>
      </c>
      <c r="AG191" s="2" t="s">
        <v>53</v>
      </c>
      <c r="AH191" s="2" t="str">
        <f aca="false">IF(AND(AG191="Completed",AF191&lt;&gt;"Paid"),"Inconsistent","OK")</f>
        <v>OK</v>
      </c>
      <c r="AI191" s="2" t="n">
        <f aca="false">IF(OR(ISBLANK(B191),ISBLANK(C191)),"",C191-B191)</f>
        <v>1</v>
      </c>
      <c r="AJ191" s="2" t="str">
        <f aca="false">IF(AI191="","Unknown",IF(AI191&lt;0,"Invalid","OK"))</f>
        <v>OK</v>
      </c>
      <c r="AK191" s="2" t="str">
        <f aca="false">IF(ISBLANK(B191),"",TEXT(B191,"mmm"))</f>
        <v>May</v>
      </c>
      <c r="AL191" s="2" t="n">
        <f aca="false">IF(ISBLANK(B191),"",YEAR(B191))</f>
        <v>2025</v>
      </c>
      <c r="AM191" s="2" t="s">
        <v>41</v>
      </c>
      <c r="AN191" s="2" t="str">
        <f aca="false">IF(OR(W191="Invalid",AJ191="Invalid",AH191="Inconsistent",Z191="Mismatch",AD191="Mismatch",AM191="Yes",D191="Yes",E191="Yes"),"Invalid",IF(OR(J191="Yes",Q191="Yes",U191="Yes"),"Warning","Clean"))</f>
        <v>Invalid</v>
      </c>
    </row>
    <row r="192" customFormat="false" ht="15" hidden="false" customHeight="false" outlineLevel="0" collapsed="false">
      <c r="A192" s="2" t="s">
        <v>701</v>
      </c>
      <c r="B192" s="3" t="n">
        <v>45767</v>
      </c>
      <c r="C192" s="3" t="n">
        <v>45768</v>
      </c>
      <c r="D192" s="2" t="s">
        <v>41</v>
      </c>
      <c r="E192" s="2" t="s">
        <v>41</v>
      </c>
      <c r="F192" s="2" t="s">
        <v>702</v>
      </c>
      <c r="G192" s="2" t="s">
        <v>109</v>
      </c>
      <c r="H192" s="2" t="s">
        <v>44</v>
      </c>
      <c r="I192" s="2" t="s">
        <v>74</v>
      </c>
      <c r="J192" s="2" t="s">
        <v>41</v>
      </c>
      <c r="K192" s="2" t="s">
        <v>269</v>
      </c>
      <c r="L192" s="2" t="s">
        <v>270</v>
      </c>
      <c r="M192" s="2" t="s">
        <v>48</v>
      </c>
      <c r="N192" s="2" t="s">
        <v>144</v>
      </c>
      <c r="O192" s="2" t="s">
        <v>703</v>
      </c>
      <c r="P192" s="2" t="s">
        <v>70</v>
      </c>
      <c r="Q192" s="2" t="s">
        <v>41</v>
      </c>
      <c r="R192" s="2" t="n">
        <v>3</v>
      </c>
      <c r="S192" s="2" t="n">
        <v>540.09</v>
      </c>
      <c r="T192" s="2" t="n">
        <v>0.1</v>
      </c>
      <c r="U192" s="2" t="str">
        <f aca="false">IF(ISBLANK(T192),"Yes","No")</f>
        <v>No</v>
      </c>
      <c r="V192" s="2" t="n">
        <f aca="false">IF(ISBLANK(T192),0,IF(ISNUMBER(T192),T192,VALUE(LEFT(T192,LEN(T192)-1))/100))</f>
        <v>0.1</v>
      </c>
      <c r="W192" s="2" t="str">
        <f aca="false">IF(AND(V192&gt;=0,V192&lt;=0.25),"Valid","Invalid")</f>
        <v>Valid</v>
      </c>
      <c r="X192" s="2" t="n">
        <v>1458.24</v>
      </c>
      <c r="Y192" s="2" t="n">
        <f aca="false">R192*S192*(1-V192)</f>
        <v>1458.243</v>
      </c>
      <c r="Z192" s="2" t="str">
        <f aca="false">IF(ABS(X192-Y192)&gt;1,"Mismatch","OK")</f>
        <v>OK</v>
      </c>
      <c r="AA192" s="2" t="n">
        <v>943.32</v>
      </c>
      <c r="AB192" s="2" t="n">
        <v>514.92</v>
      </c>
      <c r="AC192" s="2" t="n">
        <f aca="false">Y192-AA192</f>
        <v>514.923</v>
      </c>
      <c r="AD192" s="2" t="str">
        <f aca="false">IF(ABS(AB192-AC192)&gt;1,"Mismatch","OK")</f>
        <v>OK</v>
      </c>
      <c r="AE192" s="4" t="n">
        <f aca="false">IF(Y192=0,0,AC192/Y192)</f>
        <v>0.353111929904687</v>
      </c>
      <c r="AF192" s="2" t="s">
        <v>52</v>
      </c>
      <c r="AG192" s="2" t="s">
        <v>53</v>
      </c>
      <c r="AH192" s="2" t="str">
        <f aca="false">IF(AND(AG192="Completed",AF192&lt;&gt;"Paid"),"Inconsistent","OK")</f>
        <v>OK</v>
      </c>
      <c r="AI192" s="2" t="n">
        <f aca="false">IF(OR(ISBLANK(B192),ISBLANK(C192)),"",C192-B192)</f>
        <v>1</v>
      </c>
      <c r="AJ192" s="2" t="str">
        <f aca="false">IF(AI192="","Unknown",IF(AI192&lt;0,"Invalid","OK"))</f>
        <v>OK</v>
      </c>
      <c r="AK192" s="2" t="str">
        <f aca="false">IF(ISBLANK(B192),"",TEXT(B192,"mmm"))</f>
        <v>Apr</v>
      </c>
      <c r="AL192" s="2" t="n">
        <f aca="false">IF(ISBLANK(B192),"",YEAR(B192))</f>
        <v>2025</v>
      </c>
      <c r="AM192" s="2" t="s">
        <v>41</v>
      </c>
      <c r="AN192" s="2" t="str">
        <f aca="false">IF(OR(W192="Invalid",AJ192="Invalid",AH192="Inconsistent",Z192="Mismatch",AD192="Mismatch",AM192="Yes",D192="Yes",E192="Yes"),"Invalid",IF(OR(J192="Yes",Q192="Yes",U192="Yes"),"Warning","Clean"))</f>
        <v>Clean</v>
      </c>
    </row>
    <row r="193" customFormat="false" ht="15" hidden="false" customHeight="false" outlineLevel="0" collapsed="false">
      <c r="A193" s="2" t="s">
        <v>704</v>
      </c>
      <c r="B193" s="3" t="n">
        <v>45584</v>
      </c>
      <c r="C193" s="3" t="n">
        <v>45589</v>
      </c>
      <c r="D193" s="2" t="s">
        <v>41</v>
      </c>
      <c r="E193" s="2" t="s">
        <v>41</v>
      </c>
      <c r="F193" s="2" t="s">
        <v>705</v>
      </c>
      <c r="G193" s="2" t="s">
        <v>152</v>
      </c>
      <c r="H193" s="2" t="s">
        <v>57</v>
      </c>
      <c r="I193" s="2" t="s">
        <v>74</v>
      </c>
      <c r="J193" s="2" t="s">
        <v>41</v>
      </c>
      <c r="K193" s="2" t="s">
        <v>269</v>
      </c>
      <c r="L193" s="2" t="s">
        <v>270</v>
      </c>
      <c r="M193" s="2" t="s">
        <v>61</v>
      </c>
      <c r="N193" s="2" t="s">
        <v>178</v>
      </c>
      <c r="O193" s="2" t="s">
        <v>706</v>
      </c>
      <c r="P193" s="2" t="s">
        <v>51</v>
      </c>
      <c r="Q193" s="2" t="s">
        <v>41</v>
      </c>
      <c r="R193" s="2" t="n">
        <v>6</v>
      </c>
      <c r="S193" s="2" t="n">
        <v>4308.4</v>
      </c>
      <c r="T193" s="2" t="n">
        <v>0.65</v>
      </c>
      <c r="U193" s="2" t="str">
        <f aca="false">IF(ISBLANK(T193),"Yes","No")</f>
        <v>No</v>
      </c>
      <c r="V193" s="2" t="n">
        <f aca="false">IF(ISBLANK(T193),0,IF(ISNUMBER(T193),T193,VALUE(LEFT(T193,LEN(T193)-1))/100))</f>
        <v>0.65</v>
      </c>
      <c r="W193" s="2" t="str">
        <f aca="false">IF(AND(V193&gt;=0,V193&lt;=0.25),"Valid","Invalid")</f>
        <v>Invalid</v>
      </c>
      <c r="X193" s="2" t="n">
        <v>25850.4</v>
      </c>
      <c r="Y193" s="2" t="n">
        <f aca="false">R193*S193*(1-V193)</f>
        <v>9047.64</v>
      </c>
      <c r="Z193" s="2" t="str">
        <f aca="false">IF(ABS(X193-Y193)&gt;1,"Mismatch","OK")</f>
        <v>Mismatch</v>
      </c>
      <c r="AA193" s="2" t="n">
        <v>19397.68</v>
      </c>
      <c r="AB193" s="2" t="n">
        <v>6452.72</v>
      </c>
      <c r="AC193" s="2" t="n">
        <f aca="false">Y193-AA193</f>
        <v>-10350.04</v>
      </c>
      <c r="AD193" s="2" t="str">
        <f aca="false">IF(ABS(AB193-AC193)&gt;1,"Mismatch","OK")</f>
        <v>Mismatch</v>
      </c>
      <c r="AE193" s="4" t="n">
        <f aca="false">IF(Y193=0,0,AC193/Y193)</f>
        <v>-1.14394914032831</v>
      </c>
      <c r="AF193" s="2" t="s">
        <v>52</v>
      </c>
      <c r="AG193" s="2" t="s">
        <v>53</v>
      </c>
      <c r="AH193" s="2" t="str">
        <f aca="false">IF(AND(AG193="Completed",AF193&lt;&gt;"Paid"),"Inconsistent","OK")</f>
        <v>OK</v>
      </c>
      <c r="AI193" s="2" t="n">
        <f aca="false">IF(OR(ISBLANK(B193),ISBLANK(C193)),"",C193-B193)</f>
        <v>5</v>
      </c>
      <c r="AJ193" s="2" t="str">
        <f aca="false">IF(AI193="","Unknown",IF(AI193&lt;0,"Invalid","OK"))</f>
        <v>OK</v>
      </c>
      <c r="AK193" s="2" t="str">
        <f aca="false">IF(ISBLANK(B193),"",TEXT(B193,"mmm"))</f>
        <v>Oct</v>
      </c>
      <c r="AL193" s="2" t="n">
        <f aca="false">IF(ISBLANK(B193),"",YEAR(B193))</f>
        <v>2024</v>
      </c>
      <c r="AM193" s="2" t="s">
        <v>41</v>
      </c>
      <c r="AN193" s="2" t="str">
        <f aca="false">IF(OR(W193="Invalid",AJ193="Invalid",AH193="Inconsistent",Z193="Mismatch",AD193="Mismatch",AM193="Yes",D193="Yes",E193="Yes"),"Invalid",IF(OR(J193="Yes",Q193="Yes",U193="Yes"),"Warning","Clean"))</f>
        <v>Invalid</v>
      </c>
    </row>
    <row r="194" customFormat="false" ht="15" hidden="false" customHeight="false" outlineLevel="0" collapsed="false">
      <c r="A194" s="2" t="s">
        <v>707</v>
      </c>
      <c r="B194" s="3" t="n">
        <v>45635</v>
      </c>
      <c r="C194" s="3" t="n">
        <v>45642</v>
      </c>
      <c r="D194" s="2" t="s">
        <v>41</v>
      </c>
      <c r="E194" s="2" t="s">
        <v>41</v>
      </c>
      <c r="F194" s="2" t="s">
        <v>708</v>
      </c>
      <c r="G194" s="2" t="s">
        <v>67</v>
      </c>
      <c r="H194" s="2" t="s">
        <v>115</v>
      </c>
      <c r="I194" s="2" t="s">
        <v>83</v>
      </c>
      <c r="J194" s="2" t="s">
        <v>41</v>
      </c>
      <c r="K194" s="2" t="s">
        <v>200</v>
      </c>
      <c r="L194" s="2" t="s">
        <v>201</v>
      </c>
      <c r="M194" s="2" t="s">
        <v>61</v>
      </c>
      <c r="N194" s="2" t="s">
        <v>86</v>
      </c>
      <c r="O194" s="2" t="s">
        <v>709</v>
      </c>
      <c r="P194" s="2" t="s">
        <v>70</v>
      </c>
      <c r="Q194" s="2" t="s">
        <v>41</v>
      </c>
      <c r="R194" s="2" t="n">
        <v>4</v>
      </c>
      <c r="S194" s="2" t="n">
        <v>2191.03</v>
      </c>
      <c r="T194" s="2" t="n">
        <v>0</v>
      </c>
      <c r="U194" s="2" t="str">
        <f aca="false">IF(ISBLANK(T194),"Yes","No")</f>
        <v>No</v>
      </c>
      <c r="V194" s="2" t="n">
        <f aca="false">IF(ISBLANK(T194),0,IF(ISNUMBER(T194),T194,VALUE(LEFT(T194,LEN(T194)-1))/100))</f>
        <v>0</v>
      </c>
      <c r="W194" s="2" t="str">
        <f aca="false">IF(AND(V194&gt;=0,V194&lt;=0.25),"Valid","Invalid")</f>
        <v>Valid</v>
      </c>
      <c r="X194" s="2" t="n">
        <v>8764.12</v>
      </c>
      <c r="Y194" s="2" t="n">
        <f aca="false">R194*S194*(1-V194)</f>
        <v>8764.12</v>
      </c>
      <c r="Z194" s="2" t="str">
        <f aca="false">IF(ABS(X194-Y194)&gt;1,"Mismatch","OK")</f>
        <v>OK</v>
      </c>
      <c r="AA194" s="2" t="n">
        <v>7220.05</v>
      </c>
      <c r="AB194" s="2" t="n">
        <v>1544.07</v>
      </c>
      <c r="AC194" s="2" t="n">
        <f aca="false">Y194-AA194</f>
        <v>1544.07</v>
      </c>
      <c r="AD194" s="2" t="str">
        <f aca="false">IF(ABS(AB194-AC194)&gt;1,"Mismatch","OK")</f>
        <v>OK</v>
      </c>
      <c r="AE194" s="4" t="n">
        <f aca="false">IF(Y194=0,0,AC194/Y194)</f>
        <v>0.176180837323086</v>
      </c>
      <c r="AF194" s="2" t="s">
        <v>52</v>
      </c>
      <c r="AG194" s="2" t="s">
        <v>53</v>
      </c>
      <c r="AH194" s="2" t="str">
        <f aca="false">IF(AND(AG194="Completed",AF194&lt;&gt;"Paid"),"Inconsistent","OK")</f>
        <v>OK</v>
      </c>
      <c r="AI194" s="2" t="n">
        <f aca="false">IF(OR(ISBLANK(B194),ISBLANK(C194)),"",C194-B194)</f>
        <v>7</v>
      </c>
      <c r="AJ194" s="2" t="str">
        <f aca="false">IF(AI194="","Unknown",IF(AI194&lt;0,"Invalid","OK"))</f>
        <v>OK</v>
      </c>
      <c r="AK194" s="2" t="str">
        <f aca="false">IF(ISBLANK(B194),"",TEXT(B194,"mmm"))</f>
        <v>Dec</v>
      </c>
      <c r="AL194" s="2" t="n">
        <f aca="false">IF(ISBLANK(B194),"",YEAR(B194))</f>
        <v>2024</v>
      </c>
      <c r="AM194" s="2" t="s">
        <v>41</v>
      </c>
      <c r="AN194" s="2" t="str">
        <f aca="false">IF(OR(W194="Invalid",AJ194="Invalid",AH194="Inconsistent",Z194="Mismatch",AD194="Mismatch",AM194="Yes",D194="Yes",E194="Yes"),"Invalid",IF(OR(J194="Yes",Q194="Yes",U194="Yes"),"Warning","Clean"))</f>
        <v>Clean</v>
      </c>
    </row>
    <row r="195" customFormat="false" ht="15" hidden="false" customHeight="false" outlineLevel="0" collapsed="false">
      <c r="A195" s="2" t="s">
        <v>710</v>
      </c>
      <c r="B195" s="3" t="n">
        <v>45466</v>
      </c>
      <c r="C195" s="3" t="n">
        <v>45471</v>
      </c>
      <c r="D195" s="2" t="s">
        <v>41</v>
      </c>
      <c r="E195" s="2" t="s">
        <v>41</v>
      </c>
      <c r="F195" s="2" t="s">
        <v>711</v>
      </c>
      <c r="G195" s="2" t="s">
        <v>134</v>
      </c>
      <c r="H195" s="2" t="s">
        <v>57</v>
      </c>
      <c r="I195" s="2" t="s">
        <v>45</v>
      </c>
      <c r="J195" s="2" t="s">
        <v>41</v>
      </c>
      <c r="K195" s="2" t="s">
        <v>142</v>
      </c>
      <c r="L195" s="2" t="s">
        <v>143</v>
      </c>
      <c r="M195" s="2" t="s">
        <v>94</v>
      </c>
      <c r="N195" s="2" t="s">
        <v>100</v>
      </c>
      <c r="O195" s="2" t="s">
        <v>712</v>
      </c>
      <c r="P195" s="2" t="s">
        <v>64</v>
      </c>
      <c r="Q195" s="2" t="s">
        <v>41</v>
      </c>
      <c r="R195" s="2" t="n">
        <v>6</v>
      </c>
      <c r="S195" s="2" t="n">
        <v>1956.63</v>
      </c>
      <c r="T195" s="2" t="n">
        <v>0.2</v>
      </c>
      <c r="U195" s="2" t="str">
        <f aca="false">IF(ISBLANK(T195),"Yes","No")</f>
        <v>No</v>
      </c>
      <c r="V195" s="2" t="n">
        <f aca="false">IF(ISBLANK(T195),0,IF(ISNUMBER(T195),T195,VALUE(LEFT(T195,LEN(T195)-1))/100))</f>
        <v>0.2</v>
      </c>
      <c r="W195" s="2" t="str">
        <f aca="false">IF(AND(V195&gt;=0,V195&lt;=0.25),"Valid","Invalid")</f>
        <v>Valid</v>
      </c>
      <c r="X195" s="2" t="n">
        <v>9391.82</v>
      </c>
      <c r="Y195" s="2" t="n">
        <f aca="false">R195*S195*(1-V195)</f>
        <v>9391.824</v>
      </c>
      <c r="Z195" s="2" t="str">
        <f aca="false">IF(ABS(X195-Y195)&gt;1,"Mismatch","OK")</f>
        <v>OK</v>
      </c>
      <c r="AA195" s="2" t="n">
        <v>6013.22</v>
      </c>
      <c r="AB195" s="2" t="n">
        <v>3378.6</v>
      </c>
      <c r="AC195" s="2" t="n">
        <f aca="false">Y195-AA195</f>
        <v>3378.604</v>
      </c>
      <c r="AD195" s="2" t="str">
        <f aca="false">IF(ABS(AB195-AC195)&gt;1,"Mismatch","OK")</f>
        <v>OK</v>
      </c>
      <c r="AE195" s="4" t="n">
        <f aca="false">IF(Y195=0,0,AC195/Y195)</f>
        <v>0.359738853709354</v>
      </c>
      <c r="AF195" s="2" t="s">
        <v>122</v>
      </c>
      <c r="AG195" s="2" t="s">
        <v>123</v>
      </c>
      <c r="AH195" s="2" t="str">
        <f aca="false">IF(AND(AG195="Completed",AF195&lt;&gt;"Paid"),"Inconsistent","OK")</f>
        <v>OK</v>
      </c>
      <c r="AI195" s="2" t="n">
        <f aca="false">IF(OR(ISBLANK(B195),ISBLANK(C195)),"",C195-B195)</f>
        <v>5</v>
      </c>
      <c r="AJ195" s="2" t="str">
        <f aca="false">IF(AI195="","Unknown",IF(AI195&lt;0,"Invalid","OK"))</f>
        <v>OK</v>
      </c>
      <c r="AK195" s="2" t="str">
        <f aca="false">IF(ISBLANK(B195),"",TEXT(B195,"mmm"))</f>
        <v>Jun</v>
      </c>
      <c r="AL195" s="2" t="n">
        <f aca="false">IF(ISBLANK(B195),"",YEAR(B195))</f>
        <v>2024</v>
      </c>
      <c r="AM195" s="2" t="s">
        <v>41</v>
      </c>
      <c r="AN195" s="2" t="str">
        <f aca="false">IF(OR(W195="Invalid",AJ195="Invalid",AH195="Inconsistent",Z195="Mismatch",AD195="Mismatch",AM195="Yes",D195="Yes",E195="Yes"),"Invalid",IF(OR(J195="Yes",Q195="Yes",U195="Yes"),"Warning","Clean"))</f>
        <v>Clean</v>
      </c>
    </row>
    <row r="196" customFormat="false" ht="15" hidden="false" customHeight="false" outlineLevel="0" collapsed="false">
      <c r="A196" s="2" t="s">
        <v>713</v>
      </c>
      <c r="B196" s="3" t="n">
        <v>45685</v>
      </c>
      <c r="C196" s="3" t="n">
        <v>45688</v>
      </c>
      <c r="D196" s="2" t="s">
        <v>41</v>
      </c>
      <c r="E196" s="2" t="s">
        <v>41</v>
      </c>
      <c r="F196" s="2" t="s">
        <v>714</v>
      </c>
      <c r="G196" s="2" t="s">
        <v>134</v>
      </c>
      <c r="H196" s="2" t="s">
        <v>44</v>
      </c>
      <c r="I196" s="2" t="s">
        <v>83</v>
      </c>
      <c r="J196" s="2" t="s">
        <v>41</v>
      </c>
      <c r="K196" s="2" t="s">
        <v>84</v>
      </c>
      <c r="L196" s="2" t="s">
        <v>85</v>
      </c>
      <c r="M196" s="2" t="s">
        <v>61</v>
      </c>
      <c r="N196" s="2" t="s">
        <v>77</v>
      </c>
      <c r="O196" s="2" t="s">
        <v>715</v>
      </c>
      <c r="P196" s="2" t="s">
        <v>70</v>
      </c>
      <c r="Q196" s="2" t="s">
        <v>41</v>
      </c>
      <c r="R196" s="2" t="n">
        <v>9</v>
      </c>
      <c r="S196" s="2" t="n">
        <v>858.39</v>
      </c>
      <c r="T196" s="2" t="n">
        <v>0.05</v>
      </c>
      <c r="U196" s="2" t="str">
        <f aca="false">IF(ISBLANK(T196),"Yes","No")</f>
        <v>No</v>
      </c>
      <c r="V196" s="2" t="n">
        <f aca="false">IF(ISBLANK(T196),0,IF(ISNUMBER(T196),T196,VALUE(LEFT(T196,LEN(T196)-1))/100))</f>
        <v>0.05</v>
      </c>
      <c r="W196" s="2" t="str">
        <f aca="false">IF(AND(V196&gt;=0,V196&lt;=0.25),"Valid","Invalid")</f>
        <v>Valid</v>
      </c>
      <c r="X196" s="2" t="n">
        <v>7339.23</v>
      </c>
      <c r="Y196" s="2" t="n">
        <f aca="false">R196*S196*(1-V196)</f>
        <v>7339.2345</v>
      </c>
      <c r="Z196" s="2" t="str">
        <f aca="false">IF(ABS(X196-Y196)&gt;1,"Mismatch","OK")</f>
        <v>OK</v>
      </c>
      <c r="AA196" s="2" t="n">
        <v>5434.12</v>
      </c>
      <c r="AB196" s="2" t="n">
        <v>1905.11</v>
      </c>
      <c r="AC196" s="2" t="n">
        <f aca="false">Y196-AA196</f>
        <v>1905.1145</v>
      </c>
      <c r="AD196" s="2" t="str">
        <f aca="false">IF(ABS(AB196-AC196)&gt;1,"Mismatch","OK")</f>
        <v>OK</v>
      </c>
      <c r="AE196" s="4" t="n">
        <f aca="false">IF(Y196=0,0,AC196/Y196)</f>
        <v>0.259579456140828</v>
      </c>
      <c r="AF196" s="2" t="s">
        <v>131</v>
      </c>
      <c r="AG196" s="2" t="s">
        <v>123</v>
      </c>
      <c r="AH196" s="2" t="str">
        <f aca="false">IF(AND(AG196="Completed",AF196&lt;&gt;"Paid"),"Inconsistent","OK")</f>
        <v>OK</v>
      </c>
      <c r="AI196" s="2" t="n">
        <f aca="false">IF(OR(ISBLANK(B196),ISBLANK(C196)),"",C196-B196)</f>
        <v>3</v>
      </c>
      <c r="AJ196" s="2" t="str">
        <f aca="false">IF(AI196="","Unknown",IF(AI196&lt;0,"Invalid","OK"))</f>
        <v>OK</v>
      </c>
      <c r="AK196" s="2" t="str">
        <f aca="false">IF(ISBLANK(B196),"",TEXT(B196,"mmm"))</f>
        <v>Jan</v>
      </c>
      <c r="AL196" s="2" t="n">
        <f aca="false">IF(ISBLANK(B196),"",YEAR(B196))</f>
        <v>2025</v>
      </c>
      <c r="AM196" s="2" t="s">
        <v>41</v>
      </c>
      <c r="AN196" s="2" t="str">
        <f aca="false">IF(OR(W196="Invalid",AJ196="Invalid",AH196="Inconsistent",Z196="Mismatch",AD196="Mismatch",AM196="Yes",D196="Yes",E196="Yes"),"Invalid",IF(OR(J196="Yes",Q196="Yes",U196="Yes"),"Warning","Clean"))</f>
        <v>Clean</v>
      </c>
    </row>
    <row r="197" customFormat="false" ht="15" hidden="false" customHeight="false" outlineLevel="0" collapsed="false">
      <c r="A197" s="2" t="s">
        <v>716</v>
      </c>
      <c r="B197" s="3" t="n">
        <v>45860</v>
      </c>
      <c r="C197" s="3" t="n">
        <v>45862</v>
      </c>
      <c r="D197" s="2" t="s">
        <v>41</v>
      </c>
      <c r="E197" s="2" t="s">
        <v>41</v>
      </c>
      <c r="F197" s="2" t="s">
        <v>717</v>
      </c>
      <c r="G197" s="2" t="s">
        <v>99</v>
      </c>
      <c r="H197" s="2" t="s">
        <v>115</v>
      </c>
      <c r="I197" s="2" t="s">
        <v>74</v>
      </c>
      <c r="J197" s="2" t="s">
        <v>41</v>
      </c>
      <c r="K197" s="2" t="s">
        <v>104</v>
      </c>
      <c r="L197" s="2" t="s">
        <v>105</v>
      </c>
      <c r="M197" s="2" t="s">
        <v>61</v>
      </c>
      <c r="N197" s="2" t="s">
        <v>77</v>
      </c>
      <c r="O197" s="2" t="s">
        <v>718</v>
      </c>
      <c r="P197" s="2" t="s">
        <v>64</v>
      </c>
      <c r="Q197" s="2" t="s">
        <v>41</v>
      </c>
      <c r="R197" s="2" t="n">
        <v>5</v>
      </c>
      <c r="S197" s="2" t="n">
        <v>1922.83</v>
      </c>
      <c r="T197" s="2" t="n">
        <v>0</v>
      </c>
      <c r="U197" s="2" t="str">
        <f aca="false">IF(ISBLANK(T197),"Yes","No")</f>
        <v>No</v>
      </c>
      <c r="V197" s="2" t="n">
        <f aca="false">IF(ISBLANK(T197),0,IF(ISNUMBER(T197),T197,VALUE(LEFT(T197,LEN(T197)-1))/100))</f>
        <v>0</v>
      </c>
      <c r="W197" s="2" t="str">
        <f aca="false">IF(AND(V197&gt;=0,V197&lt;=0.25),"Valid","Invalid")</f>
        <v>Valid</v>
      </c>
      <c r="X197" s="2" t="n">
        <v>9614.15</v>
      </c>
      <c r="Y197" s="2" t="n">
        <f aca="false">R197*S197*(1-V197)</f>
        <v>9614.15</v>
      </c>
      <c r="Z197" s="2" t="str">
        <f aca="false">IF(ABS(X197-Y197)&gt;1,"Mismatch","OK")</f>
        <v>OK</v>
      </c>
      <c r="AA197" s="2" t="n">
        <v>7576.84</v>
      </c>
      <c r="AB197" s="2" t="n">
        <v>2037.31</v>
      </c>
      <c r="AC197" s="2" t="n">
        <f aca="false">Y197-AA197</f>
        <v>2037.31</v>
      </c>
      <c r="AD197" s="2" t="str">
        <f aca="false">IF(ABS(AB197-AC197)&gt;1,"Mismatch","OK")</f>
        <v>OK</v>
      </c>
      <c r="AE197" s="4" t="n">
        <f aca="false">IF(Y197=0,0,AC197/Y197)</f>
        <v>0.211907448916441</v>
      </c>
      <c r="AF197" s="2" t="s">
        <v>52</v>
      </c>
      <c r="AG197" s="2" t="s">
        <v>53</v>
      </c>
      <c r="AH197" s="2" t="str">
        <f aca="false">IF(AND(AG197="Completed",AF197&lt;&gt;"Paid"),"Inconsistent","OK")</f>
        <v>OK</v>
      </c>
      <c r="AI197" s="2" t="n">
        <f aca="false">IF(OR(ISBLANK(B197),ISBLANK(C197)),"",C197-B197)</f>
        <v>2</v>
      </c>
      <c r="AJ197" s="2" t="str">
        <f aca="false">IF(AI197="","Unknown",IF(AI197&lt;0,"Invalid","OK"))</f>
        <v>OK</v>
      </c>
      <c r="AK197" s="2" t="str">
        <f aca="false">IF(ISBLANK(B197),"",TEXT(B197,"mmm"))</f>
        <v>Jul</v>
      </c>
      <c r="AL197" s="2" t="n">
        <f aca="false">IF(ISBLANK(B197),"",YEAR(B197))</f>
        <v>2025</v>
      </c>
      <c r="AM197" s="2" t="s">
        <v>41</v>
      </c>
      <c r="AN197" s="2" t="str">
        <f aca="false">IF(OR(W197="Invalid",AJ197="Invalid",AH197="Inconsistent",Z197="Mismatch",AD197="Mismatch",AM197="Yes",D197="Yes",E197="Yes"),"Invalid",IF(OR(J197="Yes",Q197="Yes",U197="Yes"),"Warning","Clean"))</f>
        <v>Clean</v>
      </c>
    </row>
    <row r="198" customFormat="false" ht="15" hidden="false" customHeight="false" outlineLevel="0" collapsed="false">
      <c r="A198" s="2" t="s">
        <v>719</v>
      </c>
      <c r="B198" s="3" t="n">
        <v>45313</v>
      </c>
      <c r="C198" s="3" t="n">
        <v>45316</v>
      </c>
      <c r="D198" s="2" t="s">
        <v>41</v>
      </c>
      <c r="E198" s="2" t="s">
        <v>41</v>
      </c>
      <c r="F198" s="2" t="s">
        <v>720</v>
      </c>
      <c r="G198" s="2" t="s">
        <v>286</v>
      </c>
      <c r="H198" s="2" t="s">
        <v>115</v>
      </c>
      <c r="I198" s="2" t="s">
        <v>45</v>
      </c>
      <c r="J198" s="2" t="s">
        <v>41</v>
      </c>
      <c r="K198" s="2" t="s">
        <v>156</v>
      </c>
      <c r="L198" s="2" t="s">
        <v>157</v>
      </c>
      <c r="M198" s="2" t="s">
        <v>48</v>
      </c>
      <c r="N198" s="2" t="s">
        <v>144</v>
      </c>
      <c r="O198" s="2" t="s">
        <v>721</v>
      </c>
      <c r="P198" s="2" t="s">
        <v>70</v>
      </c>
      <c r="Q198" s="2" t="s">
        <v>41</v>
      </c>
      <c r="R198" s="2" t="n">
        <v>3</v>
      </c>
      <c r="S198" s="2" t="n">
        <v>1212.03</v>
      </c>
      <c r="T198" s="2" t="n">
        <v>0.1</v>
      </c>
      <c r="U198" s="2" t="str">
        <f aca="false">IF(ISBLANK(T198),"Yes","No")</f>
        <v>No</v>
      </c>
      <c r="V198" s="2" t="n">
        <f aca="false">IF(ISBLANK(T198),0,IF(ISNUMBER(T198),T198,VALUE(LEFT(T198,LEN(T198)-1))/100))</f>
        <v>0.1</v>
      </c>
      <c r="W198" s="2" t="str">
        <f aca="false">IF(AND(V198&gt;=0,V198&lt;=0.25),"Valid","Invalid")</f>
        <v>Valid</v>
      </c>
      <c r="X198" s="2" t="n">
        <v>3272.48</v>
      </c>
      <c r="Y198" s="2" t="n">
        <f aca="false">R198*S198*(1-V198)</f>
        <v>3272.481</v>
      </c>
      <c r="Z198" s="2" t="str">
        <f aca="false">IF(ABS(X198-Y198)&gt;1,"Mismatch","OK")</f>
        <v>OK</v>
      </c>
      <c r="AA198" s="2" t="n">
        <v>2517.44</v>
      </c>
      <c r="AB198" s="2" t="n">
        <v>755.04</v>
      </c>
      <c r="AC198" s="2" t="n">
        <f aca="false">Y198-AA198</f>
        <v>755.041</v>
      </c>
      <c r="AD198" s="2" t="str">
        <f aca="false">IF(ABS(AB198-AC198)&gt;1,"Mismatch","OK")</f>
        <v>OK</v>
      </c>
      <c r="AE198" s="4" t="n">
        <f aca="false">IF(Y198=0,0,AC198/Y198)</f>
        <v>0.230724334228373</v>
      </c>
      <c r="AF198" s="2" t="s">
        <v>52</v>
      </c>
      <c r="AG198" s="2" t="s">
        <v>53</v>
      </c>
      <c r="AH198" s="2" t="str">
        <f aca="false">IF(AND(AG198="Completed",AF198&lt;&gt;"Paid"),"Inconsistent","OK")</f>
        <v>OK</v>
      </c>
      <c r="AI198" s="2" t="n">
        <f aca="false">IF(OR(ISBLANK(B198),ISBLANK(C198)),"",C198-B198)</f>
        <v>3</v>
      </c>
      <c r="AJ198" s="2" t="str">
        <f aca="false">IF(AI198="","Unknown",IF(AI198&lt;0,"Invalid","OK"))</f>
        <v>OK</v>
      </c>
      <c r="AK198" s="2" t="str">
        <f aca="false">IF(ISBLANK(B198),"",TEXT(B198,"mmm"))</f>
        <v>Jan</v>
      </c>
      <c r="AL198" s="2" t="n">
        <f aca="false">IF(ISBLANK(B198),"",YEAR(B198))</f>
        <v>2024</v>
      </c>
      <c r="AM198" s="2" t="s">
        <v>41</v>
      </c>
      <c r="AN198" s="2" t="str">
        <f aca="false">IF(OR(W198="Invalid",AJ198="Invalid",AH198="Inconsistent",Z198="Mismatch",AD198="Mismatch",AM198="Yes",D198="Yes",E198="Yes"),"Invalid",IF(OR(J198="Yes",Q198="Yes",U198="Yes"),"Warning","Clean"))</f>
        <v>Clean</v>
      </c>
    </row>
    <row r="199" customFormat="false" ht="15" hidden="false" customHeight="false" outlineLevel="0" collapsed="false">
      <c r="A199" s="2" t="s">
        <v>722</v>
      </c>
      <c r="B199" s="3" t="n">
        <v>45747</v>
      </c>
      <c r="C199" s="3" t="n">
        <v>45754</v>
      </c>
      <c r="D199" s="2" t="s">
        <v>41</v>
      </c>
      <c r="E199" s="2" t="s">
        <v>41</v>
      </c>
      <c r="F199" s="2" t="s">
        <v>412</v>
      </c>
      <c r="G199" s="2" t="s">
        <v>138</v>
      </c>
      <c r="H199" s="2" t="s">
        <v>57</v>
      </c>
      <c r="I199" s="2" t="s">
        <v>58</v>
      </c>
      <c r="J199" s="2" t="s">
        <v>41</v>
      </c>
      <c r="K199" s="2" t="s">
        <v>165</v>
      </c>
      <c r="L199" s="2" t="s">
        <v>166</v>
      </c>
      <c r="M199" s="2" t="s">
        <v>48</v>
      </c>
      <c r="N199" s="2" t="s">
        <v>144</v>
      </c>
      <c r="O199" s="2" t="s">
        <v>723</v>
      </c>
      <c r="P199" s="2" t="s">
        <v>51</v>
      </c>
      <c r="Q199" s="2" t="s">
        <v>41</v>
      </c>
      <c r="R199" s="2" t="n">
        <v>5</v>
      </c>
      <c r="S199" s="2" t="n">
        <v>4096.44</v>
      </c>
      <c r="T199" s="2" t="n">
        <v>0.15</v>
      </c>
      <c r="U199" s="2" t="str">
        <f aca="false">IF(ISBLANK(T199),"Yes","No")</f>
        <v>No</v>
      </c>
      <c r="V199" s="2" t="n">
        <f aca="false">IF(ISBLANK(T199),0,IF(ISNUMBER(T199),T199,VALUE(LEFT(T199,LEN(T199)-1))/100))</f>
        <v>0.15</v>
      </c>
      <c r="W199" s="2" t="str">
        <f aca="false">IF(AND(V199&gt;=0,V199&lt;=0.25),"Valid","Invalid")</f>
        <v>Valid</v>
      </c>
      <c r="X199" s="2" t="n">
        <v>17409.87</v>
      </c>
      <c r="Y199" s="2" t="n">
        <f aca="false">R199*S199*(1-V199)</f>
        <v>17409.87</v>
      </c>
      <c r="Z199" s="2" t="str">
        <f aca="false">IF(ABS(X199-Y199)&gt;1,"Mismatch","OK")</f>
        <v>OK</v>
      </c>
      <c r="AA199" s="2" t="n">
        <v>14076.25</v>
      </c>
      <c r="AB199" s="2" t="n">
        <v>3333.62</v>
      </c>
      <c r="AC199" s="2" t="n">
        <f aca="false">Y199-AA199</f>
        <v>3333.62</v>
      </c>
      <c r="AD199" s="2" t="str">
        <f aca="false">IF(ABS(AB199-AC199)&gt;1,"Mismatch","OK")</f>
        <v>OK</v>
      </c>
      <c r="AE199" s="4" t="n">
        <f aca="false">IF(Y199=0,0,AC199/Y199)</f>
        <v>0.191478741656313</v>
      </c>
      <c r="AF199" s="2" t="s">
        <v>52</v>
      </c>
      <c r="AG199" s="2" t="s">
        <v>53</v>
      </c>
      <c r="AH199" s="2" t="str">
        <f aca="false">IF(AND(AG199="Completed",AF199&lt;&gt;"Paid"),"Inconsistent","OK")</f>
        <v>OK</v>
      </c>
      <c r="AI199" s="2" t="n">
        <f aca="false">IF(OR(ISBLANK(B199),ISBLANK(C199)),"",C199-B199)</f>
        <v>7</v>
      </c>
      <c r="AJ199" s="2" t="str">
        <f aca="false">IF(AI199="","Unknown",IF(AI199&lt;0,"Invalid","OK"))</f>
        <v>OK</v>
      </c>
      <c r="AK199" s="2" t="str">
        <f aca="false">IF(ISBLANK(B199),"",TEXT(B199,"mmm"))</f>
        <v>Mar</v>
      </c>
      <c r="AL199" s="2" t="n">
        <f aca="false">IF(ISBLANK(B199),"",YEAR(B199))</f>
        <v>2025</v>
      </c>
      <c r="AM199" s="2" t="s">
        <v>41</v>
      </c>
      <c r="AN199" s="2" t="str">
        <f aca="false">IF(OR(W199="Invalid",AJ199="Invalid",AH199="Inconsistent",Z199="Mismatch",AD199="Mismatch",AM199="Yes",D199="Yes",E199="Yes"),"Invalid",IF(OR(J199="Yes",Q199="Yes",U199="Yes"),"Warning","Clean"))</f>
        <v>Clean</v>
      </c>
    </row>
    <row r="200" customFormat="false" ht="15" hidden="false" customHeight="false" outlineLevel="0" collapsed="false">
      <c r="A200" s="2" t="s">
        <v>724</v>
      </c>
      <c r="B200" s="3" t="n">
        <v>45448</v>
      </c>
      <c r="C200" s="3" t="n">
        <v>45449</v>
      </c>
      <c r="D200" s="2" t="s">
        <v>41</v>
      </c>
      <c r="E200" s="2" t="s">
        <v>41</v>
      </c>
      <c r="F200" s="2" t="s">
        <v>725</v>
      </c>
      <c r="G200" s="2" t="s">
        <v>152</v>
      </c>
      <c r="H200" s="2" t="s">
        <v>44</v>
      </c>
      <c r="I200" s="2" t="s">
        <v>83</v>
      </c>
      <c r="J200" s="2" t="s">
        <v>41</v>
      </c>
      <c r="K200" s="2" t="s">
        <v>200</v>
      </c>
      <c r="L200" s="2" t="s">
        <v>201</v>
      </c>
      <c r="M200" s="2" t="s">
        <v>48</v>
      </c>
      <c r="N200" s="2" t="s">
        <v>68</v>
      </c>
      <c r="O200" s="2" t="s">
        <v>726</v>
      </c>
      <c r="P200" s="2" t="s">
        <v>51</v>
      </c>
      <c r="Q200" s="2" t="s">
        <v>41</v>
      </c>
      <c r="R200" s="2" t="n">
        <v>1</v>
      </c>
      <c r="S200" s="2" t="n">
        <v>1184.58</v>
      </c>
      <c r="T200" s="2" t="n">
        <v>0.05</v>
      </c>
      <c r="U200" s="2" t="str">
        <f aca="false">IF(ISBLANK(T200),"Yes","No")</f>
        <v>No</v>
      </c>
      <c r="V200" s="2" t="n">
        <f aca="false">IF(ISBLANK(T200),0,IF(ISNUMBER(T200),T200,VALUE(LEFT(T200,LEN(T200)-1))/100))</f>
        <v>0.05</v>
      </c>
      <c r="W200" s="2" t="str">
        <f aca="false">IF(AND(V200&gt;=0,V200&lt;=0.25),"Valid","Invalid")</f>
        <v>Valid</v>
      </c>
      <c r="X200" s="2" t="n">
        <v>1125.35</v>
      </c>
      <c r="Y200" s="2" t="n">
        <f aca="false">R200*S200*(1-V200)</f>
        <v>1125.351</v>
      </c>
      <c r="Z200" s="2" t="str">
        <f aca="false">IF(ABS(X200-Y200)&gt;1,"Mismatch","OK")</f>
        <v>OK</v>
      </c>
      <c r="AA200" s="2" t="n">
        <v>676.97</v>
      </c>
      <c r="AB200" s="2" t="n">
        <v>448.38</v>
      </c>
      <c r="AC200" s="2" t="n">
        <f aca="false">Y200-AA200</f>
        <v>448.381</v>
      </c>
      <c r="AD200" s="2" t="str">
        <f aca="false">IF(ABS(AB200-AC200)&gt;1,"Mismatch","OK")</f>
        <v>OK</v>
      </c>
      <c r="AE200" s="4" t="n">
        <f aca="false">IF(Y200=0,0,AC200/Y200)</f>
        <v>0.398436576676966</v>
      </c>
      <c r="AF200" s="2" t="s">
        <v>175</v>
      </c>
      <c r="AG200" s="2" t="s">
        <v>88</v>
      </c>
      <c r="AH200" s="2" t="str">
        <f aca="false">IF(AND(AG200="Completed",AF200&lt;&gt;"Paid"),"Inconsistent","OK")</f>
        <v>OK</v>
      </c>
      <c r="AI200" s="2" t="n">
        <f aca="false">IF(OR(ISBLANK(B200),ISBLANK(C200)),"",C200-B200)</f>
        <v>1</v>
      </c>
      <c r="AJ200" s="2" t="str">
        <f aca="false">IF(AI200="","Unknown",IF(AI200&lt;0,"Invalid","OK"))</f>
        <v>OK</v>
      </c>
      <c r="AK200" s="2" t="str">
        <f aca="false">IF(ISBLANK(B200),"",TEXT(B200,"mmm"))</f>
        <v>Jun</v>
      </c>
      <c r="AL200" s="2" t="n">
        <f aca="false">IF(ISBLANK(B200),"",YEAR(B200))</f>
        <v>2024</v>
      </c>
      <c r="AM200" s="2" t="s">
        <v>41</v>
      </c>
      <c r="AN200" s="2" t="str">
        <f aca="false">IF(OR(W200="Invalid",AJ200="Invalid",AH200="Inconsistent",Z200="Mismatch",AD200="Mismatch",AM200="Yes",D200="Yes",E200="Yes"),"Invalid",IF(OR(J200="Yes",Q200="Yes",U200="Yes"),"Warning","Clean"))</f>
        <v>Clean</v>
      </c>
    </row>
    <row r="201" customFormat="false" ht="15" hidden="false" customHeight="false" outlineLevel="0" collapsed="false">
      <c r="A201" s="2" t="s">
        <v>727</v>
      </c>
      <c r="B201" s="3" t="n">
        <v>45363</v>
      </c>
      <c r="C201" s="3" t="n">
        <v>45363</v>
      </c>
      <c r="D201" s="2" t="s">
        <v>41</v>
      </c>
      <c r="E201" s="2" t="s">
        <v>41</v>
      </c>
      <c r="F201" s="2" t="s">
        <v>728</v>
      </c>
      <c r="G201" s="2" t="s">
        <v>138</v>
      </c>
      <c r="H201" s="2" t="s">
        <v>115</v>
      </c>
      <c r="I201" s="2" t="s">
        <v>58</v>
      </c>
      <c r="J201" s="2" t="s">
        <v>41</v>
      </c>
      <c r="K201" s="2" t="s">
        <v>165</v>
      </c>
      <c r="L201" s="2" t="s">
        <v>166</v>
      </c>
      <c r="M201" s="2" t="s">
        <v>94</v>
      </c>
      <c r="N201" s="2" t="s">
        <v>296</v>
      </c>
      <c r="O201" s="2" t="s">
        <v>729</v>
      </c>
      <c r="P201" s="2" t="s">
        <v>225</v>
      </c>
      <c r="Q201" s="2" t="s">
        <v>226</v>
      </c>
      <c r="R201" s="2" t="n">
        <v>6</v>
      </c>
      <c r="S201" s="2" t="n">
        <v>2185.58</v>
      </c>
      <c r="T201" s="2" t="n">
        <v>0.25</v>
      </c>
      <c r="U201" s="2" t="str">
        <f aca="false">IF(ISBLANK(T201),"Yes","No")</f>
        <v>No</v>
      </c>
      <c r="V201" s="2" t="n">
        <f aca="false">IF(ISBLANK(T201),0,IF(ISNUMBER(T201),T201,VALUE(LEFT(T201,LEN(T201)-1))/100))</f>
        <v>0.25</v>
      </c>
      <c r="W201" s="2" t="str">
        <f aca="false">IF(AND(V201&gt;=0,V201&lt;=0.25),"Valid","Invalid")</f>
        <v>Valid</v>
      </c>
      <c r="X201" s="2" t="n">
        <v>9835.11</v>
      </c>
      <c r="Y201" s="2" t="n">
        <f aca="false">R201*S201*(1-V201)</f>
        <v>9835.11</v>
      </c>
      <c r="Z201" s="2" t="str">
        <f aca="false">IF(ABS(X201-Y201)&gt;1,"Mismatch","OK")</f>
        <v>OK</v>
      </c>
      <c r="AA201" s="2" t="n">
        <v>5437.64</v>
      </c>
      <c r="AB201" s="2" t="n">
        <v>4397.47</v>
      </c>
      <c r="AC201" s="2" t="n">
        <f aca="false">Y201-AA201</f>
        <v>4397.47</v>
      </c>
      <c r="AD201" s="2" t="str">
        <f aca="false">IF(ABS(AB201-AC201)&gt;1,"Mismatch","OK")</f>
        <v>OK</v>
      </c>
      <c r="AE201" s="4" t="n">
        <f aca="false">IF(Y201=0,0,AC201/Y201)</f>
        <v>0.44711955433137</v>
      </c>
      <c r="AF201" s="2" t="s">
        <v>52</v>
      </c>
      <c r="AG201" s="2" t="s">
        <v>53</v>
      </c>
      <c r="AH201" s="2" t="str">
        <f aca="false">IF(AND(AG201="Completed",AF201&lt;&gt;"Paid"),"Inconsistent","OK")</f>
        <v>OK</v>
      </c>
      <c r="AI201" s="2" t="n">
        <f aca="false">IF(OR(ISBLANK(B201),ISBLANK(C201)),"",C201-B201)</f>
        <v>0</v>
      </c>
      <c r="AJ201" s="2" t="str">
        <f aca="false">IF(AI201="","Unknown",IF(AI201&lt;0,"Invalid","OK"))</f>
        <v>OK</v>
      </c>
      <c r="AK201" s="2" t="str">
        <f aca="false">IF(ISBLANK(B201),"",TEXT(B201,"mmm"))</f>
        <v>Mar</v>
      </c>
      <c r="AL201" s="2" t="n">
        <f aca="false">IF(ISBLANK(B201),"",YEAR(B201))</f>
        <v>2024</v>
      </c>
      <c r="AM201" s="2" t="s">
        <v>41</v>
      </c>
      <c r="AN201" s="2" t="str">
        <f aca="false">IF(OR(W201="Invalid",AJ201="Invalid",AH201="Inconsistent",Z201="Mismatch",AD201="Mismatch",AM201="Yes",D201="Yes",E201="Yes"),"Invalid",IF(OR(J201="Yes",Q201="Yes",U201="Yes"),"Warning","Clean"))</f>
        <v>Warning</v>
      </c>
    </row>
    <row r="202" customFormat="false" ht="15" hidden="false" customHeight="false" outlineLevel="0" collapsed="false">
      <c r="A202" s="2" t="s">
        <v>730</v>
      </c>
      <c r="B202" s="3" t="n">
        <v>45835</v>
      </c>
      <c r="C202" s="3" t="n">
        <v>45843</v>
      </c>
      <c r="D202" s="2" t="s">
        <v>41</v>
      </c>
      <c r="E202" s="2" t="s">
        <v>41</v>
      </c>
      <c r="F202" s="2" t="s">
        <v>731</v>
      </c>
      <c r="G202" s="2" t="s">
        <v>134</v>
      </c>
      <c r="H202" s="2" t="s">
        <v>57</v>
      </c>
      <c r="I202" s="2" t="s">
        <v>45</v>
      </c>
      <c r="J202" s="2" t="s">
        <v>41</v>
      </c>
      <c r="K202" s="2" t="s">
        <v>46</v>
      </c>
      <c r="L202" s="2" t="s">
        <v>47</v>
      </c>
      <c r="M202" s="2" t="s">
        <v>94</v>
      </c>
      <c r="N202" s="2" t="s">
        <v>100</v>
      </c>
      <c r="O202" s="2" t="s">
        <v>732</v>
      </c>
      <c r="P202" s="2" t="s">
        <v>70</v>
      </c>
      <c r="Q202" s="2" t="s">
        <v>41</v>
      </c>
      <c r="R202" s="2" t="n">
        <v>5</v>
      </c>
      <c r="S202" s="2" t="n">
        <v>2868.44</v>
      </c>
      <c r="T202" s="2" t="n">
        <v>0.1</v>
      </c>
      <c r="U202" s="2" t="str">
        <f aca="false">IF(ISBLANK(T202),"Yes","No")</f>
        <v>No</v>
      </c>
      <c r="V202" s="2" t="n">
        <f aca="false">IF(ISBLANK(T202),0,IF(ISNUMBER(T202),T202,VALUE(LEFT(T202,LEN(T202)-1))/100))</f>
        <v>0.1</v>
      </c>
      <c r="W202" s="2" t="str">
        <f aca="false">IF(AND(V202&gt;=0,V202&lt;=0.25),"Valid","Invalid")</f>
        <v>Valid</v>
      </c>
      <c r="X202" s="2" t="n">
        <v>12907.98</v>
      </c>
      <c r="Y202" s="2" t="n">
        <f aca="false">R202*S202*(1-V202)</f>
        <v>12907.98</v>
      </c>
      <c r="Z202" s="2" t="str">
        <f aca="false">IF(ABS(X202-Y202)&gt;1,"Mismatch","OK")</f>
        <v>OK</v>
      </c>
      <c r="AA202" s="2" t="n">
        <v>9197.08</v>
      </c>
      <c r="AB202" s="2" t="n">
        <v>3710.9</v>
      </c>
      <c r="AC202" s="2" t="n">
        <f aca="false">Y202-AA202</f>
        <v>3710.9</v>
      </c>
      <c r="AD202" s="2" t="str">
        <f aca="false">IF(ABS(AB202-AC202)&gt;1,"Mismatch","OK")</f>
        <v>OK</v>
      </c>
      <c r="AE202" s="4" t="n">
        <f aca="false">IF(Y202=0,0,AC202/Y202)</f>
        <v>0.287488824742524</v>
      </c>
      <c r="AF202" s="2" t="s">
        <v>131</v>
      </c>
      <c r="AG202" s="2" t="s">
        <v>88</v>
      </c>
      <c r="AH202" s="2" t="str">
        <f aca="false">IF(AND(AG202="Completed",AF202&lt;&gt;"Paid"),"Inconsistent","OK")</f>
        <v>OK</v>
      </c>
      <c r="AI202" s="2" t="n">
        <f aca="false">IF(OR(ISBLANK(B202),ISBLANK(C202)),"",C202-B202)</f>
        <v>8</v>
      </c>
      <c r="AJ202" s="2" t="str">
        <f aca="false">IF(AI202="","Unknown",IF(AI202&lt;0,"Invalid","OK"))</f>
        <v>OK</v>
      </c>
      <c r="AK202" s="2" t="str">
        <f aca="false">IF(ISBLANK(B202),"",TEXT(B202,"mmm"))</f>
        <v>Jun</v>
      </c>
      <c r="AL202" s="2" t="n">
        <f aca="false">IF(ISBLANK(B202),"",YEAR(B202))</f>
        <v>2025</v>
      </c>
      <c r="AM202" s="2" t="s">
        <v>41</v>
      </c>
      <c r="AN202" s="2" t="str">
        <f aca="false">IF(OR(W202="Invalid",AJ202="Invalid",AH202="Inconsistent",Z202="Mismatch",AD202="Mismatch",AM202="Yes",D202="Yes",E202="Yes"),"Invalid",IF(OR(J202="Yes",Q202="Yes",U202="Yes"),"Warning","Clean"))</f>
        <v>Clean</v>
      </c>
    </row>
    <row r="203" customFormat="false" ht="15" hidden="false" customHeight="false" outlineLevel="0" collapsed="false">
      <c r="A203" s="2" t="s">
        <v>733</v>
      </c>
      <c r="B203" s="3" t="n">
        <v>45864</v>
      </c>
      <c r="C203" s="3" t="n">
        <v>45872</v>
      </c>
      <c r="D203" s="2" t="s">
        <v>41</v>
      </c>
      <c r="E203" s="2" t="s">
        <v>41</v>
      </c>
      <c r="F203" s="2" t="s">
        <v>734</v>
      </c>
      <c r="G203" s="2" t="s">
        <v>91</v>
      </c>
      <c r="H203" s="2" t="s">
        <v>44</v>
      </c>
      <c r="I203" s="2" t="s">
        <v>83</v>
      </c>
      <c r="J203" s="2" t="s">
        <v>41</v>
      </c>
      <c r="K203" s="2" t="s">
        <v>92</v>
      </c>
      <c r="L203" s="2" t="s">
        <v>93</v>
      </c>
      <c r="M203" s="2" t="s">
        <v>48</v>
      </c>
      <c r="N203" s="2" t="s">
        <v>111</v>
      </c>
      <c r="O203" s="2" t="s">
        <v>735</v>
      </c>
      <c r="P203" s="2" t="s">
        <v>51</v>
      </c>
      <c r="Q203" s="2" t="s">
        <v>41</v>
      </c>
      <c r="R203" s="2" t="n">
        <v>2</v>
      </c>
      <c r="S203" s="2" t="n">
        <v>2503.53</v>
      </c>
      <c r="T203" s="2" t="n">
        <v>-0.16</v>
      </c>
      <c r="U203" s="2" t="str">
        <f aca="false">IF(ISBLANK(T203),"Yes","No")</f>
        <v>No</v>
      </c>
      <c r="V203" s="2" t="n">
        <f aca="false">IF(ISBLANK(T203),0,IF(ISNUMBER(T203),T203,VALUE(LEFT(T203,LEN(T203)-1))/100))</f>
        <v>-0.16</v>
      </c>
      <c r="W203" s="2" t="str">
        <f aca="false">IF(AND(V203&gt;=0,V203&lt;=0.25),"Valid","Invalid")</f>
        <v>Invalid</v>
      </c>
      <c r="X203" s="2" t="n">
        <v>4756.71</v>
      </c>
      <c r="Y203" s="2" t="n">
        <f aca="false">R203*S203*(1-V203)</f>
        <v>5808.1896</v>
      </c>
      <c r="Z203" s="2" t="str">
        <f aca="false">IF(ABS(X203-Y203)&gt;1,"Mismatch","OK")</f>
        <v>Mismatch</v>
      </c>
      <c r="AA203" s="2" t="n">
        <v>2954.86</v>
      </c>
      <c r="AB203" s="2" t="n">
        <v>1801.85</v>
      </c>
      <c r="AC203" s="2" t="n">
        <f aca="false">Y203-AA203</f>
        <v>2853.3296</v>
      </c>
      <c r="AD203" s="2" t="str">
        <f aca="false">IF(ABS(AB203-AC203)&gt;1,"Mismatch","OK")</f>
        <v>Mismatch</v>
      </c>
      <c r="AE203" s="4" t="n">
        <f aca="false">IF(Y203=0,0,AC203/Y203)</f>
        <v>0.491259720584879</v>
      </c>
      <c r="AF203" s="2" t="s">
        <v>122</v>
      </c>
      <c r="AG203" s="2" t="s">
        <v>88</v>
      </c>
      <c r="AH203" s="2" t="str">
        <f aca="false">IF(AND(AG203="Completed",AF203&lt;&gt;"Paid"),"Inconsistent","OK")</f>
        <v>OK</v>
      </c>
      <c r="AI203" s="2" t="n">
        <f aca="false">IF(OR(ISBLANK(B203),ISBLANK(C203)),"",C203-B203)</f>
        <v>8</v>
      </c>
      <c r="AJ203" s="2" t="str">
        <f aca="false">IF(AI203="","Unknown",IF(AI203&lt;0,"Invalid","OK"))</f>
        <v>OK</v>
      </c>
      <c r="AK203" s="2" t="str">
        <f aca="false">IF(ISBLANK(B203),"",TEXT(B203,"mmm"))</f>
        <v>Jul</v>
      </c>
      <c r="AL203" s="2" t="n">
        <f aca="false">IF(ISBLANK(B203),"",YEAR(B203))</f>
        <v>2025</v>
      </c>
      <c r="AM203" s="2" t="s">
        <v>41</v>
      </c>
      <c r="AN203" s="2" t="str">
        <f aca="false">IF(OR(W203="Invalid",AJ203="Invalid",AH203="Inconsistent",Z203="Mismatch",AD203="Mismatch",AM203="Yes",D203="Yes",E203="Yes"),"Invalid",IF(OR(J203="Yes",Q203="Yes",U203="Yes"),"Warning","Clean"))</f>
        <v>Invalid</v>
      </c>
    </row>
    <row r="204" customFormat="false" ht="15" hidden="false" customHeight="false" outlineLevel="0" collapsed="false">
      <c r="A204" s="2" t="s">
        <v>736</v>
      </c>
      <c r="B204" s="3" t="n">
        <v>45744</v>
      </c>
      <c r="C204" s="3" t="n">
        <v>45744</v>
      </c>
      <c r="D204" s="2" t="s">
        <v>41</v>
      </c>
      <c r="E204" s="2" t="s">
        <v>41</v>
      </c>
      <c r="F204" s="2" t="s">
        <v>737</v>
      </c>
      <c r="G204" s="2" t="s">
        <v>152</v>
      </c>
      <c r="H204" s="2" t="s">
        <v>110</v>
      </c>
      <c r="I204" s="2" t="s">
        <v>83</v>
      </c>
      <c r="J204" s="2" t="s">
        <v>41</v>
      </c>
      <c r="K204" s="2" t="s">
        <v>210</v>
      </c>
      <c r="L204" s="2" t="s">
        <v>211</v>
      </c>
      <c r="M204" s="2" t="s">
        <v>94</v>
      </c>
      <c r="N204" s="2" t="s">
        <v>95</v>
      </c>
      <c r="O204" s="2" t="s">
        <v>738</v>
      </c>
      <c r="P204" s="2" t="s">
        <v>79</v>
      </c>
      <c r="Q204" s="2" t="s">
        <v>41</v>
      </c>
      <c r="R204" s="2" t="n">
        <v>8</v>
      </c>
      <c r="S204" s="2" t="n">
        <v>1740.94</v>
      </c>
      <c r="T204" s="2" t="n">
        <v>0.05</v>
      </c>
      <c r="U204" s="2" t="str">
        <f aca="false">IF(ISBLANK(T204),"Yes","No")</f>
        <v>No</v>
      </c>
      <c r="V204" s="2" t="n">
        <f aca="false">IF(ISBLANK(T204),0,IF(ISNUMBER(T204),T204,VALUE(LEFT(T204,LEN(T204)-1))/100))</f>
        <v>0.05</v>
      </c>
      <c r="W204" s="2" t="str">
        <f aca="false">IF(AND(V204&gt;=0,V204&lt;=0.25),"Valid","Invalid")</f>
        <v>Valid</v>
      </c>
      <c r="X204" s="2" t="n">
        <v>13231.14</v>
      </c>
      <c r="Y204" s="2" t="n">
        <f aca="false">R204*S204*(1-V204)</f>
        <v>13231.144</v>
      </c>
      <c r="Z204" s="2" t="str">
        <f aca="false">IF(ABS(X204-Y204)&gt;1,"Mismatch","OK")</f>
        <v>OK</v>
      </c>
      <c r="AA204" s="2" t="n">
        <v>11290.06</v>
      </c>
      <c r="AB204" s="2" t="n">
        <v>1941.08</v>
      </c>
      <c r="AC204" s="2" t="n">
        <f aca="false">Y204-AA204</f>
        <v>1941.084</v>
      </c>
      <c r="AD204" s="2" t="str">
        <f aca="false">IF(ABS(AB204-AC204)&gt;1,"Mismatch","OK")</f>
        <v>OK</v>
      </c>
      <c r="AE204" s="4" t="n">
        <f aca="false">IF(Y204=0,0,AC204/Y204)</f>
        <v>0.146705681685575</v>
      </c>
      <c r="AF204" s="2" t="s">
        <v>52</v>
      </c>
      <c r="AG204" s="2" t="s">
        <v>53</v>
      </c>
      <c r="AH204" s="2" t="str">
        <f aca="false">IF(AND(AG204="Completed",AF204&lt;&gt;"Paid"),"Inconsistent","OK")</f>
        <v>OK</v>
      </c>
      <c r="AI204" s="2" t="n">
        <f aca="false">IF(OR(ISBLANK(B204),ISBLANK(C204)),"",C204-B204)</f>
        <v>0</v>
      </c>
      <c r="AJ204" s="2" t="str">
        <f aca="false">IF(AI204="","Unknown",IF(AI204&lt;0,"Invalid","OK"))</f>
        <v>OK</v>
      </c>
      <c r="AK204" s="2" t="str">
        <f aca="false">IF(ISBLANK(B204),"",TEXT(B204,"mmm"))</f>
        <v>Mar</v>
      </c>
      <c r="AL204" s="2" t="n">
        <f aca="false">IF(ISBLANK(B204),"",YEAR(B204))</f>
        <v>2025</v>
      </c>
      <c r="AM204" s="2" t="s">
        <v>41</v>
      </c>
      <c r="AN204" s="2" t="str">
        <f aca="false">IF(OR(W204="Invalid",AJ204="Invalid",AH204="Inconsistent",Z204="Mismatch",AD204="Mismatch",AM204="Yes",D204="Yes",E204="Yes"),"Invalid",IF(OR(J204="Yes",Q204="Yes",U204="Yes"),"Warning","Clean"))</f>
        <v>Clean</v>
      </c>
    </row>
    <row r="205" customFormat="false" ht="15" hidden="false" customHeight="false" outlineLevel="0" collapsed="false">
      <c r="A205" s="2" t="s">
        <v>739</v>
      </c>
      <c r="B205" s="3" t="n">
        <v>45379</v>
      </c>
      <c r="C205" s="3" t="n">
        <v>45381</v>
      </c>
      <c r="D205" s="2" t="s">
        <v>41</v>
      </c>
      <c r="E205" s="2" t="s">
        <v>41</v>
      </c>
      <c r="F205" s="2" t="s">
        <v>740</v>
      </c>
      <c r="G205" s="2" t="s">
        <v>152</v>
      </c>
      <c r="H205" s="2" t="s">
        <v>110</v>
      </c>
      <c r="I205" s="2" t="s">
        <v>83</v>
      </c>
      <c r="J205" s="2" t="s">
        <v>41</v>
      </c>
      <c r="K205" s="2" t="s">
        <v>46</v>
      </c>
      <c r="L205" s="2" t="s">
        <v>129</v>
      </c>
      <c r="M205" s="2" t="s">
        <v>94</v>
      </c>
      <c r="N205" s="2" t="s">
        <v>95</v>
      </c>
      <c r="O205" s="2" t="s">
        <v>741</v>
      </c>
      <c r="P205" s="2" t="s">
        <v>51</v>
      </c>
      <c r="Q205" s="2" t="s">
        <v>41</v>
      </c>
      <c r="R205" s="2" t="n">
        <v>1</v>
      </c>
      <c r="S205" s="2" t="n">
        <v>570.34</v>
      </c>
      <c r="T205" s="2" t="n">
        <v>0.15</v>
      </c>
      <c r="U205" s="2" t="str">
        <f aca="false">IF(ISBLANK(T205),"Yes","No")</f>
        <v>No</v>
      </c>
      <c r="V205" s="2" t="n">
        <f aca="false">IF(ISBLANK(T205),0,IF(ISNUMBER(T205),T205,VALUE(LEFT(T205,LEN(T205)-1))/100))</f>
        <v>0.15</v>
      </c>
      <c r="W205" s="2" t="str">
        <f aca="false">IF(AND(V205&gt;=0,V205&lt;=0.25),"Valid","Invalid")</f>
        <v>Valid</v>
      </c>
      <c r="X205" s="2" t="n">
        <v>484.79</v>
      </c>
      <c r="Y205" s="2" t="n">
        <f aca="false">R205*S205*(1-V205)</f>
        <v>484.789</v>
      </c>
      <c r="Z205" s="2" t="str">
        <f aca="false">IF(ABS(X205-Y205)&gt;1,"Mismatch","OK")</f>
        <v>OK</v>
      </c>
      <c r="AA205" s="2" t="n">
        <v>333.54</v>
      </c>
      <c r="AB205" s="2" t="n">
        <v>151.25</v>
      </c>
      <c r="AC205" s="2" t="n">
        <f aca="false">Y205-AA205</f>
        <v>151.249</v>
      </c>
      <c r="AD205" s="2" t="str">
        <f aca="false">IF(ABS(AB205-AC205)&gt;1,"Mismatch","OK")</f>
        <v>OK</v>
      </c>
      <c r="AE205" s="4" t="n">
        <f aca="false">IF(Y205=0,0,AC205/Y205)</f>
        <v>0.311989339692113</v>
      </c>
      <c r="AF205" s="2" t="s">
        <v>52</v>
      </c>
      <c r="AG205" s="2" t="s">
        <v>53</v>
      </c>
      <c r="AH205" s="2" t="str">
        <f aca="false">IF(AND(AG205="Completed",AF205&lt;&gt;"Paid"),"Inconsistent","OK")</f>
        <v>OK</v>
      </c>
      <c r="AI205" s="2" t="n">
        <f aca="false">IF(OR(ISBLANK(B205),ISBLANK(C205)),"",C205-B205)</f>
        <v>2</v>
      </c>
      <c r="AJ205" s="2" t="str">
        <f aca="false">IF(AI205="","Unknown",IF(AI205&lt;0,"Invalid","OK"))</f>
        <v>OK</v>
      </c>
      <c r="AK205" s="2" t="str">
        <f aca="false">IF(ISBLANK(B205),"",TEXT(B205,"mmm"))</f>
        <v>Mar</v>
      </c>
      <c r="AL205" s="2" t="n">
        <f aca="false">IF(ISBLANK(B205),"",YEAR(B205))</f>
        <v>2024</v>
      </c>
      <c r="AM205" s="2" t="s">
        <v>41</v>
      </c>
      <c r="AN205" s="2" t="str">
        <f aca="false">IF(OR(W205="Invalid",AJ205="Invalid",AH205="Inconsistent",Z205="Mismatch",AD205="Mismatch",AM205="Yes",D205="Yes",E205="Yes"),"Invalid",IF(OR(J205="Yes",Q205="Yes",U205="Yes"),"Warning","Clean"))</f>
        <v>Clean</v>
      </c>
    </row>
    <row r="206" customFormat="false" ht="15" hidden="false" customHeight="false" outlineLevel="0" collapsed="false">
      <c r="A206" s="2" t="s">
        <v>742</v>
      </c>
      <c r="B206" s="3" t="n">
        <v>45858</v>
      </c>
      <c r="C206" s="3" t="n">
        <v>45861</v>
      </c>
      <c r="D206" s="2" t="s">
        <v>41</v>
      </c>
      <c r="E206" s="2" t="s">
        <v>41</v>
      </c>
      <c r="F206" s="2" t="s">
        <v>743</v>
      </c>
      <c r="G206" s="2" t="s">
        <v>56</v>
      </c>
      <c r="H206" s="2" t="s">
        <v>115</v>
      </c>
      <c r="I206" s="2" t="s">
        <v>58</v>
      </c>
      <c r="J206" s="2" t="s">
        <v>41</v>
      </c>
      <c r="K206" s="2" t="s">
        <v>119</v>
      </c>
      <c r="L206" s="2" t="s">
        <v>120</v>
      </c>
      <c r="M206" s="2" t="s">
        <v>61</v>
      </c>
      <c r="N206" s="2" t="s">
        <v>62</v>
      </c>
      <c r="O206" s="2" t="s">
        <v>744</v>
      </c>
      <c r="P206" s="2" t="s">
        <v>51</v>
      </c>
      <c r="Q206" s="2" t="s">
        <v>41</v>
      </c>
      <c r="R206" s="2" t="n">
        <v>4</v>
      </c>
      <c r="S206" s="2" t="n">
        <v>477.69</v>
      </c>
      <c r="T206" s="2" t="n">
        <v>0.15</v>
      </c>
      <c r="U206" s="2" t="str">
        <f aca="false">IF(ISBLANK(T206),"Yes","No")</f>
        <v>No</v>
      </c>
      <c r="V206" s="2" t="n">
        <f aca="false">IF(ISBLANK(T206),0,IF(ISNUMBER(T206),T206,VALUE(LEFT(T206,LEN(T206)-1))/100))</f>
        <v>0.15</v>
      </c>
      <c r="W206" s="2" t="str">
        <f aca="false">IF(AND(V206&gt;=0,V206&lt;=0.25),"Valid","Invalid")</f>
        <v>Valid</v>
      </c>
      <c r="X206" s="2" t="n">
        <v>1624.15</v>
      </c>
      <c r="Y206" s="2" t="n">
        <f aca="false">R206*S206*(1-V206)</f>
        <v>1624.146</v>
      </c>
      <c r="Z206" s="2" t="str">
        <f aca="false">IF(ABS(X206-Y206)&gt;1,"Mismatch","OK")</f>
        <v>OK</v>
      </c>
      <c r="AA206" s="2" t="n">
        <v>1217.99</v>
      </c>
      <c r="AB206" s="2" t="n">
        <v>406.16</v>
      </c>
      <c r="AC206" s="2" t="n">
        <f aca="false">Y206-AA206</f>
        <v>406.156</v>
      </c>
      <c r="AD206" s="2" t="str">
        <f aca="false">IF(ABS(AB206-AC206)&gt;1,"Mismatch","OK")</f>
        <v>OK</v>
      </c>
      <c r="AE206" s="4" t="n">
        <f aca="false">IF(Y206=0,0,AC206/Y206)</f>
        <v>0.25007357712915</v>
      </c>
      <c r="AF206" s="2" t="s">
        <v>52</v>
      </c>
      <c r="AG206" s="2" t="s">
        <v>53</v>
      </c>
      <c r="AH206" s="2" t="str">
        <f aca="false">IF(AND(AG206="Completed",AF206&lt;&gt;"Paid"),"Inconsistent","OK")</f>
        <v>OK</v>
      </c>
      <c r="AI206" s="2" t="n">
        <f aca="false">IF(OR(ISBLANK(B206),ISBLANK(C206)),"",C206-B206)</f>
        <v>3</v>
      </c>
      <c r="AJ206" s="2" t="str">
        <f aca="false">IF(AI206="","Unknown",IF(AI206&lt;0,"Invalid","OK"))</f>
        <v>OK</v>
      </c>
      <c r="AK206" s="2" t="str">
        <f aca="false">IF(ISBLANK(B206),"",TEXT(B206,"mmm"))</f>
        <v>Jul</v>
      </c>
      <c r="AL206" s="2" t="n">
        <f aca="false">IF(ISBLANK(B206),"",YEAR(B206))</f>
        <v>2025</v>
      </c>
      <c r="AM206" s="2" t="s">
        <v>41</v>
      </c>
      <c r="AN206" s="2" t="str">
        <f aca="false">IF(OR(W206="Invalid",AJ206="Invalid",AH206="Inconsistent",Z206="Mismatch",AD206="Mismatch",AM206="Yes",D206="Yes",E206="Yes"),"Invalid",IF(OR(J206="Yes",Q206="Yes",U206="Yes"),"Warning","Clean"))</f>
        <v>Clean</v>
      </c>
    </row>
    <row r="207" customFormat="false" ht="15" hidden="false" customHeight="false" outlineLevel="0" collapsed="false">
      <c r="A207" s="2" t="s">
        <v>745</v>
      </c>
      <c r="B207" s="3" t="n">
        <v>45768</v>
      </c>
      <c r="C207" s="3" t="n">
        <v>45773</v>
      </c>
      <c r="D207" s="2" t="s">
        <v>41</v>
      </c>
      <c r="E207" s="2" t="s">
        <v>41</v>
      </c>
      <c r="F207" s="2" t="s">
        <v>746</v>
      </c>
      <c r="G207" s="2" t="s">
        <v>82</v>
      </c>
      <c r="H207" s="2" t="s">
        <v>44</v>
      </c>
      <c r="I207" s="2" t="s">
        <v>83</v>
      </c>
      <c r="J207" s="2" t="s">
        <v>41</v>
      </c>
      <c r="K207" s="2" t="s">
        <v>84</v>
      </c>
      <c r="L207" s="2" t="s">
        <v>85</v>
      </c>
      <c r="M207" s="2" t="s">
        <v>48</v>
      </c>
      <c r="N207" s="2" t="s">
        <v>111</v>
      </c>
      <c r="O207" s="2" t="s">
        <v>747</v>
      </c>
      <c r="P207" s="2" t="s">
        <v>64</v>
      </c>
      <c r="Q207" s="2" t="s">
        <v>41</v>
      </c>
      <c r="R207" s="2" t="n">
        <v>6</v>
      </c>
      <c r="S207" s="2" t="n">
        <v>873.59</v>
      </c>
      <c r="T207" s="2" t="n">
        <v>0.2</v>
      </c>
      <c r="U207" s="2" t="str">
        <f aca="false">IF(ISBLANK(T207),"Yes","No")</f>
        <v>No</v>
      </c>
      <c r="V207" s="2" t="n">
        <f aca="false">IF(ISBLANK(T207),0,IF(ISNUMBER(T207),T207,VALUE(LEFT(T207,LEN(T207)-1))/100))</f>
        <v>0.2</v>
      </c>
      <c r="W207" s="2" t="str">
        <f aca="false">IF(AND(V207&gt;=0,V207&lt;=0.25),"Valid","Invalid")</f>
        <v>Valid</v>
      </c>
      <c r="X207" s="2" t="n">
        <v>4193.23</v>
      </c>
      <c r="Y207" s="2" t="n">
        <f aca="false">R207*S207*(1-V207)</f>
        <v>4193.232</v>
      </c>
      <c r="Z207" s="2" t="str">
        <f aca="false">IF(ABS(X207-Y207)&gt;1,"Mismatch","OK")</f>
        <v>OK</v>
      </c>
      <c r="AA207" s="2" t="n">
        <v>3329.99</v>
      </c>
      <c r="AB207" s="2" t="n">
        <v>863.24</v>
      </c>
      <c r="AC207" s="2" t="n">
        <f aca="false">Y207-AA207</f>
        <v>863.242</v>
      </c>
      <c r="AD207" s="2" t="str">
        <f aca="false">IF(ABS(AB207-AC207)&gt;1,"Mismatch","OK")</f>
        <v>OK</v>
      </c>
      <c r="AE207" s="4" t="n">
        <f aca="false">IF(Y207=0,0,AC207/Y207)</f>
        <v>0.205865547148357</v>
      </c>
      <c r="AF207" s="2" t="s">
        <v>52</v>
      </c>
      <c r="AG207" s="2" t="s">
        <v>53</v>
      </c>
      <c r="AH207" s="2" t="str">
        <f aca="false">IF(AND(AG207="Completed",AF207&lt;&gt;"Paid"),"Inconsistent","OK")</f>
        <v>OK</v>
      </c>
      <c r="AI207" s="2" t="n">
        <f aca="false">IF(OR(ISBLANK(B207),ISBLANK(C207)),"",C207-B207)</f>
        <v>5</v>
      </c>
      <c r="AJ207" s="2" t="str">
        <f aca="false">IF(AI207="","Unknown",IF(AI207&lt;0,"Invalid","OK"))</f>
        <v>OK</v>
      </c>
      <c r="AK207" s="2" t="str">
        <f aca="false">IF(ISBLANK(B207),"",TEXT(B207,"mmm"))</f>
        <v>Apr</v>
      </c>
      <c r="AL207" s="2" t="n">
        <f aca="false">IF(ISBLANK(B207),"",YEAR(B207))</f>
        <v>2025</v>
      </c>
      <c r="AM207" s="2" t="s">
        <v>41</v>
      </c>
      <c r="AN207" s="2" t="str">
        <f aca="false">IF(OR(W207="Invalid",AJ207="Invalid",AH207="Inconsistent",Z207="Mismatch",AD207="Mismatch",AM207="Yes",D207="Yes",E207="Yes"),"Invalid",IF(OR(J207="Yes",Q207="Yes",U207="Yes"),"Warning","Clean"))</f>
        <v>Clean</v>
      </c>
    </row>
    <row r="208" customFormat="false" ht="15" hidden="false" customHeight="false" outlineLevel="0" collapsed="false">
      <c r="A208" s="2" t="s">
        <v>748</v>
      </c>
      <c r="B208" s="3" t="n">
        <v>45795</v>
      </c>
      <c r="C208" s="3" t="n">
        <v>45797</v>
      </c>
      <c r="D208" s="2" t="s">
        <v>41</v>
      </c>
      <c r="E208" s="2" t="s">
        <v>41</v>
      </c>
      <c r="F208" s="2" t="s">
        <v>749</v>
      </c>
      <c r="G208" s="2" t="s">
        <v>182</v>
      </c>
      <c r="H208" s="2" t="s">
        <v>57</v>
      </c>
      <c r="I208" s="2" t="s">
        <v>45</v>
      </c>
      <c r="J208" s="2" t="s">
        <v>41</v>
      </c>
      <c r="K208" s="2" t="s">
        <v>156</v>
      </c>
      <c r="L208" s="2" t="s">
        <v>157</v>
      </c>
      <c r="M208" s="2" t="s">
        <v>61</v>
      </c>
      <c r="N208" s="2" t="s">
        <v>77</v>
      </c>
      <c r="O208" s="2" t="s">
        <v>750</v>
      </c>
      <c r="P208" s="2" t="s">
        <v>70</v>
      </c>
      <c r="Q208" s="2" t="s">
        <v>41</v>
      </c>
      <c r="R208" s="2" t="n">
        <v>2</v>
      </c>
      <c r="S208" s="2" t="n">
        <v>215.13</v>
      </c>
      <c r="T208" s="2" t="n">
        <v>0</v>
      </c>
      <c r="U208" s="2" t="str">
        <f aca="false">IF(ISBLANK(T208),"Yes","No")</f>
        <v>No</v>
      </c>
      <c r="V208" s="2" t="n">
        <f aca="false">IF(ISBLANK(T208),0,IF(ISNUMBER(T208),T208,VALUE(LEFT(T208,LEN(T208)-1))/100))</f>
        <v>0</v>
      </c>
      <c r="W208" s="2" t="str">
        <f aca="false">IF(AND(V208&gt;=0,V208&lt;=0.25),"Valid","Invalid")</f>
        <v>Valid</v>
      </c>
      <c r="X208" s="2" t="n">
        <v>430.26</v>
      </c>
      <c r="Y208" s="2" t="n">
        <f aca="false">R208*S208*(1-V208)</f>
        <v>430.26</v>
      </c>
      <c r="Z208" s="2" t="str">
        <f aca="false">IF(ABS(X208-Y208)&gt;1,"Mismatch","OK")</f>
        <v>OK</v>
      </c>
      <c r="AA208" s="2" t="n">
        <v>286.38</v>
      </c>
      <c r="AB208" s="2" t="n">
        <v>143.88</v>
      </c>
      <c r="AC208" s="2" t="n">
        <f aca="false">Y208-AA208</f>
        <v>143.88</v>
      </c>
      <c r="AD208" s="2" t="str">
        <f aca="false">IF(ABS(AB208-AC208)&gt;1,"Mismatch","OK")</f>
        <v>OK</v>
      </c>
      <c r="AE208" s="4" t="n">
        <f aca="false">IF(Y208=0,0,AC208/Y208)</f>
        <v>0.33440245432994</v>
      </c>
      <c r="AF208" s="2" t="s">
        <v>52</v>
      </c>
      <c r="AG208" s="2" t="s">
        <v>53</v>
      </c>
      <c r="AH208" s="2" t="str">
        <f aca="false">IF(AND(AG208="Completed",AF208&lt;&gt;"Paid"),"Inconsistent","OK")</f>
        <v>OK</v>
      </c>
      <c r="AI208" s="2" t="n">
        <f aca="false">IF(OR(ISBLANK(B208),ISBLANK(C208)),"",C208-B208)</f>
        <v>2</v>
      </c>
      <c r="AJ208" s="2" t="str">
        <f aca="false">IF(AI208="","Unknown",IF(AI208&lt;0,"Invalid","OK"))</f>
        <v>OK</v>
      </c>
      <c r="AK208" s="2" t="str">
        <f aca="false">IF(ISBLANK(B208),"",TEXT(B208,"mmm"))</f>
        <v>May</v>
      </c>
      <c r="AL208" s="2" t="n">
        <f aca="false">IF(ISBLANK(B208),"",YEAR(B208))</f>
        <v>2025</v>
      </c>
      <c r="AM208" s="2" t="s">
        <v>41</v>
      </c>
      <c r="AN208" s="2" t="str">
        <f aca="false">IF(OR(W208="Invalid",AJ208="Invalid",AH208="Inconsistent",Z208="Mismatch",AD208="Mismatch",AM208="Yes",D208="Yes",E208="Yes"),"Invalid",IF(OR(J208="Yes",Q208="Yes",U208="Yes"),"Warning","Clean"))</f>
        <v>Clean</v>
      </c>
    </row>
    <row r="209" customFormat="false" ht="15" hidden="false" customHeight="false" outlineLevel="0" collapsed="false">
      <c r="A209" s="2" t="s">
        <v>751</v>
      </c>
      <c r="B209" s="3" t="n">
        <v>45483</v>
      </c>
      <c r="C209" s="3" t="n">
        <v>45489</v>
      </c>
      <c r="D209" s="2" t="s">
        <v>41</v>
      </c>
      <c r="E209" s="2" t="s">
        <v>41</v>
      </c>
      <c r="F209" s="2" t="s">
        <v>752</v>
      </c>
      <c r="G209" s="2" t="s">
        <v>148</v>
      </c>
      <c r="H209" s="2" t="s">
        <v>115</v>
      </c>
      <c r="I209" s="2" t="s">
        <v>83</v>
      </c>
      <c r="J209" s="2" t="s">
        <v>41</v>
      </c>
      <c r="K209" s="2" t="s">
        <v>210</v>
      </c>
      <c r="L209" s="2" t="s">
        <v>211</v>
      </c>
      <c r="M209" s="2" t="s">
        <v>61</v>
      </c>
      <c r="N209" s="2" t="s">
        <v>178</v>
      </c>
      <c r="O209" s="2" t="s">
        <v>753</v>
      </c>
      <c r="P209" s="2" t="s">
        <v>51</v>
      </c>
      <c r="Q209" s="2" t="s">
        <v>41</v>
      </c>
      <c r="R209" s="2" t="n">
        <v>2</v>
      </c>
      <c r="S209" s="2" t="n">
        <v>1095.45</v>
      </c>
      <c r="T209" s="2" t="n">
        <v>0.2</v>
      </c>
      <c r="U209" s="2" t="str">
        <f aca="false">IF(ISBLANK(T209),"Yes","No")</f>
        <v>No</v>
      </c>
      <c r="V209" s="2" t="n">
        <f aca="false">IF(ISBLANK(T209),0,IF(ISNUMBER(T209),T209,VALUE(LEFT(T209,LEN(T209)-1))/100))</f>
        <v>0.2</v>
      </c>
      <c r="W209" s="2" t="str">
        <f aca="false">IF(AND(V209&gt;=0,V209&lt;=0.25),"Valid","Invalid")</f>
        <v>Valid</v>
      </c>
      <c r="X209" s="2" t="n">
        <v>1752.72</v>
      </c>
      <c r="Y209" s="2" t="n">
        <f aca="false">R209*S209*(1-V209)</f>
        <v>1752.72</v>
      </c>
      <c r="Z209" s="2" t="str">
        <f aca="false">IF(ABS(X209-Y209)&gt;1,"Mismatch","OK")</f>
        <v>OK</v>
      </c>
      <c r="AA209" s="2" t="n">
        <v>996.41</v>
      </c>
      <c r="AB209" s="2" t="n">
        <v>756.31</v>
      </c>
      <c r="AC209" s="2" t="n">
        <f aca="false">Y209-AA209</f>
        <v>756.31</v>
      </c>
      <c r="AD209" s="2" t="str">
        <f aca="false">IF(ABS(AB209-AC209)&gt;1,"Mismatch","OK")</f>
        <v>OK</v>
      </c>
      <c r="AE209" s="4" t="n">
        <f aca="false">IF(Y209=0,0,AC209/Y209)</f>
        <v>0.431506458533023</v>
      </c>
      <c r="AF209" s="2" t="s">
        <v>52</v>
      </c>
      <c r="AG209" s="2" t="s">
        <v>53</v>
      </c>
      <c r="AH209" s="2" t="str">
        <f aca="false">IF(AND(AG209="Completed",AF209&lt;&gt;"Paid"),"Inconsistent","OK")</f>
        <v>OK</v>
      </c>
      <c r="AI209" s="2" t="n">
        <f aca="false">IF(OR(ISBLANK(B209),ISBLANK(C209)),"",C209-B209)</f>
        <v>6</v>
      </c>
      <c r="AJ209" s="2" t="str">
        <f aca="false">IF(AI209="","Unknown",IF(AI209&lt;0,"Invalid","OK"))</f>
        <v>OK</v>
      </c>
      <c r="AK209" s="2" t="str">
        <f aca="false">IF(ISBLANK(B209),"",TEXT(B209,"mmm"))</f>
        <v>Jul</v>
      </c>
      <c r="AL209" s="2" t="n">
        <f aca="false">IF(ISBLANK(B209),"",YEAR(B209))</f>
        <v>2024</v>
      </c>
      <c r="AM209" s="2" t="s">
        <v>41</v>
      </c>
      <c r="AN209" s="2" t="str">
        <f aca="false">IF(OR(W209="Invalid",AJ209="Invalid",AH209="Inconsistent",Z209="Mismatch",AD209="Mismatch",AM209="Yes",D209="Yes",E209="Yes"),"Invalid",IF(OR(J209="Yes",Q209="Yes",U209="Yes"),"Warning","Clean"))</f>
        <v>Clean</v>
      </c>
    </row>
    <row r="210" customFormat="false" ht="15" hidden="false" customHeight="false" outlineLevel="0" collapsed="false">
      <c r="A210" s="2" t="s">
        <v>754</v>
      </c>
      <c r="B210" s="3" t="n">
        <v>45837</v>
      </c>
      <c r="C210" s="3" t="n">
        <v>45843</v>
      </c>
      <c r="D210" s="2" t="s">
        <v>41</v>
      </c>
      <c r="E210" s="2" t="s">
        <v>41</v>
      </c>
      <c r="F210" s="2" t="s">
        <v>755</v>
      </c>
      <c r="G210" s="2" t="s">
        <v>182</v>
      </c>
      <c r="H210" s="2" t="s">
        <v>44</v>
      </c>
      <c r="I210" s="2" t="s">
        <v>45</v>
      </c>
      <c r="J210" s="2" t="s">
        <v>41</v>
      </c>
      <c r="K210" s="2" t="s">
        <v>142</v>
      </c>
      <c r="L210" s="2" t="s">
        <v>143</v>
      </c>
      <c r="M210" s="2" t="s">
        <v>61</v>
      </c>
      <c r="N210" s="2" t="s">
        <v>86</v>
      </c>
      <c r="O210" s="2" t="s">
        <v>756</v>
      </c>
      <c r="P210" s="2" t="s">
        <v>64</v>
      </c>
      <c r="Q210" s="2" t="s">
        <v>41</v>
      </c>
      <c r="R210" s="2" t="n">
        <v>1</v>
      </c>
      <c r="S210" s="2" t="n">
        <v>999.83</v>
      </c>
      <c r="T210" s="2" t="n">
        <v>0</v>
      </c>
      <c r="U210" s="2" t="str">
        <f aca="false">IF(ISBLANK(T210),"Yes","No")</f>
        <v>No</v>
      </c>
      <c r="V210" s="2" t="n">
        <f aca="false">IF(ISBLANK(T210),0,IF(ISNUMBER(T210),T210,VALUE(LEFT(T210,LEN(T210)-1))/100))</f>
        <v>0</v>
      </c>
      <c r="W210" s="2" t="str">
        <f aca="false">IF(AND(V210&gt;=0,V210&lt;=0.25),"Valid","Invalid")</f>
        <v>Valid</v>
      </c>
      <c r="X210" s="2" t="n">
        <v>999.83</v>
      </c>
      <c r="Y210" s="2" t="n">
        <f aca="false">R210*S210*(1-V210)</f>
        <v>999.83</v>
      </c>
      <c r="Z210" s="2" t="str">
        <f aca="false">IF(ABS(X210-Y210)&gt;1,"Mismatch","OK")</f>
        <v>OK</v>
      </c>
      <c r="AA210" s="2" t="n">
        <v>634.91</v>
      </c>
      <c r="AB210" s="2" t="n">
        <v>364.92</v>
      </c>
      <c r="AC210" s="2" t="n">
        <f aca="false">Y210-AA210</f>
        <v>364.92</v>
      </c>
      <c r="AD210" s="2" t="str">
        <f aca="false">IF(ABS(AB210-AC210)&gt;1,"Mismatch","OK")</f>
        <v>OK</v>
      </c>
      <c r="AE210" s="4" t="n">
        <f aca="false">IF(Y210=0,0,AC210/Y210)</f>
        <v>0.364982046947981</v>
      </c>
      <c r="AF210" s="2" t="s">
        <v>52</v>
      </c>
      <c r="AG210" s="2" t="s">
        <v>53</v>
      </c>
      <c r="AH210" s="2" t="str">
        <f aca="false">IF(AND(AG210="Completed",AF210&lt;&gt;"Paid"),"Inconsistent","OK")</f>
        <v>OK</v>
      </c>
      <c r="AI210" s="2" t="n">
        <f aca="false">IF(OR(ISBLANK(B210),ISBLANK(C210)),"",C210-B210)</f>
        <v>6</v>
      </c>
      <c r="AJ210" s="2" t="str">
        <f aca="false">IF(AI210="","Unknown",IF(AI210&lt;0,"Invalid","OK"))</f>
        <v>OK</v>
      </c>
      <c r="AK210" s="2" t="str">
        <f aca="false">IF(ISBLANK(B210),"",TEXT(B210,"mmm"))</f>
        <v>Jun</v>
      </c>
      <c r="AL210" s="2" t="n">
        <f aca="false">IF(ISBLANK(B210),"",YEAR(B210))</f>
        <v>2025</v>
      </c>
      <c r="AM210" s="2" t="s">
        <v>41</v>
      </c>
      <c r="AN210" s="2" t="str">
        <f aca="false">IF(OR(W210="Invalid",AJ210="Invalid",AH210="Inconsistent",Z210="Mismatch",AD210="Mismatch",AM210="Yes",D210="Yes",E210="Yes"),"Invalid",IF(OR(J210="Yes",Q210="Yes",U210="Yes"),"Warning","Clean"))</f>
        <v>Clean</v>
      </c>
    </row>
    <row r="211" customFormat="false" ht="15" hidden="false" customHeight="false" outlineLevel="0" collapsed="false">
      <c r="A211" s="2" t="s">
        <v>757</v>
      </c>
      <c r="B211" s="3" t="n">
        <v>45882</v>
      </c>
      <c r="C211" s="3" t="n">
        <v>45883</v>
      </c>
      <c r="D211" s="2" t="s">
        <v>41</v>
      </c>
      <c r="E211" s="2" t="s">
        <v>41</v>
      </c>
      <c r="F211" s="2" t="s">
        <v>758</v>
      </c>
      <c r="G211" s="2" t="s">
        <v>161</v>
      </c>
      <c r="H211" s="2" t="s">
        <v>57</v>
      </c>
      <c r="I211" s="2" t="s">
        <v>74</v>
      </c>
      <c r="J211" s="2" t="s">
        <v>41</v>
      </c>
      <c r="K211" s="2" t="s">
        <v>104</v>
      </c>
      <c r="L211" s="2" t="s">
        <v>105</v>
      </c>
      <c r="M211" s="2" t="s">
        <v>48</v>
      </c>
      <c r="N211" s="2" t="s">
        <v>49</v>
      </c>
      <c r="O211" s="2" t="s">
        <v>759</v>
      </c>
      <c r="P211" s="2" t="s">
        <v>70</v>
      </c>
      <c r="Q211" s="2" t="s">
        <v>41</v>
      </c>
      <c r="R211" s="2" t="n">
        <v>9</v>
      </c>
      <c r="S211" s="2" t="n">
        <v>864.98</v>
      </c>
      <c r="T211" s="2" t="n">
        <v>0.1</v>
      </c>
      <c r="U211" s="2" t="str">
        <f aca="false">IF(ISBLANK(T211),"Yes","No")</f>
        <v>No</v>
      </c>
      <c r="V211" s="2" t="n">
        <f aca="false">IF(ISBLANK(T211),0,IF(ISNUMBER(T211),T211,VALUE(LEFT(T211,LEN(T211)-1))/100))</f>
        <v>0.1</v>
      </c>
      <c r="W211" s="2" t="str">
        <f aca="false">IF(AND(V211&gt;=0,V211&lt;=0.25),"Valid","Invalid")</f>
        <v>Valid</v>
      </c>
      <c r="X211" s="2" t="n">
        <v>7006.34</v>
      </c>
      <c r="Y211" s="2" t="n">
        <f aca="false">R211*S211*(1-V211)</f>
        <v>7006.338</v>
      </c>
      <c r="Z211" s="2" t="str">
        <f aca="false">IF(ABS(X211-Y211)&gt;1,"Mismatch","OK")</f>
        <v>OK</v>
      </c>
      <c r="AA211" s="2" t="n">
        <v>4640.88</v>
      </c>
      <c r="AB211" s="2" t="n">
        <v>2365.46</v>
      </c>
      <c r="AC211" s="2" t="n">
        <f aca="false">Y211-AA211</f>
        <v>2365.458</v>
      </c>
      <c r="AD211" s="2" t="str">
        <f aca="false">IF(ABS(AB211-AC211)&gt;1,"Mismatch","OK")</f>
        <v>OK</v>
      </c>
      <c r="AE211" s="4" t="n">
        <f aca="false">IF(Y211=0,0,AC211/Y211)</f>
        <v>0.337616883456094</v>
      </c>
      <c r="AF211" s="2" t="s">
        <v>52</v>
      </c>
      <c r="AG211" s="2" t="s">
        <v>53</v>
      </c>
      <c r="AH211" s="2" t="str">
        <f aca="false">IF(AND(AG211="Completed",AF211&lt;&gt;"Paid"),"Inconsistent","OK")</f>
        <v>OK</v>
      </c>
      <c r="AI211" s="2" t="n">
        <f aca="false">IF(OR(ISBLANK(B211),ISBLANK(C211)),"",C211-B211)</f>
        <v>1</v>
      </c>
      <c r="AJ211" s="2" t="str">
        <f aca="false">IF(AI211="","Unknown",IF(AI211&lt;0,"Invalid","OK"))</f>
        <v>OK</v>
      </c>
      <c r="AK211" s="2" t="str">
        <f aca="false">IF(ISBLANK(B211),"",TEXT(B211,"mmm"))</f>
        <v>Aug</v>
      </c>
      <c r="AL211" s="2" t="n">
        <f aca="false">IF(ISBLANK(B211),"",YEAR(B211))</f>
        <v>2025</v>
      </c>
      <c r="AM211" s="2" t="s">
        <v>41</v>
      </c>
      <c r="AN211" s="2" t="str">
        <f aca="false">IF(OR(W211="Invalid",AJ211="Invalid",AH211="Inconsistent",Z211="Mismatch",AD211="Mismatch",AM211="Yes",D211="Yes",E211="Yes"),"Invalid",IF(OR(J211="Yes",Q211="Yes",U211="Yes"),"Warning","Clean"))</f>
        <v>Clean</v>
      </c>
    </row>
    <row r="212" customFormat="false" ht="15" hidden="false" customHeight="false" outlineLevel="0" collapsed="false">
      <c r="A212" s="2" t="s">
        <v>760</v>
      </c>
      <c r="B212" s="3" t="n">
        <v>45366</v>
      </c>
      <c r="C212" s="3" t="n">
        <v>45369</v>
      </c>
      <c r="D212" s="2" t="s">
        <v>41</v>
      </c>
      <c r="E212" s="2" t="s">
        <v>41</v>
      </c>
      <c r="F212" s="2" t="s">
        <v>761</v>
      </c>
      <c r="G212" s="2" t="s">
        <v>286</v>
      </c>
      <c r="H212" s="2" t="s">
        <v>115</v>
      </c>
      <c r="I212" s="2" t="s">
        <v>74</v>
      </c>
      <c r="J212" s="2" t="s">
        <v>41</v>
      </c>
      <c r="K212" s="2" t="s">
        <v>195</v>
      </c>
      <c r="L212" s="2" t="s">
        <v>196</v>
      </c>
      <c r="M212" s="2" t="s">
        <v>94</v>
      </c>
      <c r="N212" s="2" t="s">
        <v>296</v>
      </c>
      <c r="O212" s="2" t="s">
        <v>762</v>
      </c>
      <c r="P212" s="2" t="s">
        <v>51</v>
      </c>
      <c r="Q212" s="2" t="s">
        <v>41</v>
      </c>
      <c r="R212" s="2" t="n">
        <v>1</v>
      </c>
      <c r="S212" s="2" t="n">
        <v>4131.36</v>
      </c>
      <c r="T212" s="2" t="n">
        <v>0</v>
      </c>
      <c r="U212" s="2" t="str">
        <f aca="false">IF(ISBLANK(T212),"Yes","No")</f>
        <v>No</v>
      </c>
      <c r="V212" s="2" t="n">
        <f aca="false">IF(ISBLANK(T212),0,IF(ISNUMBER(T212),T212,VALUE(LEFT(T212,LEN(T212)-1))/100))</f>
        <v>0</v>
      </c>
      <c r="W212" s="2" t="str">
        <f aca="false">IF(AND(V212&gt;=0,V212&lt;=0.25),"Valid","Invalid")</f>
        <v>Valid</v>
      </c>
      <c r="X212" s="2" t="n">
        <v>4131.36</v>
      </c>
      <c r="Y212" s="2" t="n">
        <f aca="false">R212*S212*(1-V212)</f>
        <v>4131.36</v>
      </c>
      <c r="Z212" s="2" t="str">
        <f aca="false">IF(ABS(X212-Y212)&gt;1,"Mismatch","OK")</f>
        <v>OK</v>
      </c>
      <c r="AA212" s="2" t="n">
        <v>2937.07</v>
      </c>
      <c r="AB212" s="2" t="n">
        <v>1194.29</v>
      </c>
      <c r="AC212" s="2" t="n">
        <f aca="false">Y212-AA212</f>
        <v>1194.29</v>
      </c>
      <c r="AD212" s="2" t="str">
        <f aca="false">IF(ABS(AB212-AC212)&gt;1,"Mismatch","OK")</f>
        <v>OK</v>
      </c>
      <c r="AE212" s="4" t="n">
        <f aca="false">IF(Y212=0,0,AC212/Y212)</f>
        <v>0.289079141009256</v>
      </c>
      <c r="AF212" s="2" t="s">
        <v>175</v>
      </c>
      <c r="AG212" s="2" t="s">
        <v>123</v>
      </c>
      <c r="AH212" s="2" t="str">
        <f aca="false">IF(AND(AG212="Completed",AF212&lt;&gt;"Paid"),"Inconsistent","OK")</f>
        <v>OK</v>
      </c>
      <c r="AI212" s="2" t="n">
        <f aca="false">IF(OR(ISBLANK(B212),ISBLANK(C212)),"",C212-B212)</f>
        <v>3</v>
      </c>
      <c r="AJ212" s="2" t="str">
        <f aca="false">IF(AI212="","Unknown",IF(AI212&lt;0,"Invalid","OK"))</f>
        <v>OK</v>
      </c>
      <c r="AK212" s="2" t="str">
        <f aca="false">IF(ISBLANK(B212),"",TEXT(B212,"mmm"))</f>
        <v>Mar</v>
      </c>
      <c r="AL212" s="2" t="n">
        <f aca="false">IF(ISBLANK(B212),"",YEAR(B212))</f>
        <v>2024</v>
      </c>
      <c r="AM212" s="2" t="s">
        <v>41</v>
      </c>
      <c r="AN212" s="2" t="str">
        <f aca="false">IF(OR(W212="Invalid",AJ212="Invalid",AH212="Inconsistent",Z212="Mismatch",AD212="Mismatch",AM212="Yes",D212="Yes",E212="Yes"),"Invalid",IF(OR(J212="Yes",Q212="Yes",U212="Yes"),"Warning","Clean"))</f>
        <v>Clean</v>
      </c>
    </row>
    <row r="213" customFormat="false" ht="15" hidden="false" customHeight="false" outlineLevel="0" collapsed="false">
      <c r="A213" s="2" t="s">
        <v>763</v>
      </c>
      <c r="B213" s="3" t="n">
        <v>45428</v>
      </c>
      <c r="C213" s="3" t="n">
        <v>45429</v>
      </c>
      <c r="D213" s="2" t="s">
        <v>41</v>
      </c>
      <c r="E213" s="2" t="s">
        <v>41</v>
      </c>
      <c r="F213" s="2" t="s">
        <v>764</v>
      </c>
      <c r="G213" s="2" t="s">
        <v>161</v>
      </c>
      <c r="H213" s="2" t="s">
        <v>110</v>
      </c>
      <c r="I213" s="2" t="s">
        <v>58</v>
      </c>
      <c r="J213" s="2" t="s">
        <v>41</v>
      </c>
      <c r="K213" s="2" t="s">
        <v>119</v>
      </c>
      <c r="L213" s="2" t="s">
        <v>120</v>
      </c>
      <c r="M213" s="2" t="s">
        <v>94</v>
      </c>
      <c r="N213" s="2" t="s">
        <v>100</v>
      </c>
      <c r="O213" s="2" t="s">
        <v>765</v>
      </c>
      <c r="P213" s="2" t="s">
        <v>51</v>
      </c>
      <c r="Q213" s="2" t="s">
        <v>41</v>
      </c>
      <c r="R213" s="2" t="n">
        <v>8</v>
      </c>
      <c r="S213" s="2" t="n">
        <v>4221.95</v>
      </c>
      <c r="T213" s="2" t="n">
        <v>0.2</v>
      </c>
      <c r="U213" s="2" t="str">
        <f aca="false">IF(ISBLANK(T213),"Yes","No")</f>
        <v>No</v>
      </c>
      <c r="V213" s="2" t="n">
        <f aca="false">IF(ISBLANK(T213),0,IF(ISNUMBER(T213),T213,VALUE(LEFT(T213,LEN(T213)-1))/100))</f>
        <v>0.2</v>
      </c>
      <c r="W213" s="2" t="str">
        <f aca="false">IF(AND(V213&gt;=0,V213&lt;=0.25),"Valid","Invalid")</f>
        <v>Valid</v>
      </c>
      <c r="X213" s="2" t="n">
        <v>27020.48</v>
      </c>
      <c r="Y213" s="2" t="n">
        <f aca="false">R213*S213*(1-V213)</f>
        <v>27020.48</v>
      </c>
      <c r="Z213" s="2" t="str">
        <f aca="false">IF(ABS(X213-Y213)&gt;1,"Mismatch","OK")</f>
        <v>OK</v>
      </c>
      <c r="AA213" s="2" t="n">
        <v>22885.24</v>
      </c>
      <c r="AB213" s="2" t="n">
        <v>4135.24</v>
      </c>
      <c r="AC213" s="2" t="n">
        <f aca="false">Y213-AA213</f>
        <v>4135.24</v>
      </c>
      <c r="AD213" s="2" t="str">
        <f aca="false">IF(ABS(AB213-AC213)&gt;1,"Mismatch","OK")</f>
        <v>OK</v>
      </c>
      <c r="AE213" s="4" t="n">
        <f aca="false">IF(Y213=0,0,AC213/Y213)</f>
        <v>0.153040952640368</v>
      </c>
      <c r="AF213" s="2" t="s">
        <v>52</v>
      </c>
      <c r="AG213" s="2" t="s">
        <v>53</v>
      </c>
      <c r="AH213" s="2" t="str">
        <f aca="false">IF(AND(AG213="Completed",AF213&lt;&gt;"Paid"),"Inconsistent","OK")</f>
        <v>OK</v>
      </c>
      <c r="AI213" s="2" t="n">
        <f aca="false">IF(OR(ISBLANK(B213),ISBLANK(C213)),"",C213-B213)</f>
        <v>1</v>
      </c>
      <c r="AJ213" s="2" t="str">
        <f aca="false">IF(AI213="","Unknown",IF(AI213&lt;0,"Invalid","OK"))</f>
        <v>OK</v>
      </c>
      <c r="AK213" s="2" t="str">
        <f aca="false">IF(ISBLANK(B213),"",TEXT(B213,"mmm"))</f>
        <v>May</v>
      </c>
      <c r="AL213" s="2" t="n">
        <f aca="false">IF(ISBLANK(B213),"",YEAR(B213))</f>
        <v>2024</v>
      </c>
      <c r="AM213" s="2" t="s">
        <v>41</v>
      </c>
      <c r="AN213" s="2" t="str">
        <f aca="false">IF(OR(W213="Invalid",AJ213="Invalid",AH213="Inconsistent",Z213="Mismatch",AD213="Mismatch",AM213="Yes",D213="Yes",E213="Yes"),"Invalid",IF(OR(J213="Yes",Q213="Yes",U213="Yes"),"Warning","Clean"))</f>
        <v>Clean</v>
      </c>
    </row>
    <row r="214" customFormat="false" ht="15" hidden="false" customHeight="false" outlineLevel="0" collapsed="false">
      <c r="A214" s="2" t="s">
        <v>766</v>
      </c>
      <c r="B214" s="3" t="n">
        <v>45556</v>
      </c>
      <c r="C214" s="3" t="n">
        <v>45556</v>
      </c>
      <c r="D214" s="2" t="s">
        <v>41</v>
      </c>
      <c r="E214" s="2" t="s">
        <v>41</v>
      </c>
      <c r="F214" s="2" t="s">
        <v>767</v>
      </c>
      <c r="G214" s="2" t="s">
        <v>82</v>
      </c>
      <c r="H214" s="2" t="s">
        <v>57</v>
      </c>
      <c r="I214" s="2" t="s">
        <v>58</v>
      </c>
      <c r="J214" s="2" t="s">
        <v>41</v>
      </c>
      <c r="K214" s="2" t="s">
        <v>59</v>
      </c>
      <c r="L214" s="2" t="s">
        <v>60</v>
      </c>
      <c r="M214" s="2" t="s">
        <v>94</v>
      </c>
      <c r="N214" s="2" t="s">
        <v>191</v>
      </c>
      <c r="O214" s="2" t="s">
        <v>768</v>
      </c>
      <c r="P214" s="2" t="s">
        <v>64</v>
      </c>
      <c r="Q214" s="2" t="s">
        <v>41</v>
      </c>
      <c r="R214" s="2" t="n">
        <v>2</v>
      </c>
      <c r="S214" s="2" t="n">
        <v>214.5</v>
      </c>
      <c r="T214" s="2" t="n">
        <v>0.15</v>
      </c>
      <c r="U214" s="2" t="str">
        <f aca="false">IF(ISBLANK(T214),"Yes","No")</f>
        <v>No</v>
      </c>
      <c r="V214" s="2" t="n">
        <f aca="false">IF(ISBLANK(T214),0,IF(ISNUMBER(T214),T214,VALUE(LEFT(T214,LEN(T214)-1))/100))</f>
        <v>0.15</v>
      </c>
      <c r="W214" s="2" t="str">
        <f aca="false">IF(AND(V214&gt;=0,V214&lt;=0.25),"Valid","Invalid")</f>
        <v>Valid</v>
      </c>
      <c r="X214" s="2" t="n">
        <v>364.65</v>
      </c>
      <c r="Y214" s="2" t="n">
        <f aca="false">R214*S214*(1-V214)</f>
        <v>364.65</v>
      </c>
      <c r="Z214" s="2" t="str">
        <f aca="false">IF(ABS(X214-Y214)&gt;1,"Mismatch","OK")</f>
        <v>OK</v>
      </c>
      <c r="AA214" s="2" t="n">
        <v>280.74</v>
      </c>
      <c r="AB214" s="2" t="n">
        <v>83.91</v>
      </c>
      <c r="AC214" s="2" t="n">
        <f aca="false">Y214-AA214</f>
        <v>83.91</v>
      </c>
      <c r="AD214" s="2" t="str">
        <f aca="false">IF(ABS(AB214-AC214)&gt;1,"Mismatch","OK")</f>
        <v>OK</v>
      </c>
      <c r="AE214" s="4" t="n">
        <f aca="false">IF(Y214=0,0,AC214/Y214)</f>
        <v>0.230111065405183</v>
      </c>
      <c r="AF214" s="2" t="s">
        <v>52</v>
      </c>
      <c r="AG214" s="2" t="s">
        <v>53</v>
      </c>
      <c r="AH214" s="2" t="str">
        <f aca="false">IF(AND(AG214="Completed",AF214&lt;&gt;"Paid"),"Inconsistent","OK")</f>
        <v>OK</v>
      </c>
      <c r="AI214" s="2" t="n">
        <f aca="false">IF(OR(ISBLANK(B214),ISBLANK(C214)),"",C214-B214)</f>
        <v>0</v>
      </c>
      <c r="AJ214" s="2" t="str">
        <f aca="false">IF(AI214="","Unknown",IF(AI214&lt;0,"Invalid","OK"))</f>
        <v>OK</v>
      </c>
      <c r="AK214" s="2" t="str">
        <f aca="false">IF(ISBLANK(B214),"",TEXT(B214,"mmm"))</f>
        <v>Sep</v>
      </c>
      <c r="AL214" s="2" t="n">
        <f aca="false">IF(ISBLANK(B214),"",YEAR(B214))</f>
        <v>2024</v>
      </c>
      <c r="AM214" s="2" t="s">
        <v>41</v>
      </c>
      <c r="AN214" s="2" t="str">
        <f aca="false">IF(OR(W214="Invalid",AJ214="Invalid",AH214="Inconsistent",Z214="Mismatch",AD214="Mismatch",AM214="Yes",D214="Yes",E214="Yes"),"Invalid",IF(OR(J214="Yes",Q214="Yes",U214="Yes"),"Warning","Clean"))</f>
        <v>Clean</v>
      </c>
    </row>
    <row r="215" customFormat="false" ht="15" hidden="false" customHeight="false" outlineLevel="0" collapsed="false">
      <c r="A215" s="2" t="s">
        <v>769</v>
      </c>
      <c r="B215" s="3" t="n">
        <v>45427</v>
      </c>
      <c r="C215" s="3" t="n">
        <v>45433</v>
      </c>
      <c r="D215" s="2" t="s">
        <v>41</v>
      </c>
      <c r="E215" s="2" t="s">
        <v>41</v>
      </c>
      <c r="F215" s="2" t="s">
        <v>770</v>
      </c>
      <c r="G215" s="2" t="s">
        <v>67</v>
      </c>
      <c r="H215" s="2" t="s">
        <v>57</v>
      </c>
      <c r="I215" s="2" t="s">
        <v>58</v>
      </c>
      <c r="J215" s="2" t="s">
        <v>41</v>
      </c>
      <c r="K215" s="2" t="s">
        <v>165</v>
      </c>
      <c r="L215" s="2" t="s">
        <v>166</v>
      </c>
      <c r="M215" s="2" t="s">
        <v>94</v>
      </c>
      <c r="N215" s="2" t="s">
        <v>95</v>
      </c>
      <c r="O215" s="2" t="s">
        <v>771</v>
      </c>
      <c r="P215" s="2" t="s">
        <v>51</v>
      </c>
      <c r="Q215" s="2" t="s">
        <v>41</v>
      </c>
      <c r="R215" s="2" t="n">
        <v>4</v>
      </c>
      <c r="S215" s="2" t="n">
        <v>4332.73</v>
      </c>
      <c r="T215" s="2" t="n">
        <v>0.2</v>
      </c>
      <c r="U215" s="2" t="str">
        <f aca="false">IF(ISBLANK(T215),"Yes","No")</f>
        <v>No</v>
      </c>
      <c r="V215" s="2" t="n">
        <f aca="false">IF(ISBLANK(T215),0,IF(ISNUMBER(T215),T215,VALUE(LEFT(T215,LEN(T215)-1))/100))</f>
        <v>0.2</v>
      </c>
      <c r="W215" s="2" t="str">
        <f aca="false">IF(AND(V215&gt;=0,V215&lt;=0.25),"Valid","Invalid")</f>
        <v>Valid</v>
      </c>
      <c r="X215" s="2" t="n">
        <v>13864.74</v>
      </c>
      <c r="Y215" s="2" t="n">
        <f aca="false">R215*S215*(1-V215)</f>
        <v>13864.736</v>
      </c>
      <c r="Z215" s="2" t="str">
        <f aca="false">IF(ABS(X215-Y215)&gt;1,"Mismatch","OK")</f>
        <v>OK</v>
      </c>
      <c r="AA215" s="2" t="n">
        <v>11294.06</v>
      </c>
      <c r="AB215" s="2" t="n">
        <v>2570.68</v>
      </c>
      <c r="AC215" s="2" t="n">
        <f aca="false">Y215-AA215</f>
        <v>2570.676</v>
      </c>
      <c r="AD215" s="2" t="str">
        <f aca="false">IF(ABS(AB215-AC215)&gt;1,"Mismatch","OK")</f>
        <v>OK</v>
      </c>
      <c r="AE215" s="4" t="n">
        <f aca="false">IF(Y215=0,0,AC215/Y215)</f>
        <v>0.185411103392088</v>
      </c>
      <c r="AF215" s="2" t="s">
        <v>52</v>
      </c>
      <c r="AG215" s="2" t="s">
        <v>53</v>
      </c>
      <c r="AH215" s="2" t="str">
        <f aca="false">IF(AND(AG215="Completed",AF215&lt;&gt;"Paid"),"Inconsistent","OK")</f>
        <v>OK</v>
      </c>
      <c r="AI215" s="2" t="n">
        <f aca="false">IF(OR(ISBLANK(B215),ISBLANK(C215)),"",C215-B215)</f>
        <v>6</v>
      </c>
      <c r="AJ215" s="2" t="str">
        <f aca="false">IF(AI215="","Unknown",IF(AI215&lt;0,"Invalid","OK"))</f>
        <v>OK</v>
      </c>
      <c r="AK215" s="2" t="str">
        <f aca="false">IF(ISBLANK(B215),"",TEXT(B215,"mmm"))</f>
        <v>May</v>
      </c>
      <c r="AL215" s="2" t="n">
        <f aca="false">IF(ISBLANK(B215),"",YEAR(B215))</f>
        <v>2024</v>
      </c>
      <c r="AM215" s="2" t="s">
        <v>41</v>
      </c>
      <c r="AN215" s="2" t="str">
        <f aca="false">IF(OR(W215="Invalid",AJ215="Invalid",AH215="Inconsistent",Z215="Mismatch",AD215="Mismatch",AM215="Yes",D215="Yes",E215="Yes"),"Invalid",IF(OR(J215="Yes",Q215="Yes",U215="Yes"),"Warning","Clean"))</f>
        <v>Clean</v>
      </c>
    </row>
    <row r="216" customFormat="false" ht="15" hidden="false" customHeight="false" outlineLevel="0" collapsed="false">
      <c r="A216" s="2" t="s">
        <v>772</v>
      </c>
      <c r="B216" s="3" t="n">
        <v>45368</v>
      </c>
      <c r="C216" s="3" t="n">
        <v>45374</v>
      </c>
      <c r="D216" s="2" t="s">
        <v>41</v>
      </c>
      <c r="E216" s="2" t="s">
        <v>41</v>
      </c>
      <c r="F216" s="2" t="s">
        <v>773</v>
      </c>
      <c r="G216" s="2" t="s">
        <v>138</v>
      </c>
      <c r="H216" s="2" t="s">
        <v>44</v>
      </c>
      <c r="I216" s="2" t="s">
        <v>45</v>
      </c>
      <c r="J216" s="2" t="s">
        <v>41</v>
      </c>
      <c r="K216" s="2" t="s">
        <v>258</v>
      </c>
      <c r="L216" s="2" t="s">
        <v>259</v>
      </c>
      <c r="M216" s="2" t="s">
        <v>94</v>
      </c>
      <c r="N216" s="2" t="s">
        <v>95</v>
      </c>
      <c r="O216" s="2" t="s">
        <v>774</v>
      </c>
      <c r="P216" s="2" t="s">
        <v>70</v>
      </c>
      <c r="Q216" s="2" t="s">
        <v>41</v>
      </c>
      <c r="R216" s="2" t="n">
        <v>3</v>
      </c>
      <c r="S216" s="2" t="n">
        <v>248.18</v>
      </c>
      <c r="T216" s="2" t="n">
        <v>0.05</v>
      </c>
      <c r="U216" s="2" t="str">
        <f aca="false">IF(ISBLANK(T216),"Yes","No")</f>
        <v>No</v>
      </c>
      <c r="V216" s="2" t="n">
        <f aca="false">IF(ISBLANK(T216),0,IF(ISNUMBER(T216),T216,VALUE(LEFT(T216,LEN(T216)-1))/100))</f>
        <v>0.05</v>
      </c>
      <c r="W216" s="2" t="str">
        <f aca="false">IF(AND(V216&gt;=0,V216&lt;=0.25),"Valid","Invalid")</f>
        <v>Valid</v>
      </c>
      <c r="X216" s="2" t="n">
        <v>707.31</v>
      </c>
      <c r="Y216" s="2" t="n">
        <f aca="false">R216*S216*(1-V216)</f>
        <v>707.313</v>
      </c>
      <c r="Z216" s="2" t="str">
        <f aca="false">IF(ABS(X216-Y216)&gt;1,"Mismatch","OK")</f>
        <v>OK</v>
      </c>
      <c r="AA216" s="2" t="n">
        <v>569</v>
      </c>
      <c r="AB216" s="2" t="n">
        <v>138.31</v>
      </c>
      <c r="AC216" s="2" t="n">
        <f aca="false">Y216-AA216</f>
        <v>138.313</v>
      </c>
      <c r="AD216" s="2" t="str">
        <f aca="false">IF(ABS(AB216-AC216)&gt;1,"Mismatch","OK")</f>
        <v>OK</v>
      </c>
      <c r="AE216" s="4" t="n">
        <f aca="false">IF(Y216=0,0,AC216/Y216)</f>
        <v>0.195547091598769</v>
      </c>
      <c r="AF216" s="2" t="s">
        <v>52</v>
      </c>
      <c r="AG216" s="2" t="s">
        <v>53</v>
      </c>
      <c r="AH216" s="2" t="str">
        <f aca="false">IF(AND(AG216="Completed",AF216&lt;&gt;"Paid"),"Inconsistent","OK")</f>
        <v>OK</v>
      </c>
      <c r="AI216" s="2" t="n">
        <f aca="false">IF(OR(ISBLANK(B216),ISBLANK(C216)),"",C216-B216)</f>
        <v>6</v>
      </c>
      <c r="AJ216" s="2" t="str">
        <f aca="false">IF(AI216="","Unknown",IF(AI216&lt;0,"Invalid","OK"))</f>
        <v>OK</v>
      </c>
      <c r="AK216" s="2" t="str">
        <f aca="false">IF(ISBLANK(B216),"",TEXT(B216,"mmm"))</f>
        <v>Mar</v>
      </c>
      <c r="AL216" s="2" t="n">
        <f aca="false">IF(ISBLANK(B216),"",YEAR(B216))</f>
        <v>2024</v>
      </c>
      <c r="AM216" s="2" t="s">
        <v>41</v>
      </c>
      <c r="AN216" s="2" t="str">
        <f aca="false">IF(OR(W216="Invalid",AJ216="Invalid",AH216="Inconsistent",Z216="Mismatch",AD216="Mismatch",AM216="Yes",D216="Yes",E216="Yes"),"Invalid",IF(OR(J216="Yes",Q216="Yes",U216="Yes"),"Warning","Clean"))</f>
        <v>Clean</v>
      </c>
    </row>
    <row r="217" customFormat="false" ht="15" hidden="false" customHeight="false" outlineLevel="0" collapsed="false">
      <c r="A217" s="2" t="s">
        <v>775</v>
      </c>
      <c r="B217" s="3" t="n">
        <v>45352</v>
      </c>
      <c r="C217" s="3" t="n">
        <v>45355</v>
      </c>
      <c r="D217" s="2" t="s">
        <v>41</v>
      </c>
      <c r="E217" s="2" t="s">
        <v>41</v>
      </c>
      <c r="F217" s="2" t="s">
        <v>776</v>
      </c>
      <c r="G217" s="2" t="s">
        <v>56</v>
      </c>
      <c r="H217" s="2" t="s">
        <v>44</v>
      </c>
      <c r="I217" s="2" t="s">
        <v>83</v>
      </c>
      <c r="J217" s="2" t="s">
        <v>41</v>
      </c>
      <c r="K217" s="2" t="s">
        <v>92</v>
      </c>
      <c r="L217" s="2" t="s">
        <v>93</v>
      </c>
      <c r="M217" s="2" t="s">
        <v>48</v>
      </c>
      <c r="N217" s="2" t="s">
        <v>49</v>
      </c>
      <c r="O217" s="2" t="s">
        <v>777</v>
      </c>
      <c r="P217" s="2" t="s">
        <v>70</v>
      </c>
      <c r="Q217" s="2" t="s">
        <v>41</v>
      </c>
      <c r="R217" s="2" t="n">
        <v>8</v>
      </c>
      <c r="S217" s="2" t="n">
        <v>3202.4</v>
      </c>
      <c r="T217" s="2" t="n">
        <v>0.25</v>
      </c>
      <c r="U217" s="2" t="str">
        <f aca="false">IF(ISBLANK(T217),"Yes","No")</f>
        <v>No</v>
      </c>
      <c r="V217" s="2" t="n">
        <f aca="false">IF(ISBLANK(T217),0,IF(ISNUMBER(T217),T217,VALUE(LEFT(T217,LEN(T217)-1))/100))</f>
        <v>0.25</v>
      </c>
      <c r="W217" s="2" t="str">
        <f aca="false">IF(AND(V217&gt;=0,V217&lt;=0.25),"Valid","Invalid")</f>
        <v>Valid</v>
      </c>
      <c r="X217" s="2" t="n">
        <v>19214.4</v>
      </c>
      <c r="Y217" s="2" t="n">
        <f aca="false">R217*S217*(1-V217)</f>
        <v>19214.4</v>
      </c>
      <c r="Z217" s="2" t="str">
        <f aca="false">IF(ABS(X217-Y217)&gt;1,"Mismatch","OK")</f>
        <v>OK</v>
      </c>
      <c r="AA217" s="2" t="n">
        <v>10916.01</v>
      </c>
      <c r="AB217" s="2" t="n">
        <v>8298.39</v>
      </c>
      <c r="AC217" s="2" t="n">
        <f aca="false">Y217-AA217</f>
        <v>8298.39</v>
      </c>
      <c r="AD217" s="2" t="str">
        <f aca="false">IF(ABS(AB217-AC217)&gt;1,"Mismatch","OK")</f>
        <v>OK</v>
      </c>
      <c r="AE217" s="4" t="n">
        <f aca="false">IF(Y217=0,0,AC217/Y217)</f>
        <v>0.431883899575319</v>
      </c>
      <c r="AF217" s="2" t="s">
        <v>52</v>
      </c>
      <c r="AG217" s="2" t="s">
        <v>53</v>
      </c>
      <c r="AH217" s="2" t="str">
        <f aca="false">IF(AND(AG217="Completed",AF217&lt;&gt;"Paid"),"Inconsistent","OK")</f>
        <v>OK</v>
      </c>
      <c r="AI217" s="2" t="n">
        <f aca="false">IF(OR(ISBLANK(B217),ISBLANK(C217)),"",C217-B217)</f>
        <v>3</v>
      </c>
      <c r="AJ217" s="2" t="str">
        <f aca="false">IF(AI217="","Unknown",IF(AI217&lt;0,"Invalid","OK"))</f>
        <v>OK</v>
      </c>
      <c r="AK217" s="2" t="str">
        <f aca="false">IF(ISBLANK(B217),"",TEXT(B217,"mmm"))</f>
        <v>Mar</v>
      </c>
      <c r="AL217" s="2" t="n">
        <f aca="false">IF(ISBLANK(B217),"",YEAR(B217))</f>
        <v>2024</v>
      </c>
      <c r="AM217" s="2" t="s">
        <v>41</v>
      </c>
      <c r="AN217" s="2" t="str">
        <f aca="false">IF(OR(W217="Invalid",AJ217="Invalid",AH217="Inconsistent",Z217="Mismatch",AD217="Mismatch",AM217="Yes",D217="Yes",E217="Yes"),"Invalid",IF(OR(J217="Yes",Q217="Yes",U217="Yes"),"Warning","Clean"))</f>
        <v>Clean</v>
      </c>
    </row>
    <row r="218" customFormat="false" ht="15" hidden="false" customHeight="false" outlineLevel="0" collapsed="false">
      <c r="A218" s="2" t="s">
        <v>778</v>
      </c>
      <c r="B218" s="3" t="n">
        <v>45757</v>
      </c>
      <c r="C218" s="3" t="n">
        <v>45762</v>
      </c>
      <c r="D218" s="2" t="s">
        <v>41</v>
      </c>
      <c r="E218" s="2" t="s">
        <v>41</v>
      </c>
      <c r="F218" s="2" t="s">
        <v>779</v>
      </c>
      <c r="G218" s="2" t="s">
        <v>67</v>
      </c>
      <c r="H218" s="2" t="s">
        <v>44</v>
      </c>
      <c r="I218" s="2" t="s">
        <v>83</v>
      </c>
      <c r="J218" s="2" t="s">
        <v>41</v>
      </c>
      <c r="K218" s="2" t="s">
        <v>200</v>
      </c>
      <c r="L218" s="2" t="s">
        <v>201</v>
      </c>
      <c r="M218" s="2" t="s">
        <v>61</v>
      </c>
      <c r="N218" s="2" t="s">
        <v>62</v>
      </c>
      <c r="O218" s="2" t="s">
        <v>780</v>
      </c>
      <c r="P218" s="2" t="s">
        <v>79</v>
      </c>
      <c r="Q218" s="2" t="s">
        <v>41</v>
      </c>
      <c r="R218" s="2" t="n">
        <v>8</v>
      </c>
      <c r="S218" s="2" t="n">
        <v>1839.87</v>
      </c>
      <c r="T218" s="2" t="n">
        <v>0.25</v>
      </c>
      <c r="U218" s="2" t="str">
        <f aca="false">IF(ISBLANK(T218),"Yes","No")</f>
        <v>No</v>
      </c>
      <c r="V218" s="2" t="n">
        <f aca="false">IF(ISBLANK(T218),0,IF(ISNUMBER(T218),T218,VALUE(LEFT(T218,LEN(T218)-1))/100))</f>
        <v>0.25</v>
      </c>
      <c r="W218" s="2" t="str">
        <f aca="false">IF(AND(V218&gt;=0,V218&lt;=0.25),"Valid","Invalid")</f>
        <v>Valid</v>
      </c>
      <c r="X218" s="2" t="n">
        <v>11039.22</v>
      </c>
      <c r="Y218" s="2" t="n">
        <f aca="false">R218*S218*(1-V218)</f>
        <v>11039.22</v>
      </c>
      <c r="Z218" s="2" t="str">
        <f aca="false">IF(ABS(X218-Y218)&gt;1,"Mismatch","OK")</f>
        <v>OK</v>
      </c>
      <c r="AA218" s="2" t="n">
        <v>7642.91</v>
      </c>
      <c r="AB218" s="2" t="n">
        <v>3396.31</v>
      </c>
      <c r="AC218" s="2" t="n">
        <f aca="false">Y218-AA218</f>
        <v>3396.31</v>
      </c>
      <c r="AD218" s="2" t="str">
        <f aca="false">IF(ABS(AB218-AC218)&gt;1,"Mismatch","OK")</f>
        <v>OK</v>
      </c>
      <c r="AE218" s="4" t="n">
        <f aca="false">IF(Y218=0,0,AC218/Y218)</f>
        <v>0.307658512105022</v>
      </c>
      <c r="AF218" s="2" t="s">
        <v>175</v>
      </c>
      <c r="AG218" s="2" t="s">
        <v>123</v>
      </c>
      <c r="AH218" s="2" t="str">
        <f aca="false">IF(AND(AG218="Completed",AF218&lt;&gt;"Paid"),"Inconsistent","OK")</f>
        <v>OK</v>
      </c>
      <c r="AI218" s="2" t="n">
        <f aca="false">IF(OR(ISBLANK(B218),ISBLANK(C218)),"",C218-B218)</f>
        <v>5</v>
      </c>
      <c r="AJ218" s="2" t="str">
        <f aca="false">IF(AI218="","Unknown",IF(AI218&lt;0,"Invalid","OK"))</f>
        <v>OK</v>
      </c>
      <c r="AK218" s="2" t="str">
        <f aca="false">IF(ISBLANK(B218),"",TEXT(B218,"mmm"))</f>
        <v>Apr</v>
      </c>
      <c r="AL218" s="2" t="n">
        <f aca="false">IF(ISBLANK(B218),"",YEAR(B218))</f>
        <v>2025</v>
      </c>
      <c r="AM218" s="2" t="s">
        <v>41</v>
      </c>
      <c r="AN218" s="2" t="str">
        <f aca="false">IF(OR(W218="Invalid",AJ218="Invalid",AH218="Inconsistent",Z218="Mismatch",AD218="Mismatch",AM218="Yes",D218="Yes",E218="Yes"),"Invalid",IF(OR(J218="Yes",Q218="Yes",U218="Yes"),"Warning","Clean"))</f>
        <v>Clean</v>
      </c>
    </row>
    <row r="219" customFormat="false" ht="15" hidden="false" customHeight="false" outlineLevel="0" collapsed="false">
      <c r="A219" s="2" t="s">
        <v>781</v>
      </c>
      <c r="B219" s="3" t="n">
        <v>45748</v>
      </c>
      <c r="C219" s="3" t="n">
        <v>45755</v>
      </c>
      <c r="D219" s="2" t="s">
        <v>41</v>
      </c>
      <c r="E219" s="2" t="s">
        <v>41</v>
      </c>
      <c r="F219" s="2" t="s">
        <v>782</v>
      </c>
      <c r="G219" s="2" t="s">
        <v>109</v>
      </c>
      <c r="H219" s="2" t="s">
        <v>44</v>
      </c>
      <c r="I219" s="2" t="s">
        <v>58</v>
      </c>
      <c r="J219" s="2" t="s">
        <v>41</v>
      </c>
      <c r="K219" s="2" t="s">
        <v>59</v>
      </c>
      <c r="L219" s="2" t="s">
        <v>60</v>
      </c>
      <c r="M219" s="2" t="s">
        <v>61</v>
      </c>
      <c r="N219" s="2" t="s">
        <v>178</v>
      </c>
      <c r="O219" s="2" t="s">
        <v>783</v>
      </c>
      <c r="P219" s="2" t="s">
        <v>51</v>
      </c>
      <c r="Q219" s="2" t="s">
        <v>41</v>
      </c>
      <c r="R219" s="2" t="n">
        <v>5</v>
      </c>
      <c r="S219" s="2" t="n">
        <v>1021.28</v>
      </c>
      <c r="T219" s="2" t="n">
        <v>0.1</v>
      </c>
      <c r="U219" s="2" t="str">
        <f aca="false">IF(ISBLANK(T219),"Yes","No")</f>
        <v>No</v>
      </c>
      <c r="V219" s="2" t="n">
        <f aca="false">IF(ISBLANK(T219),0,IF(ISNUMBER(T219),T219,VALUE(LEFT(T219,LEN(T219)-1))/100))</f>
        <v>0.1</v>
      </c>
      <c r="W219" s="2" t="str">
        <f aca="false">IF(AND(V219&gt;=0,V219&lt;=0.25),"Valid","Invalid")</f>
        <v>Valid</v>
      </c>
      <c r="X219" s="2" t="n">
        <v>4595.76</v>
      </c>
      <c r="Y219" s="2" t="n">
        <f aca="false">R219*S219*(1-V219)</f>
        <v>4595.76</v>
      </c>
      <c r="Z219" s="2" t="str">
        <f aca="false">IF(ABS(X219-Y219)&gt;1,"Mismatch","OK")</f>
        <v>OK</v>
      </c>
      <c r="AA219" s="2" t="n">
        <v>3396.8</v>
      </c>
      <c r="AB219" s="2" t="n">
        <v>1198.96</v>
      </c>
      <c r="AC219" s="2" t="n">
        <f aca="false">Y219-AA219</f>
        <v>1198.96</v>
      </c>
      <c r="AD219" s="2" t="str">
        <f aca="false">IF(ABS(AB219-AC219)&gt;1,"Mismatch","OK")</f>
        <v>OK</v>
      </c>
      <c r="AE219" s="4" t="n">
        <f aca="false">IF(Y219=0,0,AC219/Y219)</f>
        <v>0.260883945201664</v>
      </c>
      <c r="AF219" s="2" t="s">
        <v>122</v>
      </c>
      <c r="AG219" s="2" t="s">
        <v>88</v>
      </c>
      <c r="AH219" s="2" t="str">
        <f aca="false">IF(AND(AG219="Completed",AF219&lt;&gt;"Paid"),"Inconsistent","OK")</f>
        <v>OK</v>
      </c>
      <c r="AI219" s="2" t="n">
        <f aca="false">IF(OR(ISBLANK(B219),ISBLANK(C219)),"",C219-B219)</f>
        <v>7</v>
      </c>
      <c r="AJ219" s="2" t="str">
        <f aca="false">IF(AI219="","Unknown",IF(AI219&lt;0,"Invalid","OK"))</f>
        <v>OK</v>
      </c>
      <c r="AK219" s="2" t="str">
        <f aca="false">IF(ISBLANK(B219),"",TEXT(B219,"mmm"))</f>
        <v>Apr</v>
      </c>
      <c r="AL219" s="2" t="n">
        <f aca="false">IF(ISBLANK(B219),"",YEAR(B219))</f>
        <v>2025</v>
      </c>
      <c r="AM219" s="2" t="s">
        <v>41</v>
      </c>
      <c r="AN219" s="2" t="str">
        <f aca="false">IF(OR(W219="Invalid",AJ219="Invalid",AH219="Inconsistent",Z219="Mismatch",AD219="Mismatch",AM219="Yes",D219="Yes",E219="Yes"),"Invalid",IF(OR(J219="Yes",Q219="Yes",U219="Yes"),"Warning","Clean"))</f>
        <v>Clean</v>
      </c>
    </row>
    <row r="220" customFormat="false" ht="15" hidden="false" customHeight="false" outlineLevel="0" collapsed="false">
      <c r="A220" s="2" t="s">
        <v>784</v>
      </c>
      <c r="B220" s="3" t="n">
        <v>45714</v>
      </c>
      <c r="C220" s="3" t="n">
        <v>45715</v>
      </c>
      <c r="D220" s="2" t="s">
        <v>41</v>
      </c>
      <c r="E220" s="2" t="s">
        <v>41</v>
      </c>
      <c r="F220" s="2" t="s">
        <v>785</v>
      </c>
      <c r="G220" s="2" t="s">
        <v>134</v>
      </c>
      <c r="H220" s="2" t="s">
        <v>110</v>
      </c>
      <c r="I220" s="2" t="s">
        <v>83</v>
      </c>
      <c r="J220" s="2" t="s">
        <v>41</v>
      </c>
      <c r="K220" s="2" t="s">
        <v>200</v>
      </c>
      <c r="L220" s="2" t="s">
        <v>201</v>
      </c>
      <c r="M220" s="2" t="s">
        <v>61</v>
      </c>
      <c r="N220" s="2" t="s">
        <v>178</v>
      </c>
      <c r="O220" s="2" t="s">
        <v>786</v>
      </c>
      <c r="P220" s="2" t="s">
        <v>79</v>
      </c>
      <c r="Q220" s="2" t="s">
        <v>41</v>
      </c>
      <c r="R220" s="2" t="n">
        <v>5</v>
      </c>
      <c r="S220" s="2" t="n">
        <v>258.28</v>
      </c>
      <c r="T220" s="2" t="n">
        <v>0</v>
      </c>
      <c r="U220" s="2" t="str">
        <f aca="false">IF(ISBLANK(T220),"Yes","No")</f>
        <v>No</v>
      </c>
      <c r="V220" s="2" t="n">
        <f aca="false">IF(ISBLANK(T220),0,IF(ISNUMBER(T220),T220,VALUE(LEFT(T220,LEN(T220)-1))/100))</f>
        <v>0</v>
      </c>
      <c r="W220" s="2" t="str">
        <f aca="false">IF(AND(V220&gt;=0,V220&lt;=0.25),"Valid","Invalid")</f>
        <v>Valid</v>
      </c>
      <c r="X220" s="2" t="n">
        <v>1291.4</v>
      </c>
      <c r="Y220" s="2" t="n">
        <f aca="false">R220*S220*(1-V220)</f>
        <v>1291.4</v>
      </c>
      <c r="Z220" s="2" t="str">
        <f aca="false">IF(ABS(X220-Y220)&gt;1,"Mismatch","OK")</f>
        <v>OK</v>
      </c>
      <c r="AA220" s="2" t="n">
        <v>756.93</v>
      </c>
      <c r="AB220" s="2" t="n">
        <v>534.47</v>
      </c>
      <c r="AC220" s="2" t="n">
        <f aca="false">Y220-AA220</f>
        <v>534.47</v>
      </c>
      <c r="AD220" s="2" t="str">
        <f aca="false">IF(ABS(AB220-AC220)&gt;1,"Mismatch","OK")</f>
        <v>OK</v>
      </c>
      <c r="AE220" s="4" t="n">
        <f aca="false">IF(Y220=0,0,AC220/Y220)</f>
        <v>0.413868669660833</v>
      </c>
      <c r="AF220" s="2" t="s">
        <v>52</v>
      </c>
      <c r="AG220" s="2" t="s">
        <v>53</v>
      </c>
      <c r="AH220" s="2" t="str">
        <f aca="false">IF(AND(AG220="Completed",AF220&lt;&gt;"Paid"),"Inconsistent","OK")</f>
        <v>OK</v>
      </c>
      <c r="AI220" s="2" t="n">
        <f aca="false">IF(OR(ISBLANK(B220),ISBLANK(C220)),"",C220-B220)</f>
        <v>1</v>
      </c>
      <c r="AJ220" s="2" t="str">
        <f aca="false">IF(AI220="","Unknown",IF(AI220&lt;0,"Invalid","OK"))</f>
        <v>OK</v>
      </c>
      <c r="AK220" s="2" t="str">
        <f aca="false">IF(ISBLANK(B220),"",TEXT(B220,"mmm"))</f>
        <v>Feb</v>
      </c>
      <c r="AL220" s="2" t="n">
        <f aca="false">IF(ISBLANK(B220),"",YEAR(B220))</f>
        <v>2025</v>
      </c>
      <c r="AM220" s="2" t="s">
        <v>41</v>
      </c>
      <c r="AN220" s="2" t="str">
        <f aca="false">IF(OR(W220="Invalid",AJ220="Invalid",AH220="Inconsistent",Z220="Mismatch",AD220="Mismatch",AM220="Yes",D220="Yes",E220="Yes"),"Invalid",IF(OR(J220="Yes",Q220="Yes",U220="Yes"),"Warning","Clean"))</f>
        <v>Clean</v>
      </c>
    </row>
    <row r="221" customFormat="false" ht="15" hidden="false" customHeight="false" outlineLevel="0" collapsed="false">
      <c r="A221" s="2" t="s">
        <v>787</v>
      </c>
      <c r="B221" s="3" t="n">
        <v>45461</v>
      </c>
      <c r="C221" s="3" t="n">
        <v>45462</v>
      </c>
      <c r="D221" s="2" t="s">
        <v>41</v>
      </c>
      <c r="E221" s="2" t="s">
        <v>41</v>
      </c>
      <c r="F221" s="2" t="s">
        <v>788</v>
      </c>
      <c r="G221" s="2" t="s">
        <v>138</v>
      </c>
      <c r="H221" s="2" t="s">
        <v>44</v>
      </c>
      <c r="I221" s="2" t="s">
        <v>58</v>
      </c>
      <c r="J221" s="2" t="s">
        <v>41</v>
      </c>
      <c r="K221" s="2" t="s">
        <v>165</v>
      </c>
      <c r="L221" s="2" t="s">
        <v>166</v>
      </c>
      <c r="M221" s="2" t="s">
        <v>94</v>
      </c>
      <c r="N221" s="2" t="s">
        <v>296</v>
      </c>
      <c r="O221" s="2" t="s">
        <v>789</v>
      </c>
      <c r="P221" s="2" t="s">
        <v>70</v>
      </c>
      <c r="Q221" s="2" t="s">
        <v>41</v>
      </c>
      <c r="R221" s="2" t="n">
        <v>2</v>
      </c>
      <c r="S221" s="2" t="n">
        <v>121.49</v>
      </c>
      <c r="T221" s="2" t="s">
        <v>790</v>
      </c>
      <c r="U221" s="2" t="str">
        <f aca="false">IF(ISBLANK(T221),"Yes","No")</f>
        <v>No</v>
      </c>
      <c r="V221" s="2" t="n">
        <f aca="false">IF(ISBLANK(T221),0,IF(ISNUMBER(T221),T221,VALUE(LEFT(T221,LEN(T221)-1))/100))</f>
        <v>0.85</v>
      </c>
      <c r="W221" s="2" t="str">
        <f aca="false">IF(AND(V221&gt;=0,V221&lt;=0.25),"Valid","Invalid")</f>
        <v>Invalid</v>
      </c>
      <c r="X221" s="2" t="n">
        <v>242.98</v>
      </c>
      <c r="Y221" s="2" t="n">
        <f aca="false">R221*S221*(1-V221)</f>
        <v>36.447</v>
      </c>
      <c r="Z221" s="2" t="str">
        <f aca="false">IF(ABS(X221-Y221)&gt;1,"Mismatch","OK")</f>
        <v>Mismatch</v>
      </c>
      <c r="AA221" s="2" t="n">
        <v>161.42</v>
      </c>
      <c r="AB221" s="2" t="n">
        <v>81.56</v>
      </c>
      <c r="AC221" s="2" t="n">
        <f aca="false">Y221-AA221</f>
        <v>-124.973</v>
      </c>
      <c r="AD221" s="2" t="str">
        <f aca="false">IF(ABS(AB221-AC221)&gt;1,"Mismatch","OK")</f>
        <v>Mismatch</v>
      </c>
      <c r="AE221" s="4" t="n">
        <f aca="false">IF(Y221=0,0,AC221/Y221)</f>
        <v>-3.42889675419102</v>
      </c>
      <c r="AF221" s="2" t="s">
        <v>52</v>
      </c>
      <c r="AG221" s="2" t="s">
        <v>53</v>
      </c>
      <c r="AH221" s="2" t="str">
        <f aca="false">IF(AND(AG221="Completed",AF221&lt;&gt;"Paid"),"Inconsistent","OK")</f>
        <v>OK</v>
      </c>
      <c r="AI221" s="2" t="n">
        <f aca="false">IF(OR(ISBLANK(B221),ISBLANK(C221)),"",C221-B221)</f>
        <v>1</v>
      </c>
      <c r="AJ221" s="2" t="str">
        <f aca="false">IF(AI221="","Unknown",IF(AI221&lt;0,"Invalid","OK"))</f>
        <v>OK</v>
      </c>
      <c r="AK221" s="2" t="str">
        <f aca="false">IF(ISBLANK(B221),"",TEXT(B221,"mmm"))</f>
        <v>Jun</v>
      </c>
      <c r="AL221" s="2" t="n">
        <f aca="false">IF(ISBLANK(B221),"",YEAR(B221))</f>
        <v>2024</v>
      </c>
      <c r="AM221" s="2" t="s">
        <v>41</v>
      </c>
      <c r="AN221" s="2" t="str">
        <f aca="false">IF(OR(W221="Invalid",AJ221="Invalid",AH221="Inconsistent",Z221="Mismatch",AD221="Mismatch",AM221="Yes",D221="Yes",E221="Yes"),"Invalid",IF(OR(J221="Yes",Q221="Yes",U221="Yes"),"Warning","Clean"))</f>
        <v>Invalid</v>
      </c>
    </row>
    <row r="222" customFormat="false" ht="15" hidden="false" customHeight="false" outlineLevel="0" collapsed="false">
      <c r="A222" s="2" t="s">
        <v>791</v>
      </c>
      <c r="B222" s="3" t="n">
        <v>45538</v>
      </c>
      <c r="C222" s="3" t="n">
        <v>45538</v>
      </c>
      <c r="D222" s="2" t="s">
        <v>41</v>
      </c>
      <c r="E222" s="2" t="s">
        <v>41</v>
      </c>
      <c r="F222" s="2" t="s">
        <v>792</v>
      </c>
      <c r="G222" s="2" t="s">
        <v>152</v>
      </c>
      <c r="H222" s="2" t="s">
        <v>44</v>
      </c>
      <c r="I222" s="2" t="s">
        <v>74</v>
      </c>
      <c r="J222" s="2" t="s">
        <v>41</v>
      </c>
      <c r="K222" s="2" t="s">
        <v>205</v>
      </c>
      <c r="L222" s="2" t="s">
        <v>206</v>
      </c>
      <c r="M222" s="2" t="s">
        <v>48</v>
      </c>
      <c r="N222" s="2" t="s">
        <v>144</v>
      </c>
      <c r="O222" s="2" t="s">
        <v>793</v>
      </c>
      <c r="P222" s="2" t="s">
        <v>70</v>
      </c>
      <c r="Q222" s="2" t="s">
        <v>41</v>
      </c>
      <c r="R222" s="2" t="n">
        <v>4</v>
      </c>
      <c r="S222" s="2" t="n">
        <v>2810.17</v>
      </c>
      <c r="T222" s="2" t="n">
        <v>0.15</v>
      </c>
      <c r="U222" s="2" t="str">
        <f aca="false">IF(ISBLANK(T222),"Yes","No")</f>
        <v>No</v>
      </c>
      <c r="V222" s="2" t="n">
        <f aca="false">IF(ISBLANK(T222),0,IF(ISNUMBER(T222),T222,VALUE(LEFT(T222,LEN(T222)-1))/100))</f>
        <v>0.15</v>
      </c>
      <c r="W222" s="2" t="str">
        <f aca="false">IF(AND(V222&gt;=0,V222&lt;=0.25),"Valid","Invalid")</f>
        <v>Valid</v>
      </c>
      <c r="X222" s="2" t="n">
        <v>9554.58</v>
      </c>
      <c r="Y222" s="2" t="n">
        <f aca="false">R222*S222*(1-V222)</f>
        <v>9554.578</v>
      </c>
      <c r="Z222" s="2" t="str">
        <f aca="false">IF(ABS(X222-Y222)&gt;1,"Mismatch","OK")</f>
        <v>OK</v>
      </c>
      <c r="AA222" s="2" t="n">
        <v>6068.47</v>
      </c>
      <c r="AB222" s="2" t="n">
        <v>3486.11</v>
      </c>
      <c r="AC222" s="2" t="n">
        <f aca="false">Y222-AA222</f>
        <v>3486.108</v>
      </c>
      <c r="AD222" s="2" t="str">
        <f aca="false">IF(ABS(AB222-AC222)&gt;1,"Mismatch","OK")</f>
        <v>OK</v>
      </c>
      <c r="AE222" s="4" t="n">
        <f aca="false">IF(Y222=0,0,AC222/Y222)</f>
        <v>0.36486258210462</v>
      </c>
      <c r="AF222" s="2" t="s">
        <v>122</v>
      </c>
      <c r="AG222" s="2" t="s">
        <v>88</v>
      </c>
      <c r="AH222" s="2" t="str">
        <f aca="false">IF(AND(AG222="Completed",AF222&lt;&gt;"Paid"),"Inconsistent","OK")</f>
        <v>OK</v>
      </c>
      <c r="AI222" s="2" t="n">
        <f aca="false">IF(OR(ISBLANK(B222),ISBLANK(C222)),"",C222-B222)</f>
        <v>0</v>
      </c>
      <c r="AJ222" s="2" t="str">
        <f aca="false">IF(AI222="","Unknown",IF(AI222&lt;0,"Invalid","OK"))</f>
        <v>OK</v>
      </c>
      <c r="AK222" s="2" t="str">
        <f aca="false">IF(ISBLANK(B222),"",TEXT(B222,"mmm"))</f>
        <v>Sep</v>
      </c>
      <c r="AL222" s="2" t="n">
        <f aca="false">IF(ISBLANK(B222),"",YEAR(B222))</f>
        <v>2024</v>
      </c>
      <c r="AM222" s="2" t="s">
        <v>41</v>
      </c>
      <c r="AN222" s="2" t="str">
        <f aca="false">IF(OR(W222="Invalid",AJ222="Invalid",AH222="Inconsistent",Z222="Mismatch",AD222="Mismatch",AM222="Yes",D222="Yes",E222="Yes"),"Invalid",IF(OR(J222="Yes",Q222="Yes",U222="Yes"),"Warning","Clean"))</f>
        <v>Clean</v>
      </c>
    </row>
    <row r="223" customFormat="false" ht="15" hidden="false" customHeight="false" outlineLevel="0" collapsed="false">
      <c r="A223" s="2" t="s">
        <v>794</v>
      </c>
      <c r="B223" s="3" t="n">
        <v>45669</v>
      </c>
      <c r="C223" s="3" t="n">
        <v>45672</v>
      </c>
      <c r="D223" s="2" t="s">
        <v>41</v>
      </c>
      <c r="E223" s="2" t="s">
        <v>41</v>
      </c>
      <c r="F223" s="2" t="s">
        <v>795</v>
      </c>
      <c r="G223" s="2" t="s">
        <v>56</v>
      </c>
      <c r="H223" s="2" t="s">
        <v>110</v>
      </c>
      <c r="I223" s="2" t="s">
        <v>74</v>
      </c>
      <c r="J223" s="2" t="s">
        <v>41</v>
      </c>
      <c r="K223" s="2" t="s">
        <v>195</v>
      </c>
      <c r="L223" s="2" t="s">
        <v>196</v>
      </c>
      <c r="M223" s="2" t="s">
        <v>61</v>
      </c>
      <c r="N223" s="2" t="s">
        <v>86</v>
      </c>
      <c r="O223" s="2" t="s">
        <v>796</v>
      </c>
      <c r="P223" s="2" t="s">
        <v>64</v>
      </c>
      <c r="Q223" s="2" t="s">
        <v>41</v>
      </c>
      <c r="R223" s="2" t="n">
        <v>4</v>
      </c>
      <c r="S223" s="2" t="n">
        <v>1531.53</v>
      </c>
      <c r="T223" s="2" t="n">
        <v>0.2</v>
      </c>
      <c r="U223" s="2" t="str">
        <f aca="false">IF(ISBLANK(T223),"Yes","No")</f>
        <v>No</v>
      </c>
      <c r="V223" s="2" t="n">
        <f aca="false">IF(ISBLANK(T223),0,IF(ISNUMBER(T223),T223,VALUE(LEFT(T223,LEN(T223)-1))/100))</f>
        <v>0.2</v>
      </c>
      <c r="W223" s="2" t="str">
        <f aca="false">IF(AND(V223&gt;=0,V223&lt;=0.25),"Valid","Invalid")</f>
        <v>Valid</v>
      </c>
      <c r="X223" s="2" t="n">
        <v>4900.9</v>
      </c>
      <c r="Y223" s="2" t="n">
        <f aca="false">R223*S223*(1-V223)</f>
        <v>4900.896</v>
      </c>
      <c r="Z223" s="2" t="str">
        <f aca="false">IF(ABS(X223-Y223)&gt;1,"Mismatch","OK")</f>
        <v>OK</v>
      </c>
      <c r="AA223" s="2" t="n">
        <v>3552.69</v>
      </c>
      <c r="AB223" s="2" t="n">
        <v>1348.21</v>
      </c>
      <c r="AC223" s="2" t="n">
        <f aca="false">Y223-AA223</f>
        <v>1348.206</v>
      </c>
      <c r="AD223" s="2" t="str">
        <f aca="false">IF(ABS(AB223-AC223)&gt;1,"Mismatch","OK")</f>
        <v>OK</v>
      </c>
      <c r="AE223" s="4" t="n">
        <f aca="false">IF(Y223=0,0,AC223/Y223)</f>
        <v>0.275093778770249</v>
      </c>
      <c r="AF223" s="2" t="s">
        <v>52</v>
      </c>
      <c r="AG223" s="2" t="s">
        <v>53</v>
      </c>
      <c r="AH223" s="2" t="str">
        <f aca="false">IF(AND(AG223="Completed",AF223&lt;&gt;"Paid"),"Inconsistent","OK")</f>
        <v>OK</v>
      </c>
      <c r="AI223" s="2" t="n">
        <f aca="false">IF(OR(ISBLANK(B223),ISBLANK(C223)),"",C223-B223)</f>
        <v>3</v>
      </c>
      <c r="AJ223" s="2" t="str">
        <f aca="false">IF(AI223="","Unknown",IF(AI223&lt;0,"Invalid","OK"))</f>
        <v>OK</v>
      </c>
      <c r="AK223" s="2" t="str">
        <f aca="false">IF(ISBLANK(B223),"",TEXT(B223,"mmm"))</f>
        <v>Jan</v>
      </c>
      <c r="AL223" s="2" t="n">
        <f aca="false">IF(ISBLANK(B223),"",YEAR(B223))</f>
        <v>2025</v>
      </c>
      <c r="AM223" s="2" t="s">
        <v>41</v>
      </c>
      <c r="AN223" s="2" t="str">
        <f aca="false">IF(OR(W223="Invalid",AJ223="Invalid",AH223="Inconsistent",Z223="Mismatch",AD223="Mismatch",AM223="Yes",D223="Yes",E223="Yes"),"Invalid",IF(OR(J223="Yes",Q223="Yes",U223="Yes"),"Warning","Clean"))</f>
        <v>Clean</v>
      </c>
    </row>
    <row r="224" customFormat="false" ht="15" hidden="false" customHeight="false" outlineLevel="0" collapsed="false">
      <c r="A224" s="2" t="s">
        <v>797</v>
      </c>
      <c r="B224" s="3" t="n">
        <v>45776</v>
      </c>
      <c r="C224" s="3" t="n">
        <v>45779</v>
      </c>
      <c r="D224" s="2" t="s">
        <v>41</v>
      </c>
      <c r="E224" s="2" t="s">
        <v>41</v>
      </c>
      <c r="F224" s="2" t="s">
        <v>798</v>
      </c>
      <c r="G224" s="2" t="s">
        <v>91</v>
      </c>
      <c r="H224" s="2" t="s">
        <v>57</v>
      </c>
      <c r="I224" s="2" t="s">
        <v>83</v>
      </c>
      <c r="J224" s="2" t="s">
        <v>41</v>
      </c>
      <c r="K224" s="2" t="s">
        <v>210</v>
      </c>
      <c r="L224" s="2" t="s">
        <v>211</v>
      </c>
      <c r="M224" s="2" t="s">
        <v>48</v>
      </c>
      <c r="N224" s="2" t="s">
        <v>144</v>
      </c>
      <c r="O224" s="2" t="s">
        <v>799</v>
      </c>
      <c r="P224" s="2" t="s">
        <v>70</v>
      </c>
      <c r="Q224" s="2" t="s">
        <v>41</v>
      </c>
      <c r="R224" s="2" t="n">
        <v>6</v>
      </c>
      <c r="S224" s="2" t="n">
        <v>4308.09</v>
      </c>
      <c r="T224" s="2" t="n">
        <v>0</v>
      </c>
      <c r="U224" s="2" t="str">
        <f aca="false">IF(ISBLANK(T224),"Yes","No")</f>
        <v>No</v>
      </c>
      <c r="V224" s="2" t="n">
        <f aca="false">IF(ISBLANK(T224),0,IF(ISNUMBER(T224),T224,VALUE(LEFT(T224,LEN(T224)-1))/100))</f>
        <v>0</v>
      </c>
      <c r="W224" s="2" t="str">
        <f aca="false">IF(AND(V224&gt;=0,V224&lt;=0.25),"Valid","Invalid")</f>
        <v>Valid</v>
      </c>
      <c r="X224" s="2" t="n">
        <v>25848.54</v>
      </c>
      <c r="Y224" s="2" t="n">
        <f aca="false">R224*S224*(1-V224)</f>
        <v>25848.54</v>
      </c>
      <c r="Z224" s="2" t="str">
        <f aca="false">IF(ABS(X224-Y224)&gt;1,"Mismatch","OK")</f>
        <v>OK</v>
      </c>
      <c r="AA224" s="2" t="n">
        <v>17729.09</v>
      </c>
      <c r="AB224" s="2" t="n">
        <v>8119.45</v>
      </c>
      <c r="AC224" s="2" t="n">
        <f aca="false">Y224-AA224</f>
        <v>8119.45</v>
      </c>
      <c r="AD224" s="2" t="str">
        <f aca="false">IF(ABS(AB224-AC224)&gt;1,"Mismatch","OK")</f>
        <v>OK</v>
      </c>
      <c r="AE224" s="4" t="n">
        <f aca="false">IF(Y224=0,0,AC224/Y224)</f>
        <v>0.314116387231155</v>
      </c>
      <c r="AF224" s="2" t="s">
        <v>52</v>
      </c>
      <c r="AG224" s="2" t="s">
        <v>53</v>
      </c>
      <c r="AH224" s="2" t="str">
        <f aca="false">IF(AND(AG224="Completed",AF224&lt;&gt;"Paid"),"Inconsistent","OK")</f>
        <v>OK</v>
      </c>
      <c r="AI224" s="2" t="n">
        <f aca="false">IF(OR(ISBLANK(B224),ISBLANK(C224)),"",C224-B224)</f>
        <v>3</v>
      </c>
      <c r="AJ224" s="2" t="str">
        <f aca="false">IF(AI224="","Unknown",IF(AI224&lt;0,"Invalid","OK"))</f>
        <v>OK</v>
      </c>
      <c r="AK224" s="2" t="str">
        <f aca="false">IF(ISBLANK(B224),"",TEXT(B224,"mmm"))</f>
        <v>Apr</v>
      </c>
      <c r="AL224" s="2" t="n">
        <f aca="false">IF(ISBLANK(B224),"",YEAR(B224))</f>
        <v>2025</v>
      </c>
      <c r="AM224" s="2" t="s">
        <v>41</v>
      </c>
      <c r="AN224" s="2" t="str">
        <f aca="false">IF(OR(W224="Invalid",AJ224="Invalid",AH224="Inconsistent",Z224="Mismatch",AD224="Mismatch",AM224="Yes",D224="Yes",E224="Yes"),"Invalid",IF(OR(J224="Yes",Q224="Yes",U224="Yes"),"Warning","Clean"))</f>
        <v>Clean</v>
      </c>
    </row>
    <row r="225" customFormat="false" ht="15" hidden="false" customHeight="false" outlineLevel="0" collapsed="false">
      <c r="A225" s="2" t="s">
        <v>800</v>
      </c>
      <c r="B225" s="3" t="n">
        <v>45707</v>
      </c>
      <c r="C225" s="3" t="n">
        <v>45714</v>
      </c>
      <c r="D225" s="2" t="s">
        <v>41</v>
      </c>
      <c r="E225" s="2" t="s">
        <v>41</v>
      </c>
      <c r="F225" s="2" t="s">
        <v>801</v>
      </c>
      <c r="G225" s="2" t="s">
        <v>56</v>
      </c>
      <c r="H225" s="2" t="s">
        <v>110</v>
      </c>
      <c r="I225" s="2" t="s">
        <v>83</v>
      </c>
      <c r="J225" s="2" t="s">
        <v>41</v>
      </c>
      <c r="K225" s="2" t="s">
        <v>84</v>
      </c>
      <c r="L225" s="2" t="s">
        <v>85</v>
      </c>
      <c r="M225" s="2" t="s">
        <v>61</v>
      </c>
      <c r="N225" s="2" t="s">
        <v>77</v>
      </c>
      <c r="O225" s="2" t="s">
        <v>802</v>
      </c>
      <c r="P225" s="2" t="s">
        <v>70</v>
      </c>
      <c r="Q225" s="2" t="s">
        <v>41</v>
      </c>
      <c r="R225" s="2" t="n">
        <v>3</v>
      </c>
      <c r="S225" s="2" t="n">
        <v>490.3</v>
      </c>
      <c r="T225" s="2" t="n">
        <v>0.2</v>
      </c>
      <c r="U225" s="2" t="str">
        <f aca="false">IF(ISBLANK(T225),"Yes","No")</f>
        <v>No</v>
      </c>
      <c r="V225" s="2" t="n">
        <f aca="false">IF(ISBLANK(T225),0,IF(ISNUMBER(T225),T225,VALUE(LEFT(T225,LEN(T225)-1))/100))</f>
        <v>0.2</v>
      </c>
      <c r="W225" s="2" t="str">
        <f aca="false">IF(AND(V225&gt;=0,V225&lt;=0.25),"Valid","Invalid")</f>
        <v>Valid</v>
      </c>
      <c r="X225" s="2" t="n">
        <v>1176.72</v>
      </c>
      <c r="Y225" s="2" t="n">
        <f aca="false">R225*S225*(1-V225)</f>
        <v>1176.72</v>
      </c>
      <c r="Z225" s="2" t="str">
        <f aca="false">IF(ABS(X225-Y225)&gt;1,"Mismatch","OK")</f>
        <v>OK</v>
      </c>
      <c r="AA225" s="2" t="n">
        <v>654.33</v>
      </c>
      <c r="AB225" s="2" t="n">
        <v>522.39</v>
      </c>
      <c r="AC225" s="2" t="n">
        <f aca="false">Y225-AA225</f>
        <v>522.39</v>
      </c>
      <c r="AD225" s="2" t="str">
        <f aca="false">IF(ABS(AB225-AC225)&gt;1,"Mismatch","OK")</f>
        <v>OK</v>
      </c>
      <c r="AE225" s="4" t="n">
        <f aca="false">IF(Y225=0,0,AC225/Y225)</f>
        <v>0.443937385274322</v>
      </c>
      <c r="AF225" s="2" t="s">
        <v>131</v>
      </c>
      <c r="AG225" s="2" t="s">
        <v>123</v>
      </c>
      <c r="AH225" s="2" t="str">
        <f aca="false">IF(AND(AG225="Completed",AF225&lt;&gt;"Paid"),"Inconsistent","OK")</f>
        <v>OK</v>
      </c>
      <c r="AI225" s="2" t="n">
        <f aca="false">IF(OR(ISBLANK(B225),ISBLANK(C225)),"",C225-B225)</f>
        <v>7</v>
      </c>
      <c r="AJ225" s="2" t="str">
        <f aca="false">IF(AI225="","Unknown",IF(AI225&lt;0,"Invalid","OK"))</f>
        <v>OK</v>
      </c>
      <c r="AK225" s="2" t="str">
        <f aca="false">IF(ISBLANK(B225),"",TEXT(B225,"mmm"))</f>
        <v>Feb</v>
      </c>
      <c r="AL225" s="2" t="n">
        <f aca="false">IF(ISBLANK(B225),"",YEAR(B225))</f>
        <v>2025</v>
      </c>
      <c r="AM225" s="2" t="s">
        <v>41</v>
      </c>
      <c r="AN225" s="2" t="str">
        <f aca="false">IF(OR(W225="Invalid",AJ225="Invalid",AH225="Inconsistent",Z225="Mismatch",AD225="Mismatch",AM225="Yes",D225="Yes",E225="Yes"),"Invalid",IF(OR(J225="Yes",Q225="Yes",U225="Yes"),"Warning","Clean"))</f>
        <v>Clean</v>
      </c>
    </row>
    <row r="226" customFormat="false" ht="15" hidden="false" customHeight="false" outlineLevel="0" collapsed="false">
      <c r="A226" s="2" t="s">
        <v>803</v>
      </c>
      <c r="B226" s="3" t="n">
        <v>45932</v>
      </c>
      <c r="C226" s="3" t="n">
        <v>45938</v>
      </c>
      <c r="D226" s="2" t="s">
        <v>41</v>
      </c>
      <c r="E226" s="2" t="s">
        <v>41</v>
      </c>
      <c r="F226" s="2" t="s">
        <v>804</v>
      </c>
      <c r="G226" s="2" t="s">
        <v>67</v>
      </c>
      <c r="H226" s="2" t="s">
        <v>57</v>
      </c>
      <c r="I226" s="2" t="s">
        <v>45</v>
      </c>
      <c r="J226" s="2" t="s">
        <v>41</v>
      </c>
      <c r="K226" s="2" t="s">
        <v>142</v>
      </c>
      <c r="L226" s="2" t="s">
        <v>143</v>
      </c>
      <c r="M226" s="2" t="s">
        <v>61</v>
      </c>
      <c r="N226" s="2" t="s">
        <v>77</v>
      </c>
      <c r="O226" s="2" t="s">
        <v>805</v>
      </c>
      <c r="P226" s="2" t="s">
        <v>79</v>
      </c>
      <c r="Q226" s="2" t="s">
        <v>41</v>
      </c>
      <c r="R226" s="2" t="n">
        <v>4</v>
      </c>
      <c r="S226" s="2" t="n">
        <v>3944.64</v>
      </c>
      <c r="T226" s="2" t="n">
        <v>0.25</v>
      </c>
      <c r="U226" s="2" t="str">
        <f aca="false">IF(ISBLANK(T226),"Yes","No")</f>
        <v>No</v>
      </c>
      <c r="V226" s="2" t="n">
        <f aca="false">IF(ISBLANK(T226),0,IF(ISNUMBER(T226),T226,VALUE(LEFT(T226,LEN(T226)-1))/100))</f>
        <v>0.25</v>
      </c>
      <c r="W226" s="2" t="str">
        <f aca="false">IF(AND(V226&gt;=0,V226&lt;=0.25),"Valid","Invalid")</f>
        <v>Valid</v>
      </c>
      <c r="X226" s="2" t="n">
        <v>11833.92</v>
      </c>
      <c r="Y226" s="2" t="n">
        <f aca="false">R226*S226*(1-V226)</f>
        <v>11833.92</v>
      </c>
      <c r="Z226" s="2" t="str">
        <f aca="false">IF(ABS(X226-Y226)&gt;1,"Mismatch","OK")</f>
        <v>OK</v>
      </c>
      <c r="AA226" s="2" t="n">
        <v>6682.92</v>
      </c>
      <c r="AB226" s="2" t="n">
        <v>5151</v>
      </c>
      <c r="AC226" s="2" t="n">
        <f aca="false">Y226-AA226</f>
        <v>5151</v>
      </c>
      <c r="AD226" s="2" t="str">
        <f aca="false">IF(ABS(AB226-AC226)&gt;1,"Mismatch","OK")</f>
        <v>OK</v>
      </c>
      <c r="AE226" s="4" t="n">
        <f aca="false">IF(Y226=0,0,AC226/Y226)</f>
        <v>0.435274194856818</v>
      </c>
      <c r="AF226" s="2" t="s">
        <v>52</v>
      </c>
      <c r="AG226" s="2" t="s">
        <v>88</v>
      </c>
      <c r="AH226" s="2" t="str">
        <f aca="false">IF(AND(AG226="Completed",AF226&lt;&gt;"Paid"),"Inconsistent","OK")</f>
        <v>OK</v>
      </c>
      <c r="AI226" s="2" t="n">
        <f aca="false">IF(OR(ISBLANK(B226),ISBLANK(C226)),"",C226-B226)</f>
        <v>6</v>
      </c>
      <c r="AJ226" s="2" t="str">
        <f aca="false">IF(AI226="","Unknown",IF(AI226&lt;0,"Invalid","OK"))</f>
        <v>OK</v>
      </c>
      <c r="AK226" s="2" t="str">
        <f aca="false">IF(ISBLANK(B226),"",TEXT(B226,"mmm"))</f>
        <v>Oct</v>
      </c>
      <c r="AL226" s="2" t="n">
        <f aca="false">IF(ISBLANK(B226),"",YEAR(B226))</f>
        <v>2025</v>
      </c>
      <c r="AM226" s="2" t="s">
        <v>226</v>
      </c>
      <c r="AN226" s="2" t="str">
        <f aca="false">IF(OR(W226="Invalid",AJ226="Invalid",AH226="Inconsistent",Z226="Mismatch",AD226="Mismatch",AM226="Yes",D226="Yes",E226="Yes"),"Invalid",IF(OR(J226="Yes",Q226="Yes",U226="Yes"),"Warning","Clean"))</f>
        <v>Invalid</v>
      </c>
    </row>
    <row r="227" customFormat="false" ht="15" hidden="false" customHeight="false" outlineLevel="0" collapsed="false">
      <c r="A227" s="2" t="s">
        <v>806</v>
      </c>
      <c r="B227" s="3" t="n">
        <v>45537</v>
      </c>
      <c r="C227" s="3" t="n">
        <v>45545</v>
      </c>
      <c r="D227" s="2" t="s">
        <v>41</v>
      </c>
      <c r="E227" s="2" t="s">
        <v>41</v>
      </c>
      <c r="F227" s="2" t="s">
        <v>807</v>
      </c>
      <c r="G227" s="2" t="s">
        <v>56</v>
      </c>
      <c r="H227" s="2" t="s">
        <v>110</v>
      </c>
      <c r="I227" s="2" t="s">
        <v>83</v>
      </c>
      <c r="J227" s="2" t="s">
        <v>41</v>
      </c>
      <c r="K227" s="2" t="s">
        <v>210</v>
      </c>
      <c r="L227" s="2" t="s">
        <v>211</v>
      </c>
      <c r="M227" s="2" t="s">
        <v>94</v>
      </c>
      <c r="N227" s="2" t="s">
        <v>191</v>
      </c>
      <c r="O227" s="2" t="s">
        <v>808</v>
      </c>
      <c r="P227" s="2" t="s">
        <v>79</v>
      </c>
      <c r="Q227" s="2" t="s">
        <v>41</v>
      </c>
      <c r="R227" s="2" t="n">
        <v>6</v>
      </c>
      <c r="S227" s="2" t="n">
        <v>1032.47</v>
      </c>
      <c r="T227" s="2" t="n">
        <v>0.15</v>
      </c>
      <c r="U227" s="2" t="str">
        <f aca="false">IF(ISBLANK(T227),"Yes","No")</f>
        <v>No</v>
      </c>
      <c r="V227" s="2" t="n">
        <f aca="false">IF(ISBLANK(T227),0,IF(ISNUMBER(T227),T227,VALUE(LEFT(T227,LEN(T227)-1))/100))</f>
        <v>0.15</v>
      </c>
      <c r="W227" s="2" t="str">
        <f aca="false">IF(AND(V227&gt;=0,V227&lt;=0.25),"Valid","Invalid")</f>
        <v>Valid</v>
      </c>
      <c r="X227" s="2" t="n">
        <v>5265.6</v>
      </c>
      <c r="Y227" s="2" t="n">
        <f aca="false">R227*S227*(1-V227)</f>
        <v>5265.597</v>
      </c>
      <c r="Z227" s="2" t="str">
        <f aca="false">IF(ABS(X227-Y227)&gt;1,"Mismatch","OK")</f>
        <v>OK</v>
      </c>
      <c r="AA227" s="2" t="n">
        <v>4293.11</v>
      </c>
      <c r="AB227" s="2" t="n">
        <v>787.57</v>
      </c>
      <c r="AC227" s="2" t="n">
        <f aca="false">Y227-AA227</f>
        <v>972.487</v>
      </c>
      <c r="AD227" s="2" t="str">
        <f aca="false">IF(ABS(AB227-AC227)&gt;1,"Mismatch","OK")</f>
        <v>Mismatch</v>
      </c>
      <c r="AE227" s="4" t="n">
        <f aca="false">IF(Y227=0,0,AC227/Y227)</f>
        <v>0.18468694053115</v>
      </c>
      <c r="AF227" s="2" t="s">
        <v>52</v>
      </c>
      <c r="AG227" s="2" t="s">
        <v>53</v>
      </c>
      <c r="AH227" s="2" t="str">
        <f aca="false">IF(AND(AG227="Completed",AF227&lt;&gt;"Paid"),"Inconsistent","OK")</f>
        <v>OK</v>
      </c>
      <c r="AI227" s="2" t="n">
        <f aca="false">IF(OR(ISBLANK(B227),ISBLANK(C227)),"",C227-B227)</f>
        <v>8</v>
      </c>
      <c r="AJ227" s="2" t="str">
        <f aca="false">IF(AI227="","Unknown",IF(AI227&lt;0,"Invalid","OK"))</f>
        <v>OK</v>
      </c>
      <c r="AK227" s="2" t="str">
        <f aca="false">IF(ISBLANK(B227),"",TEXT(B227,"mmm"))</f>
        <v>Sep</v>
      </c>
      <c r="AL227" s="2" t="n">
        <f aca="false">IF(ISBLANK(B227),"",YEAR(B227))</f>
        <v>2024</v>
      </c>
      <c r="AM227" s="2" t="s">
        <v>41</v>
      </c>
      <c r="AN227" s="2" t="str">
        <f aca="false">IF(OR(W227="Invalid",AJ227="Invalid",AH227="Inconsistent",Z227="Mismatch",AD227="Mismatch",AM227="Yes",D227="Yes",E227="Yes"),"Invalid",IF(OR(J227="Yes",Q227="Yes",U227="Yes"),"Warning","Clean"))</f>
        <v>Invalid</v>
      </c>
    </row>
    <row r="228" customFormat="false" ht="15" hidden="false" customHeight="false" outlineLevel="0" collapsed="false">
      <c r="A228" s="2" t="s">
        <v>809</v>
      </c>
      <c r="B228" s="3" t="n">
        <v>45757</v>
      </c>
      <c r="C228" s="3" t="n">
        <v>45762</v>
      </c>
      <c r="D228" s="2" t="s">
        <v>41</v>
      </c>
      <c r="E228" s="2" t="s">
        <v>41</v>
      </c>
      <c r="F228" s="2" t="s">
        <v>810</v>
      </c>
      <c r="G228" s="2" t="s">
        <v>182</v>
      </c>
      <c r="H228" s="2" t="s">
        <v>115</v>
      </c>
      <c r="I228" s="2" t="s">
        <v>225</v>
      </c>
      <c r="J228" s="2" t="s">
        <v>226</v>
      </c>
      <c r="K228" s="2" t="s">
        <v>205</v>
      </c>
      <c r="L228" s="2" t="s">
        <v>206</v>
      </c>
      <c r="M228" s="2" t="s">
        <v>94</v>
      </c>
      <c r="N228" s="2" t="s">
        <v>100</v>
      </c>
      <c r="O228" s="2" t="s">
        <v>811</v>
      </c>
      <c r="P228" s="2" t="s">
        <v>64</v>
      </c>
      <c r="Q228" s="2" t="s">
        <v>41</v>
      </c>
      <c r="R228" s="2" t="n">
        <v>1</v>
      </c>
      <c r="S228" s="2" t="n">
        <v>2208.27</v>
      </c>
      <c r="T228" s="2" t="n">
        <v>0.1</v>
      </c>
      <c r="U228" s="2" t="str">
        <f aca="false">IF(ISBLANK(T228),"Yes","No")</f>
        <v>No</v>
      </c>
      <c r="V228" s="2" t="n">
        <f aca="false">IF(ISBLANK(T228),0,IF(ISNUMBER(T228),T228,VALUE(LEFT(T228,LEN(T228)-1))/100))</f>
        <v>0.1</v>
      </c>
      <c r="W228" s="2" t="str">
        <f aca="false">IF(AND(V228&gt;=0,V228&lt;=0.25),"Valid","Invalid")</f>
        <v>Valid</v>
      </c>
      <c r="X228" s="2" t="n">
        <v>1987.44</v>
      </c>
      <c r="Y228" s="2" t="n">
        <f aca="false">R228*S228*(1-V228)</f>
        <v>1987.443</v>
      </c>
      <c r="Z228" s="2" t="str">
        <f aca="false">IF(ABS(X228-Y228)&gt;1,"Mismatch","OK")</f>
        <v>OK</v>
      </c>
      <c r="AA228" s="2" t="n">
        <v>1110.23</v>
      </c>
      <c r="AB228" s="2" t="n">
        <v>877.21</v>
      </c>
      <c r="AC228" s="2" t="n">
        <f aca="false">Y228-AA228</f>
        <v>877.213</v>
      </c>
      <c r="AD228" s="2" t="str">
        <f aca="false">IF(ABS(AB228-AC228)&gt;1,"Mismatch","OK")</f>
        <v>OK</v>
      </c>
      <c r="AE228" s="4" t="n">
        <f aca="false">IF(Y228=0,0,AC228/Y228)</f>
        <v>0.44137768982557</v>
      </c>
      <c r="AF228" s="2" t="s">
        <v>52</v>
      </c>
      <c r="AG228" s="2" t="s">
        <v>53</v>
      </c>
      <c r="AH228" s="2" t="str">
        <f aca="false">IF(AND(AG228="Completed",AF228&lt;&gt;"Paid"),"Inconsistent","OK")</f>
        <v>OK</v>
      </c>
      <c r="AI228" s="2" t="n">
        <f aca="false">IF(OR(ISBLANK(B228),ISBLANK(C228)),"",C228-B228)</f>
        <v>5</v>
      </c>
      <c r="AJ228" s="2" t="str">
        <f aca="false">IF(AI228="","Unknown",IF(AI228&lt;0,"Invalid","OK"))</f>
        <v>OK</v>
      </c>
      <c r="AK228" s="2" t="str">
        <f aca="false">IF(ISBLANK(B228),"",TEXT(B228,"mmm"))</f>
        <v>Apr</v>
      </c>
      <c r="AL228" s="2" t="n">
        <f aca="false">IF(ISBLANK(B228),"",YEAR(B228))</f>
        <v>2025</v>
      </c>
      <c r="AM228" s="2" t="s">
        <v>41</v>
      </c>
      <c r="AN228" s="2" t="str">
        <f aca="false">IF(OR(W228="Invalid",AJ228="Invalid",AH228="Inconsistent",Z228="Mismatch",AD228="Mismatch",AM228="Yes",D228="Yes",E228="Yes"),"Invalid",IF(OR(J228="Yes",Q228="Yes",U228="Yes"),"Warning","Clean"))</f>
        <v>Warning</v>
      </c>
    </row>
    <row r="229" customFormat="false" ht="15" hidden="false" customHeight="false" outlineLevel="0" collapsed="false">
      <c r="A229" s="2" t="s">
        <v>812</v>
      </c>
      <c r="B229" s="3" t="n">
        <v>45478</v>
      </c>
      <c r="C229" s="3" t="n">
        <v>45485</v>
      </c>
      <c r="D229" s="2" t="s">
        <v>41</v>
      </c>
      <c r="E229" s="2" t="s">
        <v>41</v>
      </c>
      <c r="F229" s="2" t="s">
        <v>813</v>
      </c>
      <c r="G229" s="2" t="s">
        <v>82</v>
      </c>
      <c r="H229" s="2" t="s">
        <v>57</v>
      </c>
      <c r="I229" s="2" t="s">
        <v>83</v>
      </c>
      <c r="J229" s="2" t="s">
        <v>41</v>
      </c>
      <c r="K229" s="2" t="s">
        <v>210</v>
      </c>
      <c r="L229" s="2" t="s">
        <v>211</v>
      </c>
      <c r="M229" s="2" t="s">
        <v>48</v>
      </c>
      <c r="N229" s="2" t="s">
        <v>173</v>
      </c>
      <c r="O229" s="2" t="s">
        <v>814</v>
      </c>
      <c r="P229" s="2" t="s">
        <v>70</v>
      </c>
      <c r="Q229" s="2" t="s">
        <v>41</v>
      </c>
      <c r="R229" s="2" t="n">
        <v>3</v>
      </c>
      <c r="S229" s="2" t="n">
        <v>577.75</v>
      </c>
      <c r="T229" s="2" t="n">
        <v>0.15</v>
      </c>
      <c r="U229" s="2" t="str">
        <f aca="false">IF(ISBLANK(T229),"Yes","No")</f>
        <v>No</v>
      </c>
      <c r="V229" s="2" t="n">
        <f aca="false">IF(ISBLANK(T229),0,IF(ISNUMBER(T229),T229,VALUE(LEFT(T229,LEN(T229)-1))/100))</f>
        <v>0.15</v>
      </c>
      <c r="W229" s="2" t="str">
        <f aca="false">IF(AND(V229&gt;=0,V229&lt;=0.25),"Valid","Invalid")</f>
        <v>Valid</v>
      </c>
      <c r="X229" s="2" t="n">
        <v>1473.26</v>
      </c>
      <c r="Y229" s="2" t="n">
        <f aca="false">R229*S229*(1-V229)</f>
        <v>1473.2625</v>
      </c>
      <c r="Z229" s="2" t="str">
        <f aca="false">IF(ABS(X229-Y229)&gt;1,"Mismatch","OK")</f>
        <v>OK</v>
      </c>
      <c r="AA229" s="2" t="n">
        <v>899.86</v>
      </c>
      <c r="AB229" s="2" t="n">
        <v>573.4</v>
      </c>
      <c r="AC229" s="2" t="n">
        <f aca="false">Y229-AA229</f>
        <v>573.4025</v>
      </c>
      <c r="AD229" s="2" t="str">
        <f aca="false">IF(ABS(AB229-AC229)&gt;1,"Mismatch","OK")</f>
        <v>OK</v>
      </c>
      <c r="AE229" s="4" t="n">
        <f aca="false">IF(Y229=0,0,AC229/Y229)</f>
        <v>0.389205929018081</v>
      </c>
      <c r="AF229" s="2" t="s">
        <v>52</v>
      </c>
      <c r="AG229" s="2" t="s">
        <v>53</v>
      </c>
      <c r="AH229" s="2" t="str">
        <f aca="false">IF(AND(AG229="Completed",AF229&lt;&gt;"Paid"),"Inconsistent","OK")</f>
        <v>OK</v>
      </c>
      <c r="AI229" s="2" t="n">
        <f aca="false">IF(OR(ISBLANK(B229),ISBLANK(C229)),"",C229-B229)</f>
        <v>7</v>
      </c>
      <c r="AJ229" s="2" t="str">
        <f aca="false">IF(AI229="","Unknown",IF(AI229&lt;0,"Invalid","OK"))</f>
        <v>OK</v>
      </c>
      <c r="AK229" s="2" t="str">
        <f aca="false">IF(ISBLANK(B229),"",TEXT(B229,"mmm"))</f>
        <v>Jul</v>
      </c>
      <c r="AL229" s="2" t="n">
        <f aca="false">IF(ISBLANK(B229),"",YEAR(B229))</f>
        <v>2024</v>
      </c>
      <c r="AM229" s="2" t="s">
        <v>41</v>
      </c>
      <c r="AN229" s="2" t="str">
        <f aca="false">IF(OR(W229="Invalid",AJ229="Invalid",AH229="Inconsistent",Z229="Mismatch",AD229="Mismatch",AM229="Yes",D229="Yes",E229="Yes"),"Invalid",IF(OR(J229="Yes",Q229="Yes",U229="Yes"),"Warning","Clean"))</f>
        <v>Clean</v>
      </c>
    </row>
    <row r="230" customFormat="false" ht="15" hidden="false" customHeight="false" outlineLevel="0" collapsed="false">
      <c r="A230" s="2" t="s">
        <v>815</v>
      </c>
      <c r="B230" s="3" t="n">
        <v>45406</v>
      </c>
      <c r="C230" s="3" t="n">
        <v>45410</v>
      </c>
      <c r="D230" s="2" t="s">
        <v>41</v>
      </c>
      <c r="E230" s="2" t="s">
        <v>41</v>
      </c>
      <c r="F230" s="2" t="s">
        <v>816</v>
      </c>
      <c r="G230" s="2" t="s">
        <v>43</v>
      </c>
      <c r="H230" s="2" t="s">
        <v>57</v>
      </c>
      <c r="I230" s="2" t="s">
        <v>74</v>
      </c>
      <c r="J230" s="2" t="s">
        <v>41</v>
      </c>
      <c r="K230" s="2" t="s">
        <v>75</v>
      </c>
      <c r="L230" s="2" t="s">
        <v>76</v>
      </c>
      <c r="M230" s="2" t="s">
        <v>48</v>
      </c>
      <c r="N230" s="2" t="s">
        <v>111</v>
      </c>
      <c r="O230" s="2" t="s">
        <v>817</v>
      </c>
      <c r="P230" s="2" t="s">
        <v>51</v>
      </c>
      <c r="Q230" s="2" t="s">
        <v>41</v>
      </c>
      <c r="R230" s="2" t="n">
        <v>1</v>
      </c>
      <c r="S230" s="2" t="n">
        <v>3194.37</v>
      </c>
      <c r="T230" s="2" t="n">
        <v>0.15</v>
      </c>
      <c r="U230" s="2" t="str">
        <f aca="false">IF(ISBLANK(T230),"Yes","No")</f>
        <v>No</v>
      </c>
      <c r="V230" s="2" t="n">
        <f aca="false">IF(ISBLANK(T230),0,IF(ISNUMBER(T230),T230,VALUE(LEFT(T230,LEN(T230)-1))/100))</f>
        <v>0.15</v>
      </c>
      <c r="W230" s="2" t="str">
        <f aca="false">IF(AND(V230&gt;=0,V230&lt;=0.25),"Valid","Invalid")</f>
        <v>Valid</v>
      </c>
      <c r="X230" s="2" t="n">
        <v>2715.21</v>
      </c>
      <c r="Y230" s="2" t="n">
        <f aca="false">R230*S230*(1-V230)</f>
        <v>2715.2145</v>
      </c>
      <c r="Z230" s="2" t="str">
        <f aca="false">IF(ABS(X230-Y230)&gt;1,"Mismatch","OK")</f>
        <v>OK</v>
      </c>
      <c r="AA230" s="2" t="n">
        <v>1551.55</v>
      </c>
      <c r="AB230" s="2" t="n">
        <v>1163.66</v>
      </c>
      <c r="AC230" s="2" t="n">
        <f aca="false">Y230-AA230</f>
        <v>1163.6645</v>
      </c>
      <c r="AD230" s="2" t="str">
        <f aca="false">IF(ABS(AB230-AC230)&gt;1,"Mismatch","OK")</f>
        <v>OK</v>
      </c>
      <c r="AE230" s="4" t="n">
        <f aca="false">IF(Y230=0,0,AC230/Y230)</f>
        <v>0.428571849480032</v>
      </c>
      <c r="AF230" s="2" t="s">
        <v>52</v>
      </c>
      <c r="AG230" s="2" t="s">
        <v>53</v>
      </c>
      <c r="AH230" s="2" t="str">
        <f aca="false">IF(AND(AG230="Completed",AF230&lt;&gt;"Paid"),"Inconsistent","OK")</f>
        <v>OK</v>
      </c>
      <c r="AI230" s="2" t="n">
        <f aca="false">IF(OR(ISBLANK(B230),ISBLANK(C230)),"",C230-B230)</f>
        <v>4</v>
      </c>
      <c r="AJ230" s="2" t="str">
        <f aca="false">IF(AI230="","Unknown",IF(AI230&lt;0,"Invalid","OK"))</f>
        <v>OK</v>
      </c>
      <c r="AK230" s="2" t="str">
        <f aca="false">IF(ISBLANK(B230),"",TEXT(B230,"mmm"))</f>
        <v>Apr</v>
      </c>
      <c r="AL230" s="2" t="n">
        <f aca="false">IF(ISBLANK(B230),"",YEAR(B230))</f>
        <v>2024</v>
      </c>
      <c r="AM230" s="2" t="s">
        <v>41</v>
      </c>
      <c r="AN230" s="2" t="str">
        <f aca="false">IF(OR(W230="Invalid",AJ230="Invalid",AH230="Inconsistent",Z230="Mismatch",AD230="Mismatch",AM230="Yes",D230="Yes",E230="Yes"),"Invalid",IF(OR(J230="Yes",Q230="Yes",U230="Yes"),"Warning","Clean"))</f>
        <v>Clean</v>
      </c>
    </row>
    <row r="231" customFormat="false" ht="15" hidden="false" customHeight="false" outlineLevel="0" collapsed="false">
      <c r="A231" s="2" t="s">
        <v>818</v>
      </c>
      <c r="B231" s="3" t="n">
        <v>45836</v>
      </c>
      <c r="C231" s="3" t="n">
        <v>45842</v>
      </c>
      <c r="D231" s="2" t="s">
        <v>41</v>
      </c>
      <c r="E231" s="2" t="s">
        <v>41</v>
      </c>
      <c r="F231" s="2" t="s">
        <v>819</v>
      </c>
      <c r="G231" s="2" t="s">
        <v>161</v>
      </c>
      <c r="H231" s="2" t="s">
        <v>44</v>
      </c>
      <c r="I231" s="2" t="s">
        <v>74</v>
      </c>
      <c r="J231" s="2" t="s">
        <v>41</v>
      </c>
      <c r="K231" s="2" t="s">
        <v>75</v>
      </c>
      <c r="L231" s="2" t="s">
        <v>76</v>
      </c>
      <c r="M231" s="2" t="s">
        <v>61</v>
      </c>
      <c r="N231" s="2" t="s">
        <v>178</v>
      </c>
      <c r="O231" s="2" t="s">
        <v>820</v>
      </c>
      <c r="P231" s="2" t="s">
        <v>70</v>
      </c>
      <c r="Q231" s="2" t="s">
        <v>41</v>
      </c>
      <c r="R231" s="2" t="n">
        <v>3</v>
      </c>
      <c r="S231" s="2" t="n">
        <v>2886.23</v>
      </c>
      <c r="T231" s="2" t="n">
        <v>0</v>
      </c>
      <c r="U231" s="2" t="str">
        <f aca="false">IF(ISBLANK(T231),"Yes","No")</f>
        <v>No</v>
      </c>
      <c r="V231" s="2" t="n">
        <f aca="false">IF(ISBLANK(T231),0,IF(ISNUMBER(T231),T231,VALUE(LEFT(T231,LEN(T231)-1))/100))</f>
        <v>0</v>
      </c>
      <c r="W231" s="2" t="str">
        <f aca="false">IF(AND(V231&gt;=0,V231&lt;=0.25),"Valid","Invalid")</f>
        <v>Valid</v>
      </c>
      <c r="X231" s="2" t="n">
        <v>8658.69</v>
      </c>
      <c r="Y231" s="2" t="n">
        <f aca="false">R231*S231*(1-V231)</f>
        <v>8658.69</v>
      </c>
      <c r="Z231" s="2" t="str">
        <f aca="false">IF(ABS(X231-Y231)&gt;1,"Mismatch","OK")</f>
        <v>OK</v>
      </c>
      <c r="AA231" s="2" t="n">
        <v>5535.94</v>
      </c>
      <c r="AB231" s="2" t="n">
        <v>3122.75</v>
      </c>
      <c r="AC231" s="2" t="n">
        <f aca="false">Y231-AA231</f>
        <v>3122.75</v>
      </c>
      <c r="AD231" s="2" t="str">
        <f aca="false">IF(ABS(AB231-AC231)&gt;1,"Mismatch","OK")</f>
        <v>OK</v>
      </c>
      <c r="AE231" s="4" t="n">
        <f aca="false">IF(Y231=0,0,AC231/Y231)</f>
        <v>0.360649243707767</v>
      </c>
      <c r="AF231" s="2" t="s">
        <v>122</v>
      </c>
      <c r="AG231" s="2" t="s">
        <v>123</v>
      </c>
      <c r="AH231" s="2" t="str">
        <f aca="false">IF(AND(AG231="Completed",AF231&lt;&gt;"Paid"),"Inconsistent","OK")</f>
        <v>OK</v>
      </c>
      <c r="AI231" s="2" t="n">
        <f aca="false">IF(OR(ISBLANK(B231),ISBLANK(C231)),"",C231-B231)</f>
        <v>6</v>
      </c>
      <c r="AJ231" s="2" t="str">
        <f aca="false">IF(AI231="","Unknown",IF(AI231&lt;0,"Invalid","OK"))</f>
        <v>OK</v>
      </c>
      <c r="AK231" s="2" t="str">
        <f aca="false">IF(ISBLANK(B231),"",TEXT(B231,"mmm"))</f>
        <v>Jun</v>
      </c>
      <c r="AL231" s="2" t="n">
        <f aca="false">IF(ISBLANK(B231),"",YEAR(B231))</f>
        <v>2025</v>
      </c>
      <c r="AM231" s="2" t="s">
        <v>41</v>
      </c>
      <c r="AN231" s="2" t="str">
        <f aca="false">IF(OR(W231="Invalid",AJ231="Invalid",AH231="Inconsistent",Z231="Mismatch",AD231="Mismatch",AM231="Yes",D231="Yes",E231="Yes"),"Invalid",IF(OR(J231="Yes",Q231="Yes",U231="Yes"),"Warning","Clean"))</f>
        <v>Clean</v>
      </c>
    </row>
    <row r="232" customFormat="false" ht="15" hidden="false" customHeight="false" outlineLevel="0" collapsed="false">
      <c r="A232" s="2" t="s">
        <v>821</v>
      </c>
      <c r="B232" s="3" t="n">
        <v>45440</v>
      </c>
      <c r="C232" s="3" t="n">
        <v>45446</v>
      </c>
      <c r="D232" s="2" t="s">
        <v>41</v>
      </c>
      <c r="E232" s="2" t="s">
        <v>41</v>
      </c>
      <c r="F232" s="2" t="s">
        <v>822</v>
      </c>
      <c r="G232" s="2" t="s">
        <v>99</v>
      </c>
      <c r="H232" s="2" t="s">
        <v>57</v>
      </c>
      <c r="I232" s="2" t="s">
        <v>45</v>
      </c>
      <c r="J232" s="2" t="s">
        <v>41</v>
      </c>
      <c r="K232" s="2" t="s">
        <v>46</v>
      </c>
      <c r="L232" s="2" t="s">
        <v>47</v>
      </c>
      <c r="M232" s="2" t="s">
        <v>48</v>
      </c>
      <c r="N232" s="2" t="s">
        <v>49</v>
      </c>
      <c r="O232" s="2" t="s">
        <v>823</v>
      </c>
      <c r="P232" s="2" t="s">
        <v>79</v>
      </c>
      <c r="Q232" s="2" t="s">
        <v>41</v>
      </c>
      <c r="R232" s="2" t="n">
        <v>8</v>
      </c>
      <c r="S232" s="2" t="n">
        <v>1540.33</v>
      </c>
      <c r="T232" s="2" t="n">
        <v>0.1</v>
      </c>
      <c r="U232" s="2" t="str">
        <f aca="false">IF(ISBLANK(T232),"Yes","No")</f>
        <v>No</v>
      </c>
      <c r="V232" s="2" t="n">
        <f aca="false">IF(ISBLANK(T232),0,IF(ISNUMBER(T232),T232,VALUE(LEFT(T232,LEN(T232)-1))/100))</f>
        <v>0.1</v>
      </c>
      <c r="W232" s="2" t="str">
        <f aca="false">IF(AND(V232&gt;=0,V232&lt;=0.25),"Valid","Invalid")</f>
        <v>Valid</v>
      </c>
      <c r="X232" s="2" t="n">
        <v>11090.38</v>
      </c>
      <c r="Y232" s="2" t="n">
        <f aca="false">R232*S232*(1-V232)</f>
        <v>11090.376</v>
      </c>
      <c r="Z232" s="2" t="str">
        <f aca="false">IF(ABS(X232-Y232)&gt;1,"Mismatch","OK")</f>
        <v>OK</v>
      </c>
      <c r="AA232" s="2" t="n">
        <v>8840.95</v>
      </c>
      <c r="AB232" s="2" t="n">
        <v>2249.43</v>
      </c>
      <c r="AC232" s="2" t="n">
        <f aca="false">Y232-AA232</f>
        <v>2249.426</v>
      </c>
      <c r="AD232" s="2" t="str">
        <f aca="false">IF(ABS(AB232-AC232)&gt;1,"Mismatch","OK")</f>
        <v>OK</v>
      </c>
      <c r="AE232" s="4" t="n">
        <f aca="false">IF(Y232=0,0,AC232/Y232)</f>
        <v>0.20282684734945</v>
      </c>
      <c r="AF232" s="2" t="s">
        <v>52</v>
      </c>
      <c r="AG232" s="2" t="s">
        <v>53</v>
      </c>
      <c r="AH232" s="2" t="str">
        <f aca="false">IF(AND(AG232="Completed",AF232&lt;&gt;"Paid"),"Inconsistent","OK")</f>
        <v>OK</v>
      </c>
      <c r="AI232" s="2" t="n">
        <f aca="false">IF(OR(ISBLANK(B232),ISBLANK(C232)),"",C232-B232)</f>
        <v>6</v>
      </c>
      <c r="AJ232" s="2" t="str">
        <f aca="false">IF(AI232="","Unknown",IF(AI232&lt;0,"Invalid","OK"))</f>
        <v>OK</v>
      </c>
      <c r="AK232" s="2" t="str">
        <f aca="false">IF(ISBLANK(B232),"",TEXT(B232,"mmm"))</f>
        <v>May</v>
      </c>
      <c r="AL232" s="2" t="n">
        <f aca="false">IF(ISBLANK(B232),"",YEAR(B232))</f>
        <v>2024</v>
      </c>
      <c r="AM232" s="2" t="s">
        <v>41</v>
      </c>
      <c r="AN232" s="2" t="str">
        <f aca="false">IF(OR(W232="Invalid",AJ232="Invalid",AH232="Inconsistent",Z232="Mismatch",AD232="Mismatch",AM232="Yes",D232="Yes",E232="Yes"),"Invalid",IF(OR(J232="Yes",Q232="Yes",U232="Yes"),"Warning","Clean"))</f>
        <v>Clean</v>
      </c>
    </row>
    <row r="233" customFormat="false" ht="15" hidden="false" customHeight="false" outlineLevel="0" collapsed="false">
      <c r="A233" s="2" t="s">
        <v>824</v>
      </c>
      <c r="B233" s="3" t="n">
        <v>45414</v>
      </c>
      <c r="C233" s="3" t="n">
        <v>45414</v>
      </c>
      <c r="D233" s="2" t="s">
        <v>41</v>
      </c>
      <c r="E233" s="2" t="s">
        <v>41</v>
      </c>
      <c r="F233" s="2" t="s">
        <v>825</v>
      </c>
      <c r="G233" s="2" t="s">
        <v>82</v>
      </c>
      <c r="H233" s="2" t="s">
        <v>110</v>
      </c>
      <c r="I233" s="2" t="s">
        <v>45</v>
      </c>
      <c r="J233" s="2" t="s">
        <v>41</v>
      </c>
      <c r="K233" s="2" t="s">
        <v>46</v>
      </c>
      <c r="L233" s="2" t="s">
        <v>47</v>
      </c>
      <c r="M233" s="2" t="s">
        <v>48</v>
      </c>
      <c r="N233" s="2" t="s">
        <v>111</v>
      </c>
      <c r="O233" s="2" t="s">
        <v>826</v>
      </c>
      <c r="P233" s="2" t="s">
        <v>70</v>
      </c>
      <c r="Q233" s="2" t="s">
        <v>41</v>
      </c>
      <c r="R233" s="2" t="n">
        <v>7</v>
      </c>
      <c r="S233" s="2" t="n">
        <v>2183.38</v>
      </c>
      <c r="T233" s="2" t="n">
        <v>0.25</v>
      </c>
      <c r="U233" s="2" t="str">
        <f aca="false">IF(ISBLANK(T233),"Yes","No")</f>
        <v>No</v>
      </c>
      <c r="V233" s="2" t="n">
        <f aca="false">IF(ISBLANK(T233),0,IF(ISNUMBER(T233),T233,VALUE(LEFT(T233,LEN(T233)-1))/100))</f>
        <v>0.25</v>
      </c>
      <c r="W233" s="2" t="str">
        <f aca="false">IF(AND(V233&gt;=0,V233&lt;=0.25),"Valid","Invalid")</f>
        <v>Valid</v>
      </c>
      <c r="X233" s="2" t="n">
        <v>11462.74</v>
      </c>
      <c r="Y233" s="2" t="n">
        <f aca="false">R233*S233*(1-V233)</f>
        <v>11462.745</v>
      </c>
      <c r="Z233" s="2" t="str">
        <f aca="false">IF(ABS(X233-Y233)&gt;1,"Mismatch","OK")</f>
        <v>OK</v>
      </c>
      <c r="AA233" s="2" t="n">
        <v>7163.54</v>
      </c>
      <c r="AB233" s="2" t="n">
        <v>4299.2</v>
      </c>
      <c r="AC233" s="2" t="n">
        <f aca="false">Y233-AA233</f>
        <v>4299.205</v>
      </c>
      <c r="AD233" s="2" t="str">
        <f aca="false">IF(ABS(AB233-AC233)&gt;1,"Mismatch","OK")</f>
        <v>OK</v>
      </c>
      <c r="AE233" s="4" t="n">
        <f aca="false">IF(Y233=0,0,AC233/Y233)</f>
        <v>0.375058940943029</v>
      </c>
      <c r="AF233" s="2" t="s">
        <v>122</v>
      </c>
      <c r="AG233" s="2" t="s">
        <v>88</v>
      </c>
      <c r="AH233" s="2" t="str">
        <f aca="false">IF(AND(AG233="Completed",AF233&lt;&gt;"Paid"),"Inconsistent","OK")</f>
        <v>OK</v>
      </c>
      <c r="AI233" s="2" t="n">
        <f aca="false">IF(OR(ISBLANK(B233),ISBLANK(C233)),"",C233-B233)</f>
        <v>0</v>
      </c>
      <c r="AJ233" s="2" t="str">
        <f aca="false">IF(AI233="","Unknown",IF(AI233&lt;0,"Invalid","OK"))</f>
        <v>OK</v>
      </c>
      <c r="AK233" s="2" t="str">
        <f aca="false">IF(ISBLANK(B233),"",TEXT(B233,"mmm"))</f>
        <v>May</v>
      </c>
      <c r="AL233" s="2" t="n">
        <f aca="false">IF(ISBLANK(B233),"",YEAR(B233))</f>
        <v>2024</v>
      </c>
      <c r="AM233" s="2" t="s">
        <v>41</v>
      </c>
      <c r="AN233" s="2" t="str">
        <f aca="false">IF(OR(W233="Invalid",AJ233="Invalid",AH233="Inconsistent",Z233="Mismatch",AD233="Mismatch",AM233="Yes",D233="Yes",E233="Yes"),"Invalid",IF(OR(J233="Yes",Q233="Yes",U233="Yes"),"Warning","Clean"))</f>
        <v>Clean</v>
      </c>
    </row>
    <row r="234" customFormat="false" ht="15" hidden="false" customHeight="false" outlineLevel="0" collapsed="false">
      <c r="A234" s="2" t="s">
        <v>827</v>
      </c>
      <c r="B234" s="3" t="n">
        <v>45812</v>
      </c>
      <c r="C234" s="3" t="n">
        <v>45818</v>
      </c>
      <c r="D234" s="2" t="s">
        <v>41</v>
      </c>
      <c r="E234" s="2" t="s">
        <v>41</v>
      </c>
      <c r="F234" s="2" t="s">
        <v>828</v>
      </c>
      <c r="G234" s="2" t="s">
        <v>138</v>
      </c>
      <c r="H234" s="2" t="s">
        <v>44</v>
      </c>
      <c r="I234" s="2" t="s">
        <v>74</v>
      </c>
      <c r="J234" s="2" t="s">
        <v>41</v>
      </c>
      <c r="K234" s="2" t="s">
        <v>104</v>
      </c>
      <c r="L234" s="2" t="s">
        <v>105</v>
      </c>
      <c r="M234" s="2" t="s">
        <v>94</v>
      </c>
      <c r="N234" s="2" t="s">
        <v>191</v>
      </c>
      <c r="O234" s="2" t="s">
        <v>829</v>
      </c>
      <c r="P234" s="2" t="s">
        <v>79</v>
      </c>
      <c r="Q234" s="2" t="s">
        <v>41</v>
      </c>
      <c r="R234" s="2" t="n">
        <v>4</v>
      </c>
      <c r="S234" s="2" t="n">
        <v>223.37</v>
      </c>
      <c r="T234" s="2" t="n">
        <v>0.25</v>
      </c>
      <c r="U234" s="2" t="str">
        <f aca="false">IF(ISBLANK(T234),"Yes","No")</f>
        <v>No</v>
      </c>
      <c r="V234" s="2" t="n">
        <f aca="false">IF(ISBLANK(T234),0,IF(ISNUMBER(T234),T234,VALUE(LEFT(T234,LEN(T234)-1))/100))</f>
        <v>0.25</v>
      </c>
      <c r="W234" s="2" t="str">
        <f aca="false">IF(AND(V234&gt;=0,V234&lt;=0.25),"Valid","Invalid")</f>
        <v>Valid</v>
      </c>
      <c r="X234" s="2" t="n">
        <v>670.11</v>
      </c>
      <c r="Y234" s="2" t="n">
        <f aca="false">R234*S234*(1-V234)</f>
        <v>670.11</v>
      </c>
      <c r="Z234" s="2" t="str">
        <f aca="false">IF(ABS(X234-Y234)&gt;1,"Mismatch","OK")</f>
        <v>OK</v>
      </c>
      <c r="AA234" s="2" t="n">
        <v>559.57</v>
      </c>
      <c r="AB234" s="2" t="n">
        <v>110.54</v>
      </c>
      <c r="AC234" s="2" t="n">
        <f aca="false">Y234-AA234</f>
        <v>110.54</v>
      </c>
      <c r="AD234" s="2" t="str">
        <f aca="false">IF(ABS(AB234-AC234)&gt;1,"Mismatch","OK")</f>
        <v>OK</v>
      </c>
      <c r="AE234" s="4" t="n">
        <f aca="false">IF(Y234=0,0,AC234/Y234)</f>
        <v>0.164957991971467</v>
      </c>
      <c r="AF234" s="2" t="s">
        <v>52</v>
      </c>
      <c r="AG234" s="2" t="s">
        <v>53</v>
      </c>
      <c r="AH234" s="2" t="str">
        <f aca="false">IF(AND(AG234="Completed",AF234&lt;&gt;"Paid"),"Inconsistent","OK")</f>
        <v>OK</v>
      </c>
      <c r="AI234" s="2" t="n">
        <f aca="false">IF(OR(ISBLANK(B234),ISBLANK(C234)),"",C234-B234)</f>
        <v>6</v>
      </c>
      <c r="AJ234" s="2" t="str">
        <f aca="false">IF(AI234="","Unknown",IF(AI234&lt;0,"Invalid","OK"))</f>
        <v>OK</v>
      </c>
      <c r="AK234" s="2" t="str">
        <f aca="false">IF(ISBLANK(B234),"",TEXT(B234,"mmm"))</f>
        <v>Jun</v>
      </c>
      <c r="AL234" s="2" t="n">
        <f aca="false">IF(ISBLANK(B234),"",YEAR(B234))</f>
        <v>2025</v>
      </c>
      <c r="AM234" s="2" t="s">
        <v>41</v>
      </c>
      <c r="AN234" s="2" t="str">
        <f aca="false">IF(OR(W234="Invalid",AJ234="Invalid",AH234="Inconsistent",Z234="Mismatch",AD234="Mismatch",AM234="Yes",D234="Yes",E234="Yes"),"Invalid",IF(OR(J234="Yes",Q234="Yes",U234="Yes"),"Warning","Clean"))</f>
        <v>Clean</v>
      </c>
    </row>
    <row r="235" customFormat="false" ht="15" hidden="false" customHeight="false" outlineLevel="0" collapsed="false">
      <c r="A235" s="2" t="s">
        <v>830</v>
      </c>
      <c r="B235" s="3" t="n">
        <v>45579</v>
      </c>
      <c r="C235" s="3" t="n">
        <v>45579</v>
      </c>
      <c r="D235" s="2" t="s">
        <v>41</v>
      </c>
      <c r="E235" s="2" t="s">
        <v>41</v>
      </c>
      <c r="F235" s="2" t="s">
        <v>831</v>
      </c>
      <c r="G235" s="2" t="s">
        <v>91</v>
      </c>
      <c r="H235" s="2" t="s">
        <v>110</v>
      </c>
      <c r="I235" s="2" t="s">
        <v>74</v>
      </c>
      <c r="J235" s="2" t="s">
        <v>41</v>
      </c>
      <c r="K235" s="2" t="s">
        <v>195</v>
      </c>
      <c r="L235" s="2" t="s">
        <v>196</v>
      </c>
      <c r="M235" s="2" t="s">
        <v>61</v>
      </c>
      <c r="N235" s="2" t="s">
        <v>178</v>
      </c>
      <c r="O235" s="2" t="s">
        <v>832</v>
      </c>
      <c r="P235" s="2" t="s">
        <v>225</v>
      </c>
      <c r="Q235" s="2" t="s">
        <v>226</v>
      </c>
      <c r="R235" s="2" t="n">
        <v>8</v>
      </c>
      <c r="S235" s="2" t="n">
        <v>3904.59</v>
      </c>
      <c r="T235" s="2" t="n">
        <v>0</v>
      </c>
      <c r="U235" s="2" t="str">
        <f aca="false">IF(ISBLANK(T235),"Yes","No")</f>
        <v>No</v>
      </c>
      <c r="V235" s="2" t="n">
        <f aca="false">IF(ISBLANK(T235),0,IF(ISNUMBER(T235),T235,VALUE(LEFT(T235,LEN(T235)-1))/100))</f>
        <v>0</v>
      </c>
      <c r="W235" s="2" t="str">
        <f aca="false">IF(AND(V235&gt;=0,V235&lt;=0.25),"Valid","Invalid")</f>
        <v>Valid</v>
      </c>
      <c r="X235" s="2" t="n">
        <v>31236.72</v>
      </c>
      <c r="Y235" s="2" t="n">
        <f aca="false">R235*S235*(1-V235)</f>
        <v>31236.72</v>
      </c>
      <c r="Z235" s="2" t="str">
        <f aca="false">IF(ABS(X235-Y235)&gt;1,"Mismatch","OK")</f>
        <v>OK</v>
      </c>
      <c r="AA235" s="2" t="n">
        <v>26377.7</v>
      </c>
      <c r="AB235" s="2" t="n">
        <v>4859.02</v>
      </c>
      <c r="AC235" s="2" t="n">
        <f aca="false">Y235-AA235</f>
        <v>4859.02</v>
      </c>
      <c r="AD235" s="2" t="str">
        <f aca="false">IF(ABS(AB235-AC235)&gt;1,"Mismatch","OK")</f>
        <v>OK</v>
      </c>
      <c r="AE235" s="4" t="n">
        <f aca="false">IF(Y235=0,0,AC235/Y235)</f>
        <v>0.155554744544242</v>
      </c>
      <c r="AF235" s="2" t="s">
        <v>52</v>
      </c>
      <c r="AG235" s="2" t="s">
        <v>53</v>
      </c>
      <c r="AH235" s="2" t="str">
        <f aca="false">IF(AND(AG235="Completed",AF235&lt;&gt;"Paid"),"Inconsistent","OK")</f>
        <v>OK</v>
      </c>
      <c r="AI235" s="2" t="n">
        <f aca="false">IF(OR(ISBLANK(B235),ISBLANK(C235)),"",C235-B235)</f>
        <v>0</v>
      </c>
      <c r="AJ235" s="2" t="str">
        <f aca="false">IF(AI235="","Unknown",IF(AI235&lt;0,"Invalid","OK"))</f>
        <v>OK</v>
      </c>
      <c r="AK235" s="2" t="str">
        <f aca="false">IF(ISBLANK(B235),"",TEXT(B235,"mmm"))</f>
        <v>Oct</v>
      </c>
      <c r="AL235" s="2" t="n">
        <f aca="false">IF(ISBLANK(B235),"",YEAR(B235))</f>
        <v>2024</v>
      </c>
      <c r="AM235" s="2" t="s">
        <v>41</v>
      </c>
      <c r="AN235" s="2" t="str">
        <f aca="false">IF(OR(W235="Invalid",AJ235="Invalid",AH235="Inconsistent",Z235="Mismatch",AD235="Mismatch",AM235="Yes",D235="Yes",E235="Yes"),"Invalid",IF(OR(J235="Yes",Q235="Yes",U235="Yes"),"Warning","Clean"))</f>
        <v>Warning</v>
      </c>
    </row>
    <row r="236" customFormat="false" ht="15" hidden="false" customHeight="false" outlineLevel="0" collapsed="false">
      <c r="A236" s="2" t="s">
        <v>833</v>
      </c>
      <c r="B236" s="3" t="n">
        <v>45537</v>
      </c>
      <c r="C236" s="3" t="n">
        <v>45538</v>
      </c>
      <c r="D236" s="2" t="s">
        <v>41</v>
      </c>
      <c r="E236" s="2" t="s">
        <v>41</v>
      </c>
      <c r="F236" s="2" t="s">
        <v>834</v>
      </c>
      <c r="G236" s="2" t="s">
        <v>286</v>
      </c>
      <c r="H236" s="2" t="s">
        <v>115</v>
      </c>
      <c r="I236" s="2" t="s">
        <v>45</v>
      </c>
      <c r="J236" s="2" t="s">
        <v>41</v>
      </c>
      <c r="K236" s="2" t="s">
        <v>372</v>
      </c>
      <c r="L236" s="2" t="s">
        <v>373</v>
      </c>
      <c r="M236" s="2" t="s">
        <v>61</v>
      </c>
      <c r="N236" s="2" t="s">
        <v>77</v>
      </c>
      <c r="O236" s="2" t="s">
        <v>835</v>
      </c>
      <c r="P236" s="2" t="s">
        <v>70</v>
      </c>
      <c r="Q236" s="2" t="s">
        <v>41</v>
      </c>
      <c r="R236" s="2" t="n">
        <v>9</v>
      </c>
      <c r="S236" s="2" t="n">
        <v>1353.61</v>
      </c>
      <c r="T236" s="2" t="n">
        <v>0.1</v>
      </c>
      <c r="U236" s="2" t="str">
        <f aca="false">IF(ISBLANK(T236),"Yes","No")</f>
        <v>No</v>
      </c>
      <c r="V236" s="2" t="n">
        <f aca="false">IF(ISBLANK(T236),0,IF(ISNUMBER(T236),T236,VALUE(LEFT(T236,LEN(T236)-1))/100))</f>
        <v>0.1</v>
      </c>
      <c r="W236" s="2" t="str">
        <f aca="false">IF(AND(V236&gt;=0,V236&lt;=0.25),"Valid","Invalid")</f>
        <v>Valid</v>
      </c>
      <c r="X236" s="2" t="n">
        <v>10964.24</v>
      </c>
      <c r="Y236" s="2" t="n">
        <f aca="false">R236*S236*(1-V236)</f>
        <v>10964.241</v>
      </c>
      <c r="Z236" s="2" t="str">
        <f aca="false">IF(ABS(X236-Y236)&gt;1,"Mismatch","OK")</f>
        <v>OK</v>
      </c>
      <c r="AA236" s="2" t="n">
        <v>9262.47</v>
      </c>
      <c r="AB236" s="2" t="n">
        <v>1701.77</v>
      </c>
      <c r="AC236" s="2" t="n">
        <f aca="false">Y236-AA236</f>
        <v>1701.771</v>
      </c>
      <c r="AD236" s="2" t="str">
        <f aca="false">IF(ABS(AB236-AC236)&gt;1,"Mismatch","OK")</f>
        <v>OK</v>
      </c>
      <c r="AE236" s="4" t="n">
        <f aca="false">IF(Y236=0,0,AC236/Y236)</f>
        <v>0.155211017342651</v>
      </c>
      <c r="AF236" s="2" t="s">
        <v>52</v>
      </c>
      <c r="AG236" s="2" t="s">
        <v>53</v>
      </c>
      <c r="AH236" s="2" t="str">
        <f aca="false">IF(AND(AG236="Completed",AF236&lt;&gt;"Paid"),"Inconsistent","OK")</f>
        <v>OK</v>
      </c>
      <c r="AI236" s="2" t="n">
        <f aca="false">IF(OR(ISBLANK(B236),ISBLANK(C236)),"",C236-B236)</f>
        <v>1</v>
      </c>
      <c r="AJ236" s="2" t="str">
        <f aca="false">IF(AI236="","Unknown",IF(AI236&lt;0,"Invalid","OK"))</f>
        <v>OK</v>
      </c>
      <c r="AK236" s="2" t="str">
        <f aca="false">IF(ISBLANK(B236),"",TEXT(B236,"mmm"))</f>
        <v>Sep</v>
      </c>
      <c r="AL236" s="2" t="n">
        <f aca="false">IF(ISBLANK(B236),"",YEAR(B236))</f>
        <v>2024</v>
      </c>
      <c r="AM236" s="2" t="s">
        <v>41</v>
      </c>
      <c r="AN236" s="2" t="str">
        <f aca="false">IF(OR(W236="Invalid",AJ236="Invalid",AH236="Inconsistent",Z236="Mismatch",AD236="Mismatch",AM236="Yes",D236="Yes",E236="Yes"),"Invalid",IF(OR(J236="Yes",Q236="Yes",U236="Yes"),"Warning","Clean"))</f>
        <v>Clean</v>
      </c>
    </row>
    <row r="237" customFormat="false" ht="15" hidden="false" customHeight="false" outlineLevel="0" collapsed="false">
      <c r="A237" s="2" t="s">
        <v>836</v>
      </c>
      <c r="B237" s="3" t="n">
        <v>45598</v>
      </c>
      <c r="C237" s="3" t="n">
        <v>45599</v>
      </c>
      <c r="D237" s="2" t="s">
        <v>41</v>
      </c>
      <c r="E237" s="2" t="s">
        <v>41</v>
      </c>
      <c r="F237" s="2" t="s">
        <v>837</v>
      </c>
      <c r="G237" s="2" t="s">
        <v>138</v>
      </c>
      <c r="H237" s="2" t="s">
        <v>57</v>
      </c>
      <c r="I237" s="2" t="s">
        <v>83</v>
      </c>
      <c r="J237" s="2" t="s">
        <v>41</v>
      </c>
      <c r="K237" s="2" t="s">
        <v>46</v>
      </c>
      <c r="L237" s="2" t="s">
        <v>129</v>
      </c>
      <c r="M237" s="2" t="s">
        <v>48</v>
      </c>
      <c r="N237" s="2" t="s">
        <v>144</v>
      </c>
      <c r="O237" s="2" t="s">
        <v>838</v>
      </c>
      <c r="P237" s="2" t="s">
        <v>79</v>
      </c>
      <c r="Q237" s="2" t="s">
        <v>41</v>
      </c>
      <c r="R237" s="2" t="n">
        <v>6</v>
      </c>
      <c r="S237" s="2" t="n">
        <v>2671.29</v>
      </c>
      <c r="T237" s="2" t="n">
        <v>0.05</v>
      </c>
      <c r="U237" s="2" t="str">
        <f aca="false">IF(ISBLANK(T237),"Yes","No")</f>
        <v>No</v>
      </c>
      <c r="V237" s="2" t="n">
        <f aca="false">IF(ISBLANK(T237),0,IF(ISNUMBER(T237),T237,VALUE(LEFT(T237,LEN(T237)-1))/100))</f>
        <v>0.05</v>
      </c>
      <c r="W237" s="2" t="str">
        <f aca="false">IF(AND(V237&gt;=0,V237&lt;=0.25),"Valid","Invalid")</f>
        <v>Valid</v>
      </c>
      <c r="X237" s="2" t="n">
        <v>15226.35</v>
      </c>
      <c r="Y237" s="2" t="n">
        <f aca="false">R237*S237*(1-V237)</f>
        <v>15226.353</v>
      </c>
      <c r="Z237" s="2" t="str">
        <f aca="false">IF(ABS(X237-Y237)&gt;1,"Mismatch","OK")</f>
        <v>OK</v>
      </c>
      <c r="AA237" s="2" t="n">
        <v>11145.28</v>
      </c>
      <c r="AB237" s="2" t="n">
        <v>4081.07</v>
      </c>
      <c r="AC237" s="2" t="n">
        <f aca="false">Y237-AA237</f>
        <v>4081.073</v>
      </c>
      <c r="AD237" s="2" t="str">
        <f aca="false">IF(ABS(AB237-AC237)&gt;1,"Mismatch","OK")</f>
        <v>OK</v>
      </c>
      <c r="AE237" s="4" t="n">
        <f aca="false">IF(Y237=0,0,AC237/Y237)</f>
        <v>0.268026953007066</v>
      </c>
      <c r="AF237" s="2" t="s">
        <v>52</v>
      </c>
      <c r="AG237" s="2" t="s">
        <v>53</v>
      </c>
      <c r="AH237" s="2" t="str">
        <f aca="false">IF(AND(AG237="Completed",AF237&lt;&gt;"Paid"),"Inconsistent","OK")</f>
        <v>OK</v>
      </c>
      <c r="AI237" s="2" t="n">
        <f aca="false">IF(OR(ISBLANK(B237),ISBLANK(C237)),"",C237-B237)</f>
        <v>1</v>
      </c>
      <c r="AJ237" s="2" t="str">
        <f aca="false">IF(AI237="","Unknown",IF(AI237&lt;0,"Invalid","OK"))</f>
        <v>OK</v>
      </c>
      <c r="AK237" s="2" t="str">
        <f aca="false">IF(ISBLANK(B237),"",TEXT(B237,"mmm"))</f>
        <v>Nov</v>
      </c>
      <c r="AL237" s="2" t="n">
        <f aca="false">IF(ISBLANK(B237),"",YEAR(B237))</f>
        <v>2024</v>
      </c>
      <c r="AM237" s="2" t="s">
        <v>41</v>
      </c>
      <c r="AN237" s="2" t="str">
        <f aca="false">IF(OR(W237="Invalid",AJ237="Invalid",AH237="Inconsistent",Z237="Mismatch",AD237="Mismatch",AM237="Yes",D237="Yes",E237="Yes"),"Invalid",IF(OR(J237="Yes",Q237="Yes",U237="Yes"),"Warning","Clean"))</f>
        <v>Clean</v>
      </c>
    </row>
    <row r="238" customFormat="false" ht="15" hidden="false" customHeight="false" outlineLevel="0" collapsed="false">
      <c r="A238" s="2" t="s">
        <v>839</v>
      </c>
      <c r="B238" s="3" t="n">
        <v>45579</v>
      </c>
      <c r="C238" s="3" t="n">
        <v>45586</v>
      </c>
      <c r="D238" s="2" t="s">
        <v>41</v>
      </c>
      <c r="E238" s="2" t="s">
        <v>41</v>
      </c>
      <c r="F238" s="2" t="s">
        <v>840</v>
      </c>
      <c r="G238" s="2" t="s">
        <v>134</v>
      </c>
      <c r="H238" s="2" t="s">
        <v>110</v>
      </c>
      <c r="I238" s="2" t="s">
        <v>45</v>
      </c>
      <c r="J238" s="2" t="s">
        <v>41</v>
      </c>
      <c r="K238" s="2" t="s">
        <v>156</v>
      </c>
      <c r="L238" s="2" t="s">
        <v>157</v>
      </c>
      <c r="M238" s="2" t="s">
        <v>61</v>
      </c>
      <c r="N238" s="2" t="s">
        <v>178</v>
      </c>
      <c r="O238" s="2" t="s">
        <v>841</v>
      </c>
      <c r="P238" s="2" t="s">
        <v>70</v>
      </c>
      <c r="Q238" s="2" t="s">
        <v>41</v>
      </c>
      <c r="R238" s="2" t="n">
        <v>6</v>
      </c>
      <c r="S238" s="2" t="n">
        <v>4062.78</v>
      </c>
      <c r="T238" s="2" t="n">
        <v>0</v>
      </c>
      <c r="U238" s="2" t="str">
        <f aca="false">IF(ISBLANK(T238),"Yes","No")</f>
        <v>No</v>
      </c>
      <c r="V238" s="2" t="n">
        <f aca="false">IF(ISBLANK(T238),0,IF(ISNUMBER(T238),T238,VALUE(LEFT(T238,LEN(T238)-1))/100))</f>
        <v>0</v>
      </c>
      <c r="W238" s="2" t="str">
        <f aca="false">IF(AND(V238&gt;=0,V238&lt;=0.25),"Valid","Invalid")</f>
        <v>Valid</v>
      </c>
      <c r="X238" s="2" t="n">
        <v>24376.68</v>
      </c>
      <c r="Y238" s="2" t="n">
        <f aca="false">R238*S238*(1-V238)</f>
        <v>24376.68</v>
      </c>
      <c r="Z238" s="2" t="str">
        <f aca="false">IF(ABS(X238-Y238)&gt;1,"Mismatch","OK")</f>
        <v>OK</v>
      </c>
      <c r="AA238" s="2" t="n">
        <v>18533.39</v>
      </c>
      <c r="AB238" s="2" t="n">
        <v>5843.29</v>
      </c>
      <c r="AC238" s="2" t="n">
        <f aca="false">Y238-AA238</f>
        <v>5843.29</v>
      </c>
      <c r="AD238" s="2" t="str">
        <f aca="false">IF(ABS(AB238-AC238)&gt;1,"Mismatch","OK")</f>
        <v>OK</v>
      </c>
      <c r="AE238" s="4" t="n">
        <f aca="false">IF(Y238=0,0,AC238/Y238)</f>
        <v>0.23970819652225</v>
      </c>
      <c r="AF238" s="2" t="s">
        <v>52</v>
      </c>
      <c r="AG238" s="2" t="s">
        <v>53</v>
      </c>
      <c r="AH238" s="2" t="str">
        <f aca="false">IF(AND(AG238="Completed",AF238&lt;&gt;"Paid"),"Inconsistent","OK")</f>
        <v>OK</v>
      </c>
      <c r="AI238" s="2" t="n">
        <f aca="false">IF(OR(ISBLANK(B238),ISBLANK(C238)),"",C238-B238)</f>
        <v>7</v>
      </c>
      <c r="AJ238" s="2" t="str">
        <f aca="false">IF(AI238="","Unknown",IF(AI238&lt;0,"Invalid","OK"))</f>
        <v>OK</v>
      </c>
      <c r="AK238" s="2" t="str">
        <f aca="false">IF(ISBLANK(B238),"",TEXT(B238,"mmm"))</f>
        <v>Oct</v>
      </c>
      <c r="AL238" s="2" t="n">
        <f aca="false">IF(ISBLANK(B238),"",YEAR(B238))</f>
        <v>2024</v>
      </c>
      <c r="AM238" s="2" t="s">
        <v>41</v>
      </c>
      <c r="AN238" s="2" t="str">
        <f aca="false">IF(OR(W238="Invalid",AJ238="Invalid",AH238="Inconsistent",Z238="Mismatch",AD238="Mismatch",AM238="Yes",D238="Yes",E238="Yes"),"Invalid",IF(OR(J238="Yes",Q238="Yes",U238="Yes"),"Warning","Clean"))</f>
        <v>Clean</v>
      </c>
    </row>
    <row r="239" customFormat="false" ht="15" hidden="false" customHeight="false" outlineLevel="0" collapsed="false">
      <c r="A239" s="2" t="s">
        <v>842</v>
      </c>
      <c r="B239" s="3" t="n">
        <v>45531</v>
      </c>
      <c r="C239" s="3" t="n">
        <v>45531</v>
      </c>
      <c r="D239" s="2" t="s">
        <v>41</v>
      </c>
      <c r="E239" s="2" t="s">
        <v>41</v>
      </c>
      <c r="F239" s="2" t="s">
        <v>843</v>
      </c>
      <c r="G239" s="2" t="s">
        <v>56</v>
      </c>
      <c r="H239" s="2" t="s">
        <v>44</v>
      </c>
      <c r="I239" s="2" t="s">
        <v>45</v>
      </c>
      <c r="J239" s="2" t="s">
        <v>41</v>
      </c>
      <c r="K239" s="2" t="s">
        <v>258</v>
      </c>
      <c r="L239" s="2" t="s">
        <v>259</v>
      </c>
      <c r="M239" s="2" t="s">
        <v>94</v>
      </c>
      <c r="N239" s="2" t="s">
        <v>100</v>
      </c>
      <c r="O239" s="2" t="s">
        <v>844</v>
      </c>
      <c r="P239" s="2" t="s">
        <v>79</v>
      </c>
      <c r="Q239" s="2" t="s">
        <v>41</v>
      </c>
      <c r="R239" s="2" t="n">
        <v>9</v>
      </c>
      <c r="S239" s="2" t="n">
        <v>2330.3</v>
      </c>
      <c r="T239" s="2" t="n">
        <v>0</v>
      </c>
      <c r="U239" s="2" t="str">
        <f aca="false">IF(ISBLANK(T239),"Yes","No")</f>
        <v>No</v>
      </c>
      <c r="V239" s="2" t="n">
        <f aca="false">IF(ISBLANK(T239),0,IF(ISNUMBER(T239),T239,VALUE(LEFT(T239,LEN(T239)-1))/100))</f>
        <v>0</v>
      </c>
      <c r="W239" s="2" t="str">
        <f aca="false">IF(AND(V239&gt;=0,V239&lt;=0.25),"Valid","Invalid")</f>
        <v>Valid</v>
      </c>
      <c r="X239" s="2" t="n">
        <v>20972.7</v>
      </c>
      <c r="Y239" s="2" t="n">
        <f aca="false">R239*S239*(1-V239)</f>
        <v>20972.7</v>
      </c>
      <c r="Z239" s="2" t="str">
        <f aca="false">IF(ABS(X239-Y239)&gt;1,"Mismatch","OK")</f>
        <v>OK</v>
      </c>
      <c r="AA239" s="2" t="n">
        <v>13504.88</v>
      </c>
      <c r="AB239" s="2" t="n">
        <v>7467.82</v>
      </c>
      <c r="AC239" s="2" t="n">
        <f aca="false">Y239-AA239</f>
        <v>7467.82</v>
      </c>
      <c r="AD239" s="2" t="str">
        <f aca="false">IF(ABS(AB239-AC239)&gt;1,"Mismatch","OK")</f>
        <v>OK</v>
      </c>
      <c r="AE239" s="4" t="n">
        <f aca="false">IF(Y239=0,0,AC239/Y239)</f>
        <v>0.356073371573522</v>
      </c>
      <c r="AF239" s="2" t="s">
        <v>52</v>
      </c>
      <c r="AG239" s="2" t="s">
        <v>53</v>
      </c>
      <c r="AH239" s="2" t="str">
        <f aca="false">IF(AND(AG239="Completed",AF239&lt;&gt;"Paid"),"Inconsistent","OK")</f>
        <v>OK</v>
      </c>
      <c r="AI239" s="2" t="n">
        <f aca="false">IF(OR(ISBLANK(B239),ISBLANK(C239)),"",C239-B239)</f>
        <v>0</v>
      </c>
      <c r="AJ239" s="2" t="str">
        <f aca="false">IF(AI239="","Unknown",IF(AI239&lt;0,"Invalid","OK"))</f>
        <v>OK</v>
      </c>
      <c r="AK239" s="2" t="str">
        <f aca="false">IF(ISBLANK(B239),"",TEXT(B239,"mmm"))</f>
        <v>Aug</v>
      </c>
      <c r="AL239" s="2" t="n">
        <f aca="false">IF(ISBLANK(B239),"",YEAR(B239))</f>
        <v>2024</v>
      </c>
      <c r="AM239" s="2" t="s">
        <v>41</v>
      </c>
      <c r="AN239" s="2" t="str">
        <f aca="false">IF(OR(W239="Invalid",AJ239="Invalid",AH239="Inconsistent",Z239="Mismatch",AD239="Mismatch",AM239="Yes",D239="Yes",E239="Yes"),"Invalid",IF(OR(J239="Yes",Q239="Yes",U239="Yes"),"Warning","Clean"))</f>
        <v>Clean</v>
      </c>
    </row>
    <row r="240" customFormat="false" ht="15" hidden="false" customHeight="false" outlineLevel="0" collapsed="false">
      <c r="A240" s="2" t="s">
        <v>845</v>
      </c>
      <c r="B240" s="3" t="n">
        <v>45303</v>
      </c>
      <c r="C240" s="3" t="n">
        <v>45308</v>
      </c>
      <c r="D240" s="2" t="s">
        <v>41</v>
      </c>
      <c r="E240" s="2" t="s">
        <v>41</v>
      </c>
      <c r="F240" s="2" t="s">
        <v>846</v>
      </c>
      <c r="G240" s="2" t="s">
        <v>73</v>
      </c>
      <c r="H240" s="2" t="s">
        <v>44</v>
      </c>
      <c r="I240" s="2" t="s">
        <v>74</v>
      </c>
      <c r="J240" s="2" t="s">
        <v>41</v>
      </c>
      <c r="K240" s="2" t="s">
        <v>104</v>
      </c>
      <c r="L240" s="2" t="s">
        <v>105</v>
      </c>
      <c r="M240" s="2" t="s">
        <v>48</v>
      </c>
      <c r="N240" s="2" t="s">
        <v>144</v>
      </c>
      <c r="O240" s="2" t="s">
        <v>847</v>
      </c>
      <c r="P240" s="2" t="s">
        <v>70</v>
      </c>
      <c r="Q240" s="2" t="s">
        <v>41</v>
      </c>
      <c r="R240" s="2" t="n">
        <v>7</v>
      </c>
      <c r="S240" s="2" t="n">
        <v>4005.05</v>
      </c>
      <c r="T240" s="2" t="n">
        <v>0.55</v>
      </c>
      <c r="U240" s="2" t="str">
        <f aca="false">IF(ISBLANK(T240),"Yes","No")</f>
        <v>No</v>
      </c>
      <c r="V240" s="2" t="n">
        <f aca="false">IF(ISBLANK(T240),0,IF(ISNUMBER(T240),T240,VALUE(LEFT(T240,LEN(T240)-1))/100))</f>
        <v>0.55</v>
      </c>
      <c r="W240" s="2" t="str">
        <f aca="false">IF(AND(V240&gt;=0,V240&lt;=0.25),"Valid","Invalid")</f>
        <v>Invalid</v>
      </c>
      <c r="X240" s="2" t="n">
        <v>26633.58</v>
      </c>
      <c r="Y240" s="2" t="n">
        <f aca="false">R240*S240*(1-V240)</f>
        <v>12615.9075</v>
      </c>
      <c r="Z240" s="2" t="str">
        <f aca="false">IF(ABS(X240-Y240)&gt;1,"Mismatch","OK")</f>
        <v>Mismatch</v>
      </c>
      <c r="AA240" s="2" t="n">
        <v>18838.75</v>
      </c>
      <c r="AB240" s="2" t="n">
        <v>7794.83</v>
      </c>
      <c r="AC240" s="2" t="n">
        <f aca="false">Y240-AA240</f>
        <v>-6222.8425</v>
      </c>
      <c r="AD240" s="2" t="str">
        <f aca="false">IF(ABS(AB240-AC240)&gt;1,"Mismatch","OK")</f>
        <v>Mismatch</v>
      </c>
      <c r="AE240" s="4" t="n">
        <f aca="false">IF(Y240=0,0,AC240/Y240)</f>
        <v>-0.493253656148002</v>
      </c>
      <c r="AF240" s="2" t="s">
        <v>52</v>
      </c>
      <c r="AG240" s="2" t="s">
        <v>53</v>
      </c>
      <c r="AH240" s="2" t="str">
        <f aca="false">IF(AND(AG240="Completed",AF240&lt;&gt;"Paid"),"Inconsistent","OK")</f>
        <v>OK</v>
      </c>
      <c r="AI240" s="2" t="n">
        <f aca="false">IF(OR(ISBLANK(B240),ISBLANK(C240)),"",C240-B240)</f>
        <v>5</v>
      </c>
      <c r="AJ240" s="2" t="str">
        <f aca="false">IF(AI240="","Unknown",IF(AI240&lt;0,"Invalid","OK"))</f>
        <v>OK</v>
      </c>
      <c r="AK240" s="2" t="str">
        <f aca="false">IF(ISBLANK(B240),"",TEXT(B240,"mmm"))</f>
        <v>Jan</v>
      </c>
      <c r="AL240" s="2" t="n">
        <f aca="false">IF(ISBLANK(B240),"",YEAR(B240))</f>
        <v>2024</v>
      </c>
      <c r="AM240" s="2" t="s">
        <v>41</v>
      </c>
      <c r="AN240" s="2" t="str">
        <f aca="false">IF(OR(W240="Invalid",AJ240="Invalid",AH240="Inconsistent",Z240="Mismatch",AD240="Mismatch",AM240="Yes",D240="Yes",E240="Yes"),"Invalid",IF(OR(J240="Yes",Q240="Yes",U240="Yes"),"Warning","Clean"))</f>
        <v>Invalid</v>
      </c>
    </row>
    <row r="241" customFormat="false" ht="15" hidden="false" customHeight="false" outlineLevel="0" collapsed="false">
      <c r="A241" s="2" t="s">
        <v>848</v>
      </c>
      <c r="B241" s="3" t="n">
        <v>45556</v>
      </c>
      <c r="C241" s="3" t="n">
        <v>45556</v>
      </c>
      <c r="D241" s="2" t="s">
        <v>41</v>
      </c>
      <c r="E241" s="2" t="s">
        <v>41</v>
      </c>
      <c r="F241" s="2" t="s">
        <v>849</v>
      </c>
      <c r="G241" s="2" t="s">
        <v>286</v>
      </c>
      <c r="H241" s="2" t="s">
        <v>110</v>
      </c>
      <c r="I241" s="2" t="s">
        <v>74</v>
      </c>
      <c r="J241" s="2" t="s">
        <v>41</v>
      </c>
      <c r="K241" s="2" t="s">
        <v>195</v>
      </c>
      <c r="L241" s="2" t="s">
        <v>196</v>
      </c>
      <c r="M241" s="2" t="s">
        <v>94</v>
      </c>
      <c r="N241" s="2" t="s">
        <v>296</v>
      </c>
      <c r="O241" s="2" t="s">
        <v>850</v>
      </c>
      <c r="P241" s="2" t="s">
        <v>70</v>
      </c>
      <c r="Q241" s="2" t="s">
        <v>41</v>
      </c>
      <c r="R241" s="2" t="n">
        <v>2</v>
      </c>
      <c r="S241" s="2" t="n">
        <v>1960.06</v>
      </c>
      <c r="T241" s="2" t="n">
        <v>0.2</v>
      </c>
      <c r="U241" s="2" t="str">
        <f aca="false">IF(ISBLANK(T241),"Yes","No")</f>
        <v>No</v>
      </c>
      <c r="V241" s="2" t="n">
        <f aca="false">IF(ISBLANK(T241),0,IF(ISNUMBER(T241),T241,VALUE(LEFT(T241,LEN(T241)-1))/100))</f>
        <v>0.2</v>
      </c>
      <c r="W241" s="2" t="str">
        <f aca="false">IF(AND(V241&gt;=0,V241&lt;=0.25),"Valid","Invalid")</f>
        <v>Valid</v>
      </c>
      <c r="X241" s="2" t="n">
        <v>3136.1</v>
      </c>
      <c r="Y241" s="2" t="n">
        <f aca="false">R241*S241*(1-V241)</f>
        <v>3136.096</v>
      </c>
      <c r="Z241" s="2" t="str">
        <f aca="false">IF(ABS(X241-Y241)&gt;1,"Mismatch","OK")</f>
        <v>OK</v>
      </c>
      <c r="AA241" s="2" t="n">
        <v>2279.49</v>
      </c>
      <c r="AB241" s="2" t="n">
        <v>856.61</v>
      </c>
      <c r="AC241" s="2" t="n">
        <f aca="false">Y241-AA241</f>
        <v>856.606</v>
      </c>
      <c r="AD241" s="2" t="str">
        <f aca="false">IF(ABS(AB241-AC241)&gt;1,"Mismatch","OK")</f>
        <v>OK</v>
      </c>
      <c r="AE241" s="4" t="n">
        <f aca="false">IF(Y241=0,0,AC241/Y241)</f>
        <v>0.273144061916472</v>
      </c>
      <c r="AF241" s="2" t="s">
        <v>52</v>
      </c>
      <c r="AG241" s="2" t="s">
        <v>53</v>
      </c>
      <c r="AH241" s="2" t="str">
        <f aca="false">IF(AND(AG241="Completed",AF241&lt;&gt;"Paid"),"Inconsistent","OK")</f>
        <v>OK</v>
      </c>
      <c r="AI241" s="2" t="n">
        <f aca="false">IF(OR(ISBLANK(B241),ISBLANK(C241)),"",C241-B241)</f>
        <v>0</v>
      </c>
      <c r="AJ241" s="2" t="str">
        <f aca="false">IF(AI241="","Unknown",IF(AI241&lt;0,"Invalid","OK"))</f>
        <v>OK</v>
      </c>
      <c r="AK241" s="2" t="str">
        <f aca="false">IF(ISBLANK(B241),"",TEXT(B241,"mmm"))</f>
        <v>Sep</v>
      </c>
      <c r="AL241" s="2" t="n">
        <f aca="false">IF(ISBLANK(B241),"",YEAR(B241))</f>
        <v>2024</v>
      </c>
      <c r="AM241" s="2" t="s">
        <v>41</v>
      </c>
      <c r="AN241" s="2" t="str">
        <f aca="false">IF(OR(W241="Invalid",AJ241="Invalid",AH241="Inconsistent",Z241="Mismatch",AD241="Mismatch",AM241="Yes",D241="Yes",E241="Yes"),"Invalid",IF(OR(J241="Yes",Q241="Yes",U241="Yes"),"Warning","Clean"))</f>
        <v>Clean</v>
      </c>
    </row>
    <row r="242" customFormat="false" ht="15" hidden="false" customHeight="false" outlineLevel="0" collapsed="false">
      <c r="A242" s="2" t="s">
        <v>851</v>
      </c>
      <c r="B242" s="3" t="n">
        <v>45643</v>
      </c>
      <c r="C242" s="3" t="n">
        <v>45649</v>
      </c>
      <c r="D242" s="2" t="s">
        <v>41</v>
      </c>
      <c r="E242" s="2" t="s">
        <v>41</v>
      </c>
      <c r="F242" s="2" t="s">
        <v>852</v>
      </c>
      <c r="G242" s="2" t="s">
        <v>148</v>
      </c>
      <c r="H242" s="2" t="s">
        <v>110</v>
      </c>
      <c r="I242" s="2" t="s">
        <v>74</v>
      </c>
      <c r="J242" s="2" t="s">
        <v>41</v>
      </c>
      <c r="K242" s="2" t="s">
        <v>75</v>
      </c>
      <c r="L242" s="2" t="s">
        <v>76</v>
      </c>
      <c r="M242" s="2" t="s">
        <v>48</v>
      </c>
      <c r="N242" s="2" t="s">
        <v>173</v>
      </c>
      <c r="O242" s="2" t="s">
        <v>853</v>
      </c>
      <c r="P242" s="2" t="s">
        <v>70</v>
      </c>
      <c r="Q242" s="2" t="s">
        <v>41</v>
      </c>
      <c r="R242" s="2" t="n">
        <v>9</v>
      </c>
      <c r="S242" s="2" t="n">
        <v>2315.1</v>
      </c>
      <c r="T242" s="2" t="n">
        <v>0</v>
      </c>
      <c r="U242" s="2" t="str">
        <f aca="false">IF(ISBLANK(T242),"Yes","No")</f>
        <v>No</v>
      </c>
      <c r="V242" s="2" t="n">
        <f aca="false">IF(ISBLANK(T242),0,IF(ISNUMBER(T242),T242,VALUE(LEFT(T242,LEN(T242)-1))/100))</f>
        <v>0</v>
      </c>
      <c r="W242" s="2" t="str">
        <f aca="false">IF(AND(V242&gt;=0,V242&lt;=0.25),"Valid","Invalid")</f>
        <v>Valid</v>
      </c>
      <c r="X242" s="2" t="n">
        <v>20835.9</v>
      </c>
      <c r="Y242" s="2" t="n">
        <f aca="false">R242*S242*(1-V242)</f>
        <v>20835.9</v>
      </c>
      <c r="Z242" s="2" t="str">
        <f aca="false">IF(ABS(X242-Y242)&gt;1,"Mismatch","OK")</f>
        <v>OK</v>
      </c>
      <c r="AA242" s="2" t="n">
        <v>13928.19</v>
      </c>
      <c r="AB242" s="2" t="n">
        <v>6907.71</v>
      </c>
      <c r="AC242" s="2" t="n">
        <f aca="false">Y242-AA242</f>
        <v>6907.71</v>
      </c>
      <c r="AD242" s="2" t="str">
        <f aca="false">IF(ABS(AB242-AC242)&gt;1,"Mismatch","OK")</f>
        <v>OK</v>
      </c>
      <c r="AE242" s="4" t="n">
        <f aca="false">IF(Y242=0,0,AC242/Y242)</f>
        <v>0.331529235598174</v>
      </c>
      <c r="AF242" s="2" t="s">
        <v>52</v>
      </c>
      <c r="AG242" s="2" t="s">
        <v>53</v>
      </c>
      <c r="AH242" s="2" t="str">
        <f aca="false">IF(AND(AG242="Completed",AF242&lt;&gt;"Paid"),"Inconsistent","OK")</f>
        <v>OK</v>
      </c>
      <c r="AI242" s="2" t="n">
        <f aca="false">IF(OR(ISBLANK(B242),ISBLANK(C242)),"",C242-B242)</f>
        <v>6</v>
      </c>
      <c r="AJ242" s="2" t="str">
        <f aca="false">IF(AI242="","Unknown",IF(AI242&lt;0,"Invalid","OK"))</f>
        <v>OK</v>
      </c>
      <c r="AK242" s="2" t="str">
        <f aca="false">IF(ISBLANK(B242),"",TEXT(B242,"mmm"))</f>
        <v>Dec</v>
      </c>
      <c r="AL242" s="2" t="n">
        <f aca="false">IF(ISBLANK(B242),"",YEAR(B242))</f>
        <v>2024</v>
      </c>
      <c r="AM242" s="2" t="s">
        <v>41</v>
      </c>
      <c r="AN242" s="2" t="str">
        <f aca="false">IF(OR(W242="Invalid",AJ242="Invalid",AH242="Inconsistent",Z242="Mismatch",AD242="Mismatch",AM242="Yes",D242="Yes",E242="Yes"),"Invalid",IF(OR(J242="Yes",Q242="Yes",U242="Yes"),"Warning","Clean"))</f>
        <v>Clean</v>
      </c>
    </row>
    <row r="243" customFormat="false" ht="15" hidden="false" customHeight="false" outlineLevel="0" collapsed="false">
      <c r="A243" s="2" t="s">
        <v>854</v>
      </c>
      <c r="B243" s="3" t="n">
        <v>45844</v>
      </c>
      <c r="C243" s="3" t="n">
        <v>45844</v>
      </c>
      <c r="D243" s="2" t="s">
        <v>41</v>
      </c>
      <c r="E243" s="2" t="s">
        <v>41</v>
      </c>
      <c r="F243" s="2" t="s">
        <v>855</v>
      </c>
      <c r="G243" s="2" t="s">
        <v>152</v>
      </c>
      <c r="H243" s="2" t="s">
        <v>110</v>
      </c>
      <c r="I243" s="2" t="s">
        <v>45</v>
      </c>
      <c r="J243" s="2" t="s">
        <v>41</v>
      </c>
      <c r="K243" s="2" t="s">
        <v>258</v>
      </c>
      <c r="L243" s="2" t="s">
        <v>259</v>
      </c>
      <c r="M243" s="2" t="s">
        <v>48</v>
      </c>
      <c r="N243" s="2" t="s">
        <v>144</v>
      </c>
      <c r="O243" s="2" t="s">
        <v>856</v>
      </c>
      <c r="P243" s="2" t="s">
        <v>79</v>
      </c>
      <c r="Q243" s="2" t="s">
        <v>41</v>
      </c>
      <c r="R243" s="2" t="n">
        <v>1</v>
      </c>
      <c r="S243" s="2" t="n">
        <v>1617.2</v>
      </c>
      <c r="T243" s="2" t="n">
        <v>0.25</v>
      </c>
      <c r="U243" s="2" t="str">
        <f aca="false">IF(ISBLANK(T243),"Yes","No")</f>
        <v>No</v>
      </c>
      <c r="V243" s="2" t="n">
        <f aca="false">IF(ISBLANK(T243),0,IF(ISNUMBER(T243),T243,VALUE(LEFT(T243,LEN(T243)-1))/100))</f>
        <v>0.25</v>
      </c>
      <c r="W243" s="2" t="str">
        <f aca="false">IF(AND(V243&gt;=0,V243&lt;=0.25),"Valid","Invalid")</f>
        <v>Valid</v>
      </c>
      <c r="X243" s="2" t="n">
        <v>1212.9</v>
      </c>
      <c r="Y243" s="2" t="n">
        <f aca="false">R243*S243*(1-V243)</f>
        <v>1212.9</v>
      </c>
      <c r="Z243" s="2" t="str">
        <f aca="false">IF(ABS(X243-Y243)&gt;1,"Mismatch","OK")</f>
        <v>OK</v>
      </c>
      <c r="AA243" s="2" t="n">
        <v>690.52</v>
      </c>
      <c r="AB243" s="2" t="n">
        <v>522.38</v>
      </c>
      <c r="AC243" s="2" t="n">
        <f aca="false">Y243-AA243</f>
        <v>522.38</v>
      </c>
      <c r="AD243" s="2" t="str">
        <f aca="false">IF(ABS(AB243-AC243)&gt;1,"Mismatch","OK")</f>
        <v>OK</v>
      </c>
      <c r="AE243" s="4" t="n">
        <f aca="false">IF(Y243=0,0,AC243/Y243)</f>
        <v>0.430686783741446</v>
      </c>
      <c r="AF243" s="2" t="s">
        <v>131</v>
      </c>
      <c r="AG243" s="2" t="s">
        <v>123</v>
      </c>
      <c r="AH243" s="2" t="str">
        <f aca="false">IF(AND(AG243="Completed",AF243&lt;&gt;"Paid"),"Inconsistent","OK")</f>
        <v>OK</v>
      </c>
      <c r="AI243" s="2" t="n">
        <f aca="false">IF(OR(ISBLANK(B243),ISBLANK(C243)),"",C243-B243)</f>
        <v>0</v>
      </c>
      <c r="AJ243" s="2" t="str">
        <f aca="false">IF(AI243="","Unknown",IF(AI243&lt;0,"Invalid","OK"))</f>
        <v>OK</v>
      </c>
      <c r="AK243" s="2" t="str">
        <f aca="false">IF(ISBLANK(B243),"",TEXT(B243,"mmm"))</f>
        <v>Jul</v>
      </c>
      <c r="AL243" s="2" t="n">
        <f aca="false">IF(ISBLANK(B243),"",YEAR(B243))</f>
        <v>2025</v>
      </c>
      <c r="AM243" s="2" t="s">
        <v>41</v>
      </c>
      <c r="AN243" s="2" t="str">
        <f aca="false">IF(OR(W243="Invalid",AJ243="Invalid",AH243="Inconsistent",Z243="Mismatch",AD243="Mismatch",AM243="Yes",D243="Yes",E243="Yes"),"Invalid",IF(OR(J243="Yes",Q243="Yes",U243="Yes"),"Warning","Clean"))</f>
        <v>Clean</v>
      </c>
    </row>
    <row r="244" customFormat="false" ht="15" hidden="false" customHeight="false" outlineLevel="0" collapsed="false">
      <c r="A244" s="2" t="s">
        <v>857</v>
      </c>
      <c r="B244" s="3" t="n">
        <v>45695</v>
      </c>
      <c r="C244" s="3" t="n">
        <v>45695</v>
      </c>
      <c r="D244" s="2" t="s">
        <v>41</v>
      </c>
      <c r="E244" s="2" t="s">
        <v>41</v>
      </c>
      <c r="F244" s="2" t="s">
        <v>858</v>
      </c>
      <c r="G244" s="2" t="s">
        <v>73</v>
      </c>
      <c r="H244" s="2" t="s">
        <v>44</v>
      </c>
      <c r="I244" s="2" t="s">
        <v>45</v>
      </c>
      <c r="J244" s="2" t="s">
        <v>41</v>
      </c>
      <c r="K244" s="2" t="s">
        <v>156</v>
      </c>
      <c r="L244" s="2" t="s">
        <v>157</v>
      </c>
      <c r="M244" s="2" t="s">
        <v>48</v>
      </c>
      <c r="N244" s="2" t="s">
        <v>68</v>
      </c>
      <c r="O244" s="2" t="s">
        <v>859</v>
      </c>
      <c r="P244" s="2" t="s">
        <v>51</v>
      </c>
      <c r="Q244" s="2" t="s">
        <v>41</v>
      </c>
      <c r="R244" s="2" t="n">
        <v>3</v>
      </c>
      <c r="S244" s="2" t="n">
        <v>1999.24</v>
      </c>
      <c r="T244" s="2" t="n">
        <v>0.05</v>
      </c>
      <c r="U244" s="2" t="str">
        <f aca="false">IF(ISBLANK(T244),"Yes","No")</f>
        <v>No</v>
      </c>
      <c r="V244" s="2" t="n">
        <f aca="false">IF(ISBLANK(T244),0,IF(ISNUMBER(T244),T244,VALUE(LEFT(T244,LEN(T244)-1))/100))</f>
        <v>0.05</v>
      </c>
      <c r="W244" s="2" t="str">
        <f aca="false">IF(AND(V244&gt;=0,V244&lt;=0.25),"Valid","Invalid")</f>
        <v>Valid</v>
      </c>
      <c r="X244" s="2" t="n">
        <v>5697.83</v>
      </c>
      <c r="Y244" s="2" t="n">
        <f aca="false">R244*S244*(1-V244)</f>
        <v>5697.834</v>
      </c>
      <c r="Z244" s="2" t="str">
        <f aca="false">IF(ABS(X244-Y244)&gt;1,"Mismatch","OK")</f>
        <v>OK</v>
      </c>
      <c r="AA244" s="2" t="n">
        <v>4251.5</v>
      </c>
      <c r="AB244" s="2" t="n">
        <v>1446.33</v>
      </c>
      <c r="AC244" s="2" t="n">
        <f aca="false">Y244-AA244</f>
        <v>1446.334</v>
      </c>
      <c r="AD244" s="2" t="str">
        <f aca="false">IF(ABS(AB244-AC244)&gt;1,"Mismatch","OK")</f>
        <v>OK</v>
      </c>
      <c r="AE244" s="4" t="n">
        <f aca="false">IF(Y244=0,0,AC244/Y244)</f>
        <v>0.253839265938601</v>
      </c>
      <c r="AF244" s="2" t="s">
        <v>52</v>
      </c>
      <c r="AG244" s="2" t="s">
        <v>53</v>
      </c>
      <c r="AH244" s="2" t="str">
        <f aca="false">IF(AND(AG244="Completed",AF244&lt;&gt;"Paid"),"Inconsistent","OK")</f>
        <v>OK</v>
      </c>
      <c r="AI244" s="2" t="n">
        <f aca="false">IF(OR(ISBLANK(B244),ISBLANK(C244)),"",C244-B244)</f>
        <v>0</v>
      </c>
      <c r="AJ244" s="2" t="str">
        <f aca="false">IF(AI244="","Unknown",IF(AI244&lt;0,"Invalid","OK"))</f>
        <v>OK</v>
      </c>
      <c r="AK244" s="2" t="str">
        <f aca="false">IF(ISBLANK(B244),"",TEXT(B244,"mmm"))</f>
        <v>Feb</v>
      </c>
      <c r="AL244" s="2" t="n">
        <f aca="false">IF(ISBLANK(B244),"",YEAR(B244))</f>
        <v>2025</v>
      </c>
      <c r="AM244" s="2" t="s">
        <v>41</v>
      </c>
      <c r="AN244" s="2" t="str">
        <f aca="false">IF(OR(W244="Invalid",AJ244="Invalid",AH244="Inconsistent",Z244="Mismatch",AD244="Mismatch",AM244="Yes",D244="Yes",E244="Yes"),"Invalid",IF(OR(J244="Yes",Q244="Yes",U244="Yes"),"Warning","Clean"))</f>
        <v>Clean</v>
      </c>
    </row>
    <row r="245" customFormat="false" ht="15" hidden="false" customHeight="false" outlineLevel="0" collapsed="false">
      <c r="A245" s="2" t="s">
        <v>860</v>
      </c>
      <c r="B245" s="3" t="n">
        <v>45867</v>
      </c>
      <c r="C245" s="3" t="n">
        <v>45871</v>
      </c>
      <c r="D245" s="2" t="s">
        <v>41</v>
      </c>
      <c r="E245" s="2" t="s">
        <v>41</v>
      </c>
      <c r="F245" s="2" t="s">
        <v>861</v>
      </c>
      <c r="G245" s="2" t="s">
        <v>152</v>
      </c>
      <c r="H245" s="2" t="s">
        <v>57</v>
      </c>
      <c r="I245" s="2" t="s">
        <v>225</v>
      </c>
      <c r="J245" s="2" t="s">
        <v>226</v>
      </c>
      <c r="K245" s="2" t="s">
        <v>92</v>
      </c>
      <c r="L245" s="2" t="s">
        <v>93</v>
      </c>
      <c r="M245" s="2" t="s">
        <v>94</v>
      </c>
      <c r="N245" s="2" t="s">
        <v>95</v>
      </c>
      <c r="O245" s="2" t="s">
        <v>862</v>
      </c>
      <c r="P245" s="2" t="s">
        <v>70</v>
      </c>
      <c r="Q245" s="2" t="s">
        <v>41</v>
      </c>
      <c r="R245" s="2" t="n">
        <v>1</v>
      </c>
      <c r="S245" s="2" t="n">
        <v>4499.46</v>
      </c>
      <c r="T245" s="2" t="n">
        <v>0.1</v>
      </c>
      <c r="U245" s="2" t="str">
        <f aca="false">IF(ISBLANK(T245),"Yes","No")</f>
        <v>No</v>
      </c>
      <c r="V245" s="2" t="n">
        <f aca="false">IF(ISBLANK(T245),0,IF(ISNUMBER(T245),T245,VALUE(LEFT(T245,LEN(T245)-1))/100))</f>
        <v>0.1</v>
      </c>
      <c r="W245" s="2" t="str">
        <f aca="false">IF(AND(V245&gt;=0,V245&lt;=0.25),"Valid","Invalid")</f>
        <v>Valid</v>
      </c>
      <c r="X245" s="2" t="n">
        <v>4049.51</v>
      </c>
      <c r="Y245" s="2" t="n">
        <f aca="false">R245*S245*(1-V245)</f>
        <v>4049.514</v>
      </c>
      <c r="Z245" s="2" t="str">
        <f aca="false">IF(ABS(X245-Y245)&gt;1,"Mismatch","OK")</f>
        <v>OK</v>
      </c>
      <c r="AA245" s="2" t="n">
        <v>2509.2</v>
      </c>
      <c r="AB245" s="2" t="n">
        <v>1540.31</v>
      </c>
      <c r="AC245" s="2" t="n">
        <f aca="false">Y245-AA245</f>
        <v>1540.314</v>
      </c>
      <c r="AD245" s="2" t="str">
        <f aca="false">IF(ABS(AB245-AC245)&gt;1,"Mismatch","OK")</f>
        <v>OK</v>
      </c>
      <c r="AE245" s="4" t="n">
        <f aca="false">IF(Y245=0,0,AC245/Y245)</f>
        <v>0.380370088855107</v>
      </c>
      <c r="AF245" s="2" t="s">
        <v>52</v>
      </c>
      <c r="AG245" s="2" t="s">
        <v>53</v>
      </c>
      <c r="AH245" s="2" t="str">
        <f aca="false">IF(AND(AG245="Completed",AF245&lt;&gt;"Paid"),"Inconsistent","OK")</f>
        <v>OK</v>
      </c>
      <c r="AI245" s="2" t="n">
        <f aca="false">IF(OR(ISBLANK(B245),ISBLANK(C245)),"",C245-B245)</f>
        <v>4</v>
      </c>
      <c r="AJ245" s="2" t="str">
        <f aca="false">IF(AI245="","Unknown",IF(AI245&lt;0,"Invalid","OK"))</f>
        <v>OK</v>
      </c>
      <c r="AK245" s="2" t="str">
        <f aca="false">IF(ISBLANK(B245),"",TEXT(B245,"mmm"))</f>
        <v>Jul</v>
      </c>
      <c r="AL245" s="2" t="n">
        <f aca="false">IF(ISBLANK(B245),"",YEAR(B245))</f>
        <v>2025</v>
      </c>
      <c r="AM245" s="2" t="s">
        <v>41</v>
      </c>
      <c r="AN245" s="2" t="str">
        <f aca="false">IF(OR(W245="Invalid",AJ245="Invalid",AH245="Inconsistent",Z245="Mismatch",AD245="Mismatch",AM245="Yes",D245="Yes",E245="Yes"),"Invalid",IF(OR(J245="Yes",Q245="Yes",U245="Yes"),"Warning","Clean"))</f>
        <v>Warning</v>
      </c>
    </row>
    <row r="246" customFormat="false" ht="15" hidden="false" customHeight="false" outlineLevel="0" collapsed="false">
      <c r="A246" s="2" t="s">
        <v>863</v>
      </c>
      <c r="B246" s="3" t="n">
        <v>45527</v>
      </c>
      <c r="C246" s="3" t="n">
        <v>45528</v>
      </c>
      <c r="D246" s="2" t="s">
        <v>41</v>
      </c>
      <c r="E246" s="2" t="s">
        <v>41</v>
      </c>
      <c r="F246" s="2" t="s">
        <v>864</v>
      </c>
      <c r="G246" s="2" t="s">
        <v>99</v>
      </c>
      <c r="H246" s="2" t="s">
        <v>44</v>
      </c>
      <c r="I246" s="2" t="s">
        <v>74</v>
      </c>
      <c r="J246" s="2" t="s">
        <v>41</v>
      </c>
      <c r="K246" s="2" t="s">
        <v>75</v>
      </c>
      <c r="L246" s="2" t="s">
        <v>76</v>
      </c>
      <c r="M246" s="2" t="s">
        <v>61</v>
      </c>
      <c r="N246" s="2" t="s">
        <v>178</v>
      </c>
      <c r="O246" s="2" t="s">
        <v>865</v>
      </c>
      <c r="P246" s="2" t="s">
        <v>64</v>
      </c>
      <c r="Q246" s="2" t="s">
        <v>41</v>
      </c>
      <c r="R246" s="2" t="n">
        <v>6</v>
      </c>
      <c r="S246" s="2" t="n">
        <v>1021.89</v>
      </c>
      <c r="T246" s="2" t="n">
        <v>0</v>
      </c>
      <c r="U246" s="2" t="str">
        <f aca="false">IF(ISBLANK(T246),"Yes","No")</f>
        <v>No</v>
      </c>
      <c r="V246" s="2" t="n">
        <f aca="false">IF(ISBLANK(T246),0,IF(ISNUMBER(T246),T246,VALUE(LEFT(T246,LEN(T246)-1))/100))</f>
        <v>0</v>
      </c>
      <c r="W246" s="2" t="str">
        <f aca="false">IF(AND(V246&gt;=0,V246&lt;=0.25),"Valid","Invalid")</f>
        <v>Valid</v>
      </c>
      <c r="X246" s="2" t="n">
        <v>6131.34</v>
      </c>
      <c r="Y246" s="2" t="n">
        <f aca="false">R246*S246*(1-V246)</f>
        <v>6131.34</v>
      </c>
      <c r="Z246" s="2" t="str">
        <f aca="false">IF(ABS(X246-Y246)&gt;1,"Mismatch","OK")</f>
        <v>OK</v>
      </c>
      <c r="AA246" s="2" t="n">
        <v>4060.88</v>
      </c>
      <c r="AB246" s="2" t="n">
        <v>2070.46</v>
      </c>
      <c r="AC246" s="2" t="n">
        <f aca="false">Y246-AA246</f>
        <v>2070.46</v>
      </c>
      <c r="AD246" s="2" t="str">
        <f aca="false">IF(ABS(AB246-AC246)&gt;1,"Mismatch","OK")</f>
        <v>OK</v>
      </c>
      <c r="AE246" s="4" t="n">
        <f aca="false">IF(Y246=0,0,AC246/Y246)</f>
        <v>0.337684747542951</v>
      </c>
      <c r="AF246" s="2" t="s">
        <v>52</v>
      </c>
      <c r="AG246" s="2" t="s">
        <v>53</v>
      </c>
      <c r="AH246" s="2" t="str">
        <f aca="false">IF(AND(AG246="Completed",AF246&lt;&gt;"Paid"),"Inconsistent","OK")</f>
        <v>OK</v>
      </c>
      <c r="AI246" s="2" t="n">
        <f aca="false">IF(OR(ISBLANK(B246),ISBLANK(C246)),"",C246-B246)</f>
        <v>1</v>
      </c>
      <c r="AJ246" s="2" t="str">
        <f aca="false">IF(AI246="","Unknown",IF(AI246&lt;0,"Invalid","OK"))</f>
        <v>OK</v>
      </c>
      <c r="AK246" s="2" t="str">
        <f aca="false">IF(ISBLANK(B246),"",TEXT(B246,"mmm"))</f>
        <v>Aug</v>
      </c>
      <c r="AL246" s="2" t="n">
        <f aca="false">IF(ISBLANK(B246),"",YEAR(B246))</f>
        <v>2024</v>
      </c>
      <c r="AM246" s="2" t="s">
        <v>41</v>
      </c>
      <c r="AN246" s="2" t="str">
        <f aca="false">IF(OR(W246="Invalid",AJ246="Invalid",AH246="Inconsistent",Z246="Mismatch",AD246="Mismatch",AM246="Yes",D246="Yes",E246="Yes"),"Invalid",IF(OR(J246="Yes",Q246="Yes",U246="Yes"),"Warning","Clean"))</f>
        <v>Clean</v>
      </c>
    </row>
    <row r="247" customFormat="false" ht="15" hidden="false" customHeight="false" outlineLevel="0" collapsed="false">
      <c r="A247" s="2" t="s">
        <v>866</v>
      </c>
      <c r="B247" s="3" t="n">
        <v>45583</v>
      </c>
      <c r="C247" s="3" t="n">
        <v>45589</v>
      </c>
      <c r="D247" s="2" t="s">
        <v>41</v>
      </c>
      <c r="E247" s="2" t="s">
        <v>41</v>
      </c>
      <c r="F247" s="2" t="s">
        <v>867</v>
      </c>
      <c r="G247" s="2" t="s">
        <v>99</v>
      </c>
      <c r="H247" s="2" t="s">
        <v>115</v>
      </c>
      <c r="I247" s="2" t="s">
        <v>74</v>
      </c>
      <c r="J247" s="2" t="s">
        <v>41</v>
      </c>
      <c r="K247" s="2" t="s">
        <v>205</v>
      </c>
      <c r="L247" s="2" t="s">
        <v>206</v>
      </c>
      <c r="M247" s="2" t="s">
        <v>61</v>
      </c>
      <c r="N247" s="2" t="s">
        <v>86</v>
      </c>
      <c r="O247" s="2" t="s">
        <v>868</v>
      </c>
      <c r="P247" s="2" t="s">
        <v>51</v>
      </c>
      <c r="Q247" s="2" t="s">
        <v>41</v>
      </c>
      <c r="R247" s="2" t="n">
        <v>3</v>
      </c>
      <c r="S247" s="2" t="n">
        <v>3275.93</v>
      </c>
      <c r="T247" s="2" t="n">
        <v>0</v>
      </c>
      <c r="U247" s="2" t="str">
        <f aca="false">IF(ISBLANK(T247),"Yes","No")</f>
        <v>No</v>
      </c>
      <c r="V247" s="2" t="n">
        <f aca="false">IF(ISBLANK(T247),0,IF(ISNUMBER(T247),T247,VALUE(LEFT(T247,LEN(T247)-1))/100))</f>
        <v>0</v>
      </c>
      <c r="W247" s="2" t="str">
        <f aca="false">IF(AND(V247&gt;=0,V247&lt;=0.25),"Valid","Invalid")</f>
        <v>Valid</v>
      </c>
      <c r="X247" s="2" t="n">
        <v>9827.79</v>
      </c>
      <c r="Y247" s="2" t="n">
        <f aca="false">R247*S247*(1-V247)</f>
        <v>9827.79</v>
      </c>
      <c r="Z247" s="2" t="str">
        <f aca="false">IF(ABS(X247-Y247)&gt;1,"Mismatch","OK")</f>
        <v>OK</v>
      </c>
      <c r="AA247" s="2" t="n">
        <v>5478.28</v>
      </c>
      <c r="AB247" s="2" t="n">
        <v>4349.51</v>
      </c>
      <c r="AC247" s="2" t="n">
        <f aca="false">Y247-AA247</f>
        <v>4349.51</v>
      </c>
      <c r="AD247" s="2" t="str">
        <f aca="false">IF(ABS(AB247-AC247)&gt;1,"Mismatch","OK")</f>
        <v>OK</v>
      </c>
      <c r="AE247" s="4" t="n">
        <f aca="false">IF(Y247=0,0,AC247/Y247)</f>
        <v>0.442572541741327</v>
      </c>
      <c r="AF247" s="2" t="s">
        <v>52</v>
      </c>
      <c r="AG247" s="2" t="s">
        <v>53</v>
      </c>
      <c r="AH247" s="2" t="str">
        <f aca="false">IF(AND(AG247="Completed",AF247&lt;&gt;"Paid"),"Inconsistent","OK")</f>
        <v>OK</v>
      </c>
      <c r="AI247" s="2" t="n">
        <f aca="false">IF(OR(ISBLANK(B247),ISBLANK(C247)),"",C247-B247)</f>
        <v>6</v>
      </c>
      <c r="AJ247" s="2" t="str">
        <f aca="false">IF(AI247="","Unknown",IF(AI247&lt;0,"Invalid","OK"))</f>
        <v>OK</v>
      </c>
      <c r="AK247" s="2" t="str">
        <f aca="false">IF(ISBLANK(B247),"",TEXT(B247,"mmm"))</f>
        <v>Oct</v>
      </c>
      <c r="AL247" s="2" t="n">
        <f aca="false">IF(ISBLANK(B247),"",YEAR(B247))</f>
        <v>2024</v>
      </c>
      <c r="AM247" s="2" t="s">
        <v>41</v>
      </c>
      <c r="AN247" s="2" t="str">
        <f aca="false">IF(OR(W247="Invalid",AJ247="Invalid",AH247="Inconsistent",Z247="Mismatch",AD247="Mismatch",AM247="Yes",D247="Yes",E247="Yes"),"Invalid",IF(OR(J247="Yes",Q247="Yes",U247="Yes"),"Warning","Clean"))</f>
        <v>Clean</v>
      </c>
    </row>
    <row r="248" customFormat="false" ht="15" hidden="false" customHeight="false" outlineLevel="0" collapsed="false">
      <c r="A248" s="2" t="s">
        <v>869</v>
      </c>
      <c r="B248" s="3" t="n">
        <v>45416</v>
      </c>
      <c r="C248" s="3" t="n">
        <v>45421</v>
      </c>
      <c r="D248" s="2" t="s">
        <v>41</v>
      </c>
      <c r="E248" s="2" t="s">
        <v>41</v>
      </c>
      <c r="F248" s="2" t="s">
        <v>870</v>
      </c>
      <c r="G248" s="2" t="s">
        <v>82</v>
      </c>
      <c r="H248" s="2" t="s">
        <v>110</v>
      </c>
      <c r="I248" s="2" t="s">
        <v>45</v>
      </c>
      <c r="J248" s="2" t="s">
        <v>41</v>
      </c>
      <c r="K248" s="2" t="s">
        <v>142</v>
      </c>
      <c r="L248" s="2" t="s">
        <v>143</v>
      </c>
      <c r="M248" s="2" t="s">
        <v>94</v>
      </c>
      <c r="N248" s="2" t="s">
        <v>296</v>
      </c>
      <c r="O248" s="2" t="s">
        <v>871</v>
      </c>
      <c r="P248" s="2" t="s">
        <v>64</v>
      </c>
      <c r="Q248" s="2" t="s">
        <v>41</v>
      </c>
      <c r="R248" s="2" t="n">
        <v>3</v>
      </c>
      <c r="S248" s="2" t="n">
        <v>231.95</v>
      </c>
      <c r="T248" s="2" t="n">
        <v>0.25</v>
      </c>
      <c r="U248" s="2" t="str">
        <f aca="false">IF(ISBLANK(T248),"Yes","No")</f>
        <v>No</v>
      </c>
      <c r="V248" s="2" t="n">
        <f aca="false">IF(ISBLANK(T248),0,IF(ISNUMBER(T248),T248,VALUE(LEFT(T248,LEN(T248)-1))/100))</f>
        <v>0.25</v>
      </c>
      <c r="W248" s="2" t="str">
        <f aca="false">IF(AND(V248&gt;=0,V248&lt;=0.25),"Valid","Invalid")</f>
        <v>Valid</v>
      </c>
      <c r="X248" s="2" t="n">
        <v>521.89</v>
      </c>
      <c r="Y248" s="2" t="n">
        <f aca="false">R248*S248*(1-V248)</f>
        <v>521.8875</v>
      </c>
      <c r="Z248" s="2" t="str">
        <f aca="false">IF(ABS(X248-Y248)&gt;1,"Mismatch","OK")</f>
        <v>OK</v>
      </c>
      <c r="AA248" s="2" t="n">
        <v>444.52</v>
      </c>
      <c r="AB248" s="2" t="n">
        <v>77.37</v>
      </c>
      <c r="AC248" s="2" t="n">
        <f aca="false">Y248-AA248</f>
        <v>77.3675</v>
      </c>
      <c r="AD248" s="2" t="str">
        <f aca="false">IF(ABS(AB248-AC248)&gt;1,"Mismatch","OK")</f>
        <v>OK</v>
      </c>
      <c r="AE248" s="4" t="n">
        <f aca="false">IF(Y248=0,0,AC248/Y248)</f>
        <v>0.148245551004766</v>
      </c>
      <c r="AF248" s="2" t="s">
        <v>122</v>
      </c>
      <c r="AG248" s="2" t="s">
        <v>88</v>
      </c>
      <c r="AH248" s="2" t="str">
        <f aca="false">IF(AND(AG248="Completed",AF248&lt;&gt;"Paid"),"Inconsistent","OK")</f>
        <v>OK</v>
      </c>
      <c r="AI248" s="2" t="n">
        <f aca="false">IF(OR(ISBLANK(B248),ISBLANK(C248)),"",C248-B248)</f>
        <v>5</v>
      </c>
      <c r="AJ248" s="2" t="str">
        <f aca="false">IF(AI248="","Unknown",IF(AI248&lt;0,"Invalid","OK"))</f>
        <v>OK</v>
      </c>
      <c r="AK248" s="2" t="str">
        <f aca="false">IF(ISBLANK(B248),"",TEXT(B248,"mmm"))</f>
        <v>May</v>
      </c>
      <c r="AL248" s="2" t="n">
        <f aca="false">IF(ISBLANK(B248),"",YEAR(B248))</f>
        <v>2024</v>
      </c>
      <c r="AM248" s="2" t="s">
        <v>41</v>
      </c>
      <c r="AN248" s="2" t="str">
        <f aca="false">IF(OR(W248="Invalid",AJ248="Invalid",AH248="Inconsistent",Z248="Mismatch",AD248="Mismatch",AM248="Yes",D248="Yes",E248="Yes"),"Invalid",IF(OR(J248="Yes",Q248="Yes",U248="Yes"),"Warning","Clean"))</f>
        <v>Clean</v>
      </c>
    </row>
    <row r="249" customFormat="false" ht="15" hidden="false" customHeight="false" outlineLevel="0" collapsed="false">
      <c r="A249" s="2" t="s">
        <v>872</v>
      </c>
      <c r="B249" s="3" t="n">
        <v>45498</v>
      </c>
      <c r="C249" s="3" t="n">
        <v>45505</v>
      </c>
      <c r="D249" s="2" t="s">
        <v>41</v>
      </c>
      <c r="E249" s="2" t="s">
        <v>41</v>
      </c>
      <c r="F249" s="2" t="s">
        <v>873</v>
      </c>
      <c r="G249" s="2" t="s">
        <v>138</v>
      </c>
      <c r="H249" s="2" t="s">
        <v>110</v>
      </c>
      <c r="I249" s="2" t="s">
        <v>45</v>
      </c>
      <c r="J249" s="2" t="s">
        <v>41</v>
      </c>
      <c r="K249" s="2" t="s">
        <v>46</v>
      </c>
      <c r="L249" s="2" t="s">
        <v>47</v>
      </c>
      <c r="M249" s="2" t="s">
        <v>94</v>
      </c>
      <c r="N249" s="2" t="s">
        <v>95</v>
      </c>
      <c r="O249" s="2" t="s">
        <v>874</v>
      </c>
      <c r="P249" s="2" t="s">
        <v>51</v>
      </c>
      <c r="Q249" s="2" t="s">
        <v>41</v>
      </c>
      <c r="R249" s="2" t="n">
        <v>8</v>
      </c>
      <c r="S249" s="2" t="n">
        <v>2493.4</v>
      </c>
      <c r="T249" s="2" t="n">
        <v>0.25</v>
      </c>
      <c r="U249" s="2" t="str">
        <f aca="false">IF(ISBLANK(T249),"Yes","No")</f>
        <v>No</v>
      </c>
      <c r="V249" s="2" t="n">
        <f aca="false">IF(ISBLANK(T249),0,IF(ISNUMBER(T249),T249,VALUE(LEFT(T249,LEN(T249)-1))/100))</f>
        <v>0.25</v>
      </c>
      <c r="W249" s="2" t="str">
        <f aca="false">IF(AND(V249&gt;=0,V249&lt;=0.25),"Valid","Invalid")</f>
        <v>Valid</v>
      </c>
      <c r="X249" s="2" t="n">
        <v>14960.4</v>
      </c>
      <c r="Y249" s="2" t="n">
        <f aca="false">R249*S249*(1-V249)</f>
        <v>14960.4</v>
      </c>
      <c r="Z249" s="2" t="str">
        <f aca="false">IF(ABS(X249-Y249)&gt;1,"Mismatch","OK")</f>
        <v>OK</v>
      </c>
      <c r="AA249" s="2" t="n">
        <v>12500.84</v>
      </c>
      <c r="AB249" s="2" t="n">
        <v>2459.56</v>
      </c>
      <c r="AC249" s="2" t="n">
        <f aca="false">Y249-AA249</f>
        <v>2459.56</v>
      </c>
      <c r="AD249" s="2" t="str">
        <f aca="false">IF(ABS(AB249-AC249)&gt;1,"Mismatch","OK")</f>
        <v>OK</v>
      </c>
      <c r="AE249" s="4" t="n">
        <f aca="false">IF(Y249=0,0,AC249/Y249)</f>
        <v>0.164404695061629</v>
      </c>
      <c r="AF249" s="2" t="s">
        <v>52</v>
      </c>
      <c r="AG249" s="2" t="s">
        <v>53</v>
      </c>
      <c r="AH249" s="2" t="str">
        <f aca="false">IF(AND(AG249="Completed",AF249&lt;&gt;"Paid"),"Inconsistent","OK")</f>
        <v>OK</v>
      </c>
      <c r="AI249" s="2" t="n">
        <f aca="false">IF(OR(ISBLANK(B249),ISBLANK(C249)),"",C249-B249)</f>
        <v>7</v>
      </c>
      <c r="AJ249" s="2" t="str">
        <f aca="false">IF(AI249="","Unknown",IF(AI249&lt;0,"Invalid","OK"))</f>
        <v>OK</v>
      </c>
      <c r="AK249" s="2" t="str">
        <f aca="false">IF(ISBLANK(B249),"",TEXT(B249,"mmm"))</f>
        <v>Jul</v>
      </c>
      <c r="AL249" s="2" t="n">
        <f aca="false">IF(ISBLANK(B249),"",YEAR(B249))</f>
        <v>2024</v>
      </c>
      <c r="AM249" s="2" t="s">
        <v>41</v>
      </c>
      <c r="AN249" s="2" t="str">
        <f aca="false">IF(OR(W249="Invalid",AJ249="Invalid",AH249="Inconsistent",Z249="Mismatch",AD249="Mismatch",AM249="Yes",D249="Yes",E249="Yes"),"Invalid",IF(OR(J249="Yes",Q249="Yes",U249="Yes"),"Warning","Clean"))</f>
        <v>Clean</v>
      </c>
    </row>
    <row r="250" customFormat="false" ht="15" hidden="false" customHeight="false" outlineLevel="0" collapsed="false">
      <c r="A250" s="2" t="s">
        <v>875</v>
      </c>
      <c r="B250" s="3" t="n">
        <v>45445</v>
      </c>
      <c r="C250" s="3" t="n">
        <v>45450</v>
      </c>
      <c r="D250" s="2" t="s">
        <v>41</v>
      </c>
      <c r="E250" s="2" t="s">
        <v>41</v>
      </c>
      <c r="F250" s="2" t="s">
        <v>876</v>
      </c>
      <c r="G250" s="2" t="s">
        <v>161</v>
      </c>
      <c r="H250" s="2" t="s">
        <v>115</v>
      </c>
      <c r="I250" s="2" t="s">
        <v>58</v>
      </c>
      <c r="J250" s="2" t="s">
        <v>41</v>
      </c>
      <c r="K250" s="2" t="s">
        <v>59</v>
      </c>
      <c r="L250" s="2" t="s">
        <v>60</v>
      </c>
      <c r="M250" s="2" t="s">
        <v>48</v>
      </c>
      <c r="N250" s="2" t="s">
        <v>111</v>
      </c>
      <c r="O250" s="2" t="s">
        <v>877</v>
      </c>
      <c r="P250" s="2" t="s">
        <v>51</v>
      </c>
      <c r="Q250" s="2" t="s">
        <v>41</v>
      </c>
      <c r="R250" s="2" t="n">
        <v>9</v>
      </c>
      <c r="S250" s="2" t="n">
        <v>787.91</v>
      </c>
      <c r="T250" s="2" t="n">
        <v>0.15</v>
      </c>
      <c r="U250" s="2" t="str">
        <f aca="false">IF(ISBLANK(T250),"Yes","No")</f>
        <v>No</v>
      </c>
      <c r="V250" s="2" t="n">
        <f aca="false">IF(ISBLANK(T250),0,IF(ISNUMBER(T250),T250,VALUE(LEFT(T250,LEN(T250)-1))/100))</f>
        <v>0.15</v>
      </c>
      <c r="W250" s="2" t="str">
        <f aca="false">IF(AND(V250&gt;=0,V250&lt;=0.25),"Valid","Invalid")</f>
        <v>Valid</v>
      </c>
      <c r="X250" s="2" t="n">
        <v>6027.51</v>
      </c>
      <c r="Y250" s="2" t="n">
        <f aca="false">R250*S250*(1-V250)</f>
        <v>6027.5115</v>
      </c>
      <c r="Z250" s="2" t="str">
        <f aca="false">IF(ABS(X250-Y250)&gt;1,"Mismatch","OK")</f>
        <v>OK</v>
      </c>
      <c r="AA250" s="2" t="n">
        <v>4883.82</v>
      </c>
      <c r="AB250" s="2" t="n">
        <v>1143.69</v>
      </c>
      <c r="AC250" s="2" t="n">
        <f aca="false">Y250-AA250</f>
        <v>1143.6915</v>
      </c>
      <c r="AD250" s="2" t="str">
        <f aca="false">IF(ABS(AB250-AC250)&gt;1,"Mismatch","OK")</f>
        <v>OK</v>
      </c>
      <c r="AE250" s="4" t="n">
        <f aca="false">IF(Y250=0,0,AC250/Y250)</f>
        <v>0.189745220726663</v>
      </c>
      <c r="AF250" s="2" t="s">
        <v>52</v>
      </c>
      <c r="AG250" s="2" t="s">
        <v>53</v>
      </c>
      <c r="AH250" s="2" t="str">
        <f aca="false">IF(AND(AG250="Completed",AF250&lt;&gt;"Paid"),"Inconsistent","OK")</f>
        <v>OK</v>
      </c>
      <c r="AI250" s="2" t="n">
        <f aca="false">IF(OR(ISBLANK(B250),ISBLANK(C250)),"",C250-B250)</f>
        <v>5</v>
      </c>
      <c r="AJ250" s="2" t="str">
        <f aca="false">IF(AI250="","Unknown",IF(AI250&lt;0,"Invalid","OK"))</f>
        <v>OK</v>
      </c>
      <c r="AK250" s="2" t="str">
        <f aca="false">IF(ISBLANK(B250),"",TEXT(B250,"mmm"))</f>
        <v>Jun</v>
      </c>
      <c r="AL250" s="2" t="n">
        <f aca="false">IF(ISBLANK(B250),"",YEAR(B250))</f>
        <v>2024</v>
      </c>
      <c r="AM250" s="2" t="s">
        <v>41</v>
      </c>
      <c r="AN250" s="2" t="str">
        <f aca="false">IF(OR(W250="Invalid",AJ250="Invalid",AH250="Inconsistent",Z250="Mismatch",AD250="Mismatch",AM250="Yes",D250="Yes",E250="Yes"),"Invalid",IF(OR(J250="Yes",Q250="Yes",U250="Yes"),"Warning","Clean"))</f>
        <v>Clean</v>
      </c>
    </row>
    <row r="251" customFormat="false" ht="15" hidden="false" customHeight="false" outlineLevel="0" collapsed="false">
      <c r="A251" s="2" t="s">
        <v>878</v>
      </c>
      <c r="B251" s="3" t="n">
        <v>45870</v>
      </c>
      <c r="C251" s="3" t="n">
        <v>45871</v>
      </c>
      <c r="D251" s="2" t="s">
        <v>41</v>
      </c>
      <c r="E251" s="2" t="s">
        <v>41</v>
      </c>
      <c r="F251" s="2" t="s">
        <v>879</v>
      </c>
      <c r="G251" s="2" t="s">
        <v>56</v>
      </c>
      <c r="H251" s="2" t="s">
        <v>110</v>
      </c>
      <c r="I251" s="2" t="s">
        <v>45</v>
      </c>
      <c r="J251" s="2" t="s">
        <v>41</v>
      </c>
      <c r="K251" s="2" t="s">
        <v>46</v>
      </c>
      <c r="L251" s="2" t="s">
        <v>47</v>
      </c>
      <c r="M251" s="2" t="s">
        <v>61</v>
      </c>
      <c r="N251" s="2" t="s">
        <v>77</v>
      </c>
      <c r="O251" s="2" t="s">
        <v>880</v>
      </c>
      <c r="P251" s="2" t="s">
        <v>70</v>
      </c>
      <c r="Q251" s="2" t="s">
        <v>41</v>
      </c>
      <c r="R251" s="2" t="n">
        <v>4</v>
      </c>
      <c r="S251" s="2" t="n">
        <v>2790.29</v>
      </c>
      <c r="T251" s="2" t="n">
        <v>0.2</v>
      </c>
      <c r="U251" s="2" t="str">
        <f aca="false">IF(ISBLANK(T251),"Yes","No")</f>
        <v>No</v>
      </c>
      <c r="V251" s="2" t="n">
        <f aca="false">IF(ISBLANK(T251),0,IF(ISNUMBER(T251),T251,VALUE(LEFT(T251,LEN(T251)-1))/100))</f>
        <v>0.2</v>
      </c>
      <c r="W251" s="2" t="str">
        <f aca="false">IF(AND(V251&gt;=0,V251&lt;=0.25),"Valid","Invalid")</f>
        <v>Valid</v>
      </c>
      <c r="X251" s="2" t="n">
        <v>8928.93</v>
      </c>
      <c r="Y251" s="2" t="n">
        <f aca="false">R251*S251*(1-V251)</f>
        <v>8928.928</v>
      </c>
      <c r="Z251" s="2" t="str">
        <f aca="false">IF(ABS(X251-Y251)&gt;1,"Mismatch","OK")</f>
        <v>OK</v>
      </c>
      <c r="AA251" s="2" t="n">
        <v>5634.38</v>
      </c>
      <c r="AB251" s="2" t="n">
        <v>3294.55</v>
      </c>
      <c r="AC251" s="2" t="n">
        <f aca="false">Y251-AA251</f>
        <v>3294.548</v>
      </c>
      <c r="AD251" s="2" t="str">
        <f aca="false">IF(ABS(AB251-AC251)&gt;1,"Mismatch","OK")</f>
        <v>OK</v>
      </c>
      <c r="AE251" s="4" t="n">
        <f aca="false">IF(Y251=0,0,AC251/Y251)</f>
        <v>0.368974640628752</v>
      </c>
      <c r="AF251" s="2" t="s">
        <v>52</v>
      </c>
      <c r="AG251" s="2" t="s">
        <v>53</v>
      </c>
      <c r="AH251" s="2" t="str">
        <f aca="false">IF(AND(AG251="Completed",AF251&lt;&gt;"Paid"),"Inconsistent","OK")</f>
        <v>OK</v>
      </c>
      <c r="AI251" s="2" t="n">
        <f aca="false">IF(OR(ISBLANK(B251),ISBLANK(C251)),"",C251-B251)</f>
        <v>1</v>
      </c>
      <c r="AJ251" s="2" t="str">
        <f aca="false">IF(AI251="","Unknown",IF(AI251&lt;0,"Invalid","OK"))</f>
        <v>OK</v>
      </c>
      <c r="AK251" s="2" t="str">
        <f aca="false">IF(ISBLANK(B251),"",TEXT(B251,"mmm"))</f>
        <v>Aug</v>
      </c>
      <c r="AL251" s="2" t="n">
        <f aca="false">IF(ISBLANK(B251),"",YEAR(B251))</f>
        <v>2025</v>
      </c>
      <c r="AM251" s="2" t="s">
        <v>41</v>
      </c>
      <c r="AN251" s="2" t="str">
        <f aca="false">IF(OR(W251="Invalid",AJ251="Invalid",AH251="Inconsistent",Z251="Mismatch",AD251="Mismatch",AM251="Yes",D251="Yes",E251="Yes"),"Invalid",IF(OR(J251="Yes",Q251="Yes",U251="Yes"),"Warning","Clean"))</f>
        <v>Clean</v>
      </c>
    </row>
    <row r="252" customFormat="false" ht="15" hidden="false" customHeight="false" outlineLevel="0" collapsed="false">
      <c r="A252" s="2" t="s">
        <v>881</v>
      </c>
      <c r="B252" s="3" t="n">
        <v>45343</v>
      </c>
      <c r="C252" s="3" t="n">
        <v>45349</v>
      </c>
      <c r="D252" s="2" t="s">
        <v>41</v>
      </c>
      <c r="E252" s="2" t="s">
        <v>41</v>
      </c>
      <c r="F252" s="2" t="s">
        <v>882</v>
      </c>
      <c r="G252" s="2" t="s">
        <v>73</v>
      </c>
      <c r="H252" s="2" t="s">
        <v>57</v>
      </c>
      <c r="I252" s="2" t="s">
        <v>58</v>
      </c>
      <c r="J252" s="2" t="s">
        <v>41</v>
      </c>
      <c r="K252" s="2" t="s">
        <v>119</v>
      </c>
      <c r="L252" s="2" t="s">
        <v>120</v>
      </c>
      <c r="M252" s="2" t="s">
        <v>61</v>
      </c>
      <c r="N252" s="2" t="s">
        <v>77</v>
      </c>
      <c r="O252" s="2" t="s">
        <v>883</v>
      </c>
      <c r="P252" s="2" t="s">
        <v>79</v>
      </c>
      <c r="Q252" s="2" t="s">
        <v>41</v>
      </c>
      <c r="R252" s="2" t="n">
        <v>5</v>
      </c>
      <c r="S252" s="2" t="n">
        <v>3373.86</v>
      </c>
      <c r="T252" s="2" t="n">
        <v>0.15</v>
      </c>
      <c r="U252" s="2" t="str">
        <f aca="false">IF(ISBLANK(T252),"Yes","No")</f>
        <v>No</v>
      </c>
      <c r="V252" s="2" t="n">
        <f aca="false">IF(ISBLANK(T252),0,IF(ISNUMBER(T252),T252,VALUE(LEFT(T252,LEN(T252)-1))/100))</f>
        <v>0.15</v>
      </c>
      <c r="W252" s="2" t="str">
        <f aca="false">IF(AND(V252&gt;=0,V252&lt;=0.25),"Valid","Invalid")</f>
        <v>Valid</v>
      </c>
      <c r="X252" s="2" t="n">
        <v>14338.9</v>
      </c>
      <c r="Y252" s="2" t="n">
        <f aca="false">R252*S252*(1-V252)</f>
        <v>14338.905</v>
      </c>
      <c r="Z252" s="2" t="str">
        <f aca="false">IF(ABS(X252-Y252)&gt;1,"Mismatch","OK")</f>
        <v>OK</v>
      </c>
      <c r="AA252" s="2" t="n">
        <v>11897.65</v>
      </c>
      <c r="AB252" s="2" t="n">
        <v>2441.25</v>
      </c>
      <c r="AC252" s="2" t="n">
        <f aca="false">Y252-AA252</f>
        <v>2441.255</v>
      </c>
      <c r="AD252" s="2" t="str">
        <f aca="false">IF(ABS(AB252-AC252)&gt;1,"Mismatch","OK")</f>
        <v>OK</v>
      </c>
      <c r="AE252" s="4" t="n">
        <f aca="false">IF(Y252=0,0,AC252/Y252)</f>
        <v>0.170253935011076</v>
      </c>
      <c r="AF252" s="2" t="s">
        <v>131</v>
      </c>
      <c r="AG252" s="2" t="s">
        <v>123</v>
      </c>
      <c r="AH252" s="2" t="str">
        <f aca="false">IF(AND(AG252="Completed",AF252&lt;&gt;"Paid"),"Inconsistent","OK")</f>
        <v>OK</v>
      </c>
      <c r="AI252" s="2" t="n">
        <f aca="false">IF(OR(ISBLANK(B252),ISBLANK(C252)),"",C252-B252)</f>
        <v>6</v>
      </c>
      <c r="AJ252" s="2" t="str">
        <f aca="false">IF(AI252="","Unknown",IF(AI252&lt;0,"Invalid","OK"))</f>
        <v>OK</v>
      </c>
      <c r="AK252" s="2" t="str">
        <f aca="false">IF(ISBLANK(B252),"",TEXT(B252,"mmm"))</f>
        <v>Feb</v>
      </c>
      <c r="AL252" s="2" t="n">
        <f aca="false">IF(ISBLANK(B252),"",YEAR(B252))</f>
        <v>2024</v>
      </c>
      <c r="AM252" s="2" t="s">
        <v>41</v>
      </c>
      <c r="AN252" s="2" t="str">
        <f aca="false">IF(OR(W252="Invalid",AJ252="Invalid",AH252="Inconsistent",Z252="Mismatch",AD252="Mismatch",AM252="Yes",D252="Yes",E252="Yes"),"Invalid",IF(OR(J252="Yes",Q252="Yes",U252="Yes"),"Warning","Clean"))</f>
        <v>Clean</v>
      </c>
    </row>
    <row r="253" customFormat="false" ht="15" hidden="false" customHeight="false" outlineLevel="0" collapsed="false">
      <c r="A253" s="2" t="s">
        <v>884</v>
      </c>
      <c r="B253" s="3" t="n">
        <v>45753</v>
      </c>
      <c r="C253" s="3" t="n">
        <v>45757</v>
      </c>
      <c r="D253" s="2" t="s">
        <v>41</v>
      </c>
      <c r="E253" s="2" t="s">
        <v>41</v>
      </c>
      <c r="F253" s="2" t="s">
        <v>885</v>
      </c>
      <c r="G253" s="2" t="s">
        <v>82</v>
      </c>
      <c r="H253" s="2" t="s">
        <v>110</v>
      </c>
      <c r="I253" s="2" t="s">
        <v>83</v>
      </c>
      <c r="J253" s="2" t="s">
        <v>41</v>
      </c>
      <c r="K253" s="2" t="s">
        <v>200</v>
      </c>
      <c r="L253" s="2" t="s">
        <v>201</v>
      </c>
      <c r="M253" s="2" t="s">
        <v>61</v>
      </c>
      <c r="N253" s="2" t="s">
        <v>62</v>
      </c>
      <c r="O253" s="2" t="s">
        <v>886</v>
      </c>
      <c r="P253" s="2" t="s">
        <v>51</v>
      </c>
      <c r="Q253" s="2" t="s">
        <v>41</v>
      </c>
      <c r="R253" s="2" t="n">
        <v>6</v>
      </c>
      <c r="S253" s="2" t="n">
        <v>1022.16</v>
      </c>
      <c r="T253" s="2" t="n">
        <v>0</v>
      </c>
      <c r="U253" s="2" t="str">
        <f aca="false">IF(ISBLANK(T253),"Yes","No")</f>
        <v>No</v>
      </c>
      <c r="V253" s="2" t="n">
        <f aca="false">IF(ISBLANK(T253),0,IF(ISNUMBER(T253),T253,VALUE(LEFT(T253,LEN(T253)-1))/100))</f>
        <v>0</v>
      </c>
      <c r="W253" s="2" t="str">
        <f aca="false">IF(AND(V253&gt;=0,V253&lt;=0.25),"Valid","Invalid")</f>
        <v>Valid</v>
      </c>
      <c r="X253" s="2" t="n">
        <v>6132.96</v>
      </c>
      <c r="Y253" s="2" t="n">
        <f aca="false">R253*S253*(1-V253)</f>
        <v>6132.96</v>
      </c>
      <c r="Z253" s="2" t="str">
        <f aca="false">IF(ABS(X253-Y253)&gt;1,"Mismatch","OK")</f>
        <v>OK</v>
      </c>
      <c r="AA253" s="2" t="n">
        <v>4881.1</v>
      </c>
      <c r="AB253" s="2" t="n">
        <v>1251.86</v>
      </c>
      <c r="AC253" s="2" t="n">
        <f aca="false">Y253-AA253</f>
        <v>1251.86</v>
      </c>
      <c r="AD253" s="2" t="str">
        <f aca="false">IF(ABS(AB253-AC253)&gt;1,"Mismatch","OK")</f>
        <v>OK</v>
      </c>
      <c r="AE253" s="4" t="n">
        <f aca="false">IF(Y253=0,0,AC253/Y253)</f>
        <v>0.204120033393337</v>
      </c>
      <c r="AF253" s="2" t="s">
        <v>52</v>
      </c>
      <c r="AG253" s="2" t="s">
        <v>53</v>
      </c>
      <c r="AH253" s="2" t="str">
        <f aca="false">IF(AND(AG253="Completed",AF253&lt;&gt;"Paid"),"Inconsistent","OK")</f>
        <v>OK</v>
      </c>
      <c r="AI253" s="2" t="n">
        <f aca="false">IF(OR(ISBLANK(B253),ISBLANK(C253)),"",C253-B253)</f>
        <v>4</v>
      </c>
      <c r="AJ253" s="2" t="str">
        <f aca="false">IF(AI253="","Unknown",IF(AI253&lt;0,"Invalid","OK"))</f>
        <v>OK</v>
      </c>
      <c r="AK253" s="2" t="str">
        <f aca="false">IF(ISBLANK(B253),"",TEXT(B253,"mmm"))</f>
        <v>Apr</v>
      </c>
      <c r="AL253" s="2" t="n">
        <f aca="false">IF(ISBLANK(B253),"",YEAR(B253))</f>
        <v>2025</v>
      </c>
      <c r="AM253" s="2" t="s">
        <v>41</v>
      </c>
      <c r="AN253" s="2" t="str">
        <f aca="false">IF(OR(W253="Invalid",AJ253="Invalid",AH253="Inconsistent",Z253="Mismatch",AD253="Mismatch",AM253="Yes",D253="Yes",E253="Yes"),"Invalid",IF(OR(J253="Yes",Q253="Yes",U253="Yes"),"Warning","Clean"))</f>
        <v>Clean</v>
      </c>
    </row>
    <row r="254" customFormat="false" ht="15" hidden="false" customHeight="false" outlineLevel="0" collapsed="false">
      <c r="A254" s="2" t="s">
        <v>887</v>
      </c>
      <c r="B254" s="3" t="n">
        <v>45833</v>
      </c>
      <c r="C254" s="3" t="n">
        <v>45836</v>
      </c>
      <c r="D254" s="2" t="s">
        <v>41</v>
      </c>
      <c r="E254" s="2" t="s">
        <v>41</v>
      </c>
      <c r="F254" s="2" t="s">
        <v>888</v>
      </c>
      <c r="G254" s="2" t="s">
        <v>73</v>
      </c>
      <c r="H254" s="2" t="s">
        <v>110</v>
      </c>
      <c r="I254" s="2" t="s">
        <v>45</v>
      </c>
      <c r="J254" s="2" t="s">
        <v>41</v>
      </c>
      <c r="K254" s="2" t="s">
        <v>258</v>
      </c>
      <c r="L254" s="2" t="s">
        <v>259</v>
      </c>
      <c r="M254" s="2" t="s">
        <v>48</v>
      </c>
      <c r="N254" s="2" t="s">
        <v>144</v>
      </c>
      <c r="O254" s="2" t="s">
        <v>889</v>
      </c>
      <c r="P254" s="2" t="s">
        <v>70</v>
      </c>
      <c r="Q254" s="2" t="s">
        <v>41</v>
      </c>
      <c r="R254" s="2" t="n">
        <v>2</v>
      </c>
      <c r="S254" s="2" t="n">
        <v>1455.92</v>
      </c>
      <c r="T254" s="2" t="n">
        <v>0.2</v>
      </c>
      <c r="U254" s="2" t="str">
        <f aca="false">IF(ISBLANK(T254),"Yes","No")</f>
        <v>No</v>
      </c>
      <c r="V254" s="2" t="n">
        <f aca="false">IF(ISBLANK(T254),0,IF(ISNUMBER(T254),T254,VALUE(LEFT(T254,LEN(T254)-1))/100))</f>
        <v>0.2</v>
      </c>
      <c r="W254" s="2" t="str">
        <f aca="false">IF(AND(V254&gt;=0,V254&lt;=0.25),"Valid","Invalid")</f>
        <v>Valid</v>
      </c>
      <c r="X254" s="2" t="n">
        <v>2329.47</v>
      </c>
      <c r="Y254" s="2" t="n">
        <f aca="false">R254*S254*(1-V254)</f>
        <v>2329.472</v>
      </c>
      <c r="Z254" s="2" t="str">
        <f aca="false">IF(ABS(X254-Y254)&gt;1,"Mismatch","OK")</f>
        <v>OK</v>
      </c>
      <c r="AA254" s="2" t="n">
        <v>1603.62</v>
      </c>
      <c r="AB254" s="2" t="n">
        <v>725.85</v>
      </c>
      <c r="AC254" s="2" t="n">
        <f aca="false">Y254-AA254</f>
        <v>725.852</v>
      </c>
      <c r="AD254" s="2" t="str">
        <f aca="false">IF(ABS(AB254-AC254)&gt;1,"Mismatch","OK")</f>
        <v>OK</v>
      </c>
      <c r="AE254" s="4" t="n">
        <f aca="false">IF(Y254=0,0,AC254/Y254)</f>
        <v>0.31159507390516</v>
      </c>
      <c r="AF254" s="2" t="s">
        <v>131</v>
      </c>
      <c r="AG254" s="2" t="s">
        <v>123</v>
      </c>
      <c r="AH254" s="2" t="str">
        <f aca="false">IF(AND(AG254="Completed",AF254&lt;&gt;"Paid"),"Inconsistent","OK")</f>
        <v>OK</v>
      </c>
      <c r="AI254" s="2" t="n">
        <f aca="false">IF(OR(ISBLANK(B254),ISBLANK(C254)),"",C254-B254)</f>
        <v>3</v>
      </c>
      <c r="AJ254" s="2" t="str">
        <f aca="false">IF(AI254="","Unknown",IF(AI254&lt;0,"Invalid","OK"))</f>
        <v>OK</v>
      </c>
      <c r="AK254" s="2" t="str">
        <f aca="false">IF(ISBLANK(B254),"",TEXT(B254,"mmm"))</f>
        <v>Jun</v>
      </c>
      <c r="AL254" s="2" t="n">
        <f aca="false">IF(ISBLANK(B254),"",YEAR(B254))</f>
        <v>2025</v>
      </c>
      <c r="AM254" s="2" t="s">
        <v>41</v>
      </c>
      <c r="AN254" s="2" t="str">
        <f aca="false">IF(OR(W254="Invalid",AJ254="Invalid",AH254="Inconsistent",Z254="Mismatch",AD254="Mismatch",AM254="Yes",D254="Yes",E254="Yes"),"Invalid",IF(OR(J254="Yes",Q254="Yes",U254="Yes"),"Warning","Clean"))</f>
        <v>Clean</v>
      </c>
    </row>
    <row r="255" customFormat="false" ht="15" hidden="false" customHeight="false" outlineLevel="0" collapsed="false">
      <c r="A255" s="2" t="s">
        <v>890</v>
      </c>
      <c r="B255" s="3" t="n">
        <v>45547</v>
      </c>
      <c r="C255" s="3" t="n">
        <v>45548</v>
      </c>
      <c r="D255" s="2" t="s">
        <v>41</v>
      </c>
      <c r="E255" s="2" t="s">
        <v>41</v>
      </c>
      <c r="F255" s="2" t="s">
        <v>891</v>
      </c>
      <c r="G255" s="2" t="s">
        <v>134</v>
      </c>
      <c r="H255" s="2" t="s">
        <v>57</v>
      </c>
      <c r="I255" s="2" t="s">
        <v>45</v>
      </c>
      <c r="J255" s="2" t="s">
        <v>41</v>
      </c>
      <c r="K255" s="2" t="s">
        <v>46</v>
      </c>
      <c r="L255" s="2" t="s">
        <v>47</v>
      </c>
      <c r="M255" s="2" t="s">
        <v>94</v>
      </c>
      <c r="N255" s="2" t="s">
        <v>191</v>
      </c>
      <c r="O255" s="2" t="s">
        <v>892</v>
      </c>
      <c r="P255" s="2" t="s">
        <v>64</v>
      </c>
      <c r="Q255" s="2" t="s">
        <v>41</v>
      </c>
      <c r="R255" s="2" t="n">
        <v>6</v>
      </c>
      <c r="S255" s="2" t="n">
        <v>832.79</v>
      </c>
      <c r="T255" s="2" t="n">
        <v>0.05</v>
      </c>
      <c r="U255" s="2" t="str">
        <f aca="false">IF(ISBLANK(T255),"Yes","No")</f>
        <v>No</v>
      </c>
      <c r="V255" s="2" t="n">
        <f aca="false">IF(ISBLANK(T255),0,IF(ISNUMBER(T255),T255,VALUE(LEFT(T255,LEN(T255)-1))/100))</f>
        <v>0.05</v>
      </c>
      <c r="W255" s="2" t="str">
        <f aca="false">IF(AND(V255&gt;=0,V255&lt;=0.25),"Valid","Invalid")</f>
        <v>Valid</v>
      </c>
      <c r="X255" s="2" t="n">
        <v>4746.9</v>
      </c>
      <c r="Y255" s="2" t="n">
        <f aca="false">R255*S255*(1-V255)</f>
        <v>4746.903</v>
      </c>
      <c r="Z255" s="2" t="str">
        <f aca="false">IF(ABS(X255-Y255)&gt;1,"Mismatch","OK")</f>
        <v>OK</v>
      </c>
      <c r="AA255" s="2" t="n">
        <v>2825.38</v>
      </c>
      <c r="AB255" s="2" t="n">
        <v>1472.89</v>
      </c>
      <c r="AC255" s="2" t="n">
        <f aca="false">Y255-AA255</f>
        <v>1921.523</v>
      </c>
      <c r="AD255" s="2" t="str">
        <f aca="false">IF(ABS(AB255-AC255)&gt;1,"Mismatch","OK")</f>
        <v>Mismatch</v>
      </c>
      <c r="AE255" s="4" t="n">
        <f aca="false">IF(Y255=0,0,AC255/Y255)</f>
        <v>0.404795084289694</v>
      </c>
      <c r="AF255" s="2" t="s">
        <v>122</v>
      </c>
      <c r="AG255" s="2" t="s">
        <v>88</v>
      </c>
      <c r="AH255" s="2" t="str">
        <f aca="false">IF(AND(AG255="Completed",AF255&lt;&gt;"Paid"),"Inconsistent","OK")</f>
        <v>OK</v>
      </c>
      <c r="AI255" s="2" t="n">
        <f aca="false">IF(OR(ISBLANK(B255),ISBLANK(C255)),"",C255-B255)</f>
        <v>1</v>
      </c>
      <c r="AJ255" s="2" t="str">
        <f aca="false">IF(AI255="","Unknown",IF(AI255&lt;0,"Invalid","OK"))</f>
        <v>OK</v>
      </c>
      <c r="AK255" s="2" t="str">
        <f aca="false">IF(ISBLANK(B255),"",TEXT(B255,"mmm"))</f>
        <v>Sep</v>
      </c>
      <c r="AL255" s="2" t="n">
        <f aca="false">IF(ISBLANK(B255),"",YEAR(B255))</f>
        <v>2024</v>
      </c>
      <c r="AM255" s="2" t="s">
        <v>41</v>
      </c>
      <c r="AN255" s="2" t="str">
        <f aca="false">IF(OR(W255="Invalid",AJ255="Invalid",AH255="Inconsistent",Z255="Mismatch",AD255="Mismatch",AM255="Yes",D255="Yes",E255="Yes"),"Invalid",IF(OR(J255="Yes",Q255="Yes",U255="Yes"),"Warning","Clean"))</f>
        <v>Invalid</v>
      </c>
    </row>
    <row r="256" customFormat="false" ht="15" hidden="false" customHeight="false" outlineLevel="0" collapsed="false">
      <c r="A256" s="2" t="s">
        <v>893</v>
      </c>
      <c r="B256" s="3" t="n">
        <v>45658</v>
      </c>
      <c r="C256" s="3" t="n">
        <v>45660</v>
      </c>
      <c r="D256" s="2" t="s">
        <v>41</v>
      </c>
      <c r="E256" s="2" t="s">
        <v>41</v>
      </c>
      <c r="F256" s="2" t="s">
        <v>894</v>
      </c>
      <c r="G256" s="2" t="s">
        <v>82</v>
      </c>
      <c r="H256" s="2" t="s">
        <v>44</v>
      </c>
      <c r="I256" s="2" t="s">
        <v>83</v>
      </c>
      <c r="J256" s="2" t="s">
        <v>41</v>
      </c>
      <c r="K256" s="2" t="s">
        <v>92</v>
      </c>
      <c r="L256" s="2" t="s">
        <v>93</v>
      </c>
      <c r="M256" s="2" t="s">
        <v>94</v>
      </c>
      <c r="N256" s="2" t="s">
        <v>95</v>
      </c>
      <c r="O256" s="2" t="s">
        <v>895</v>
      </c>
      <c r="P256" s="2" t="s">
        <v>64</v>
      </c>
      <c r="Q256" s="2" t="s">
        <v>41</v>
      </c>
      <c r="R256" s="2" t="n">
        <v>7</v>
      </c>
      <c r="S256" s="2" t="n">
        <v>1000.55</v>
      </c>
      <c r="T256" s="2" t="n">
        <v>0.2</v>
      </c>
      <c r="U256" s="2" t="str">
        <f aca="false">IF(ISBLANK(T256),"Yes","No")</f>
        <v>No</v>
      </c>
      <c r="V256" s="2" t="n">
        <f aca="false">IF(ISBLANK(T256),0,IF(ISNUMBER(T256),T256,VALUE(LEFT(T256,LEN(T256)-1))/100))</f>
        <v>0.2</v>
      </c>
      <c r="W256" s="2" t="str">
        <f aca="false">IF(AND(V256&gt;=0,V256&lt;=0.25),"Valid","Invalid")</f>
        <v>Valid</v>
      </c>
      <c r="X256" s="2" t="n">
        <v>5603.08</v>
      </c>
      <c r="Y256" s="2" t="n">
        <f aca="false">R256*S256*(1-V256)</f>
        <v>5603.08</v>
      </c>
      <c r="Z256" s="2" t="str">
        <f aca="false">IF(ABS(X256-Y256)&gt;1,"Mismatch","OK")</f>
        <v>OK</v>
      </c>
      <c r="AA256" s="2" t="n">
        <v>3132.52</v>
      </c>
      <c r="AB256" s="2" t="n">
        <v>2470.56</v>
      </c>
      <c r="AC256" s="2" t="n">
        <f aca="false">Y256-AA256</f>
        <v>2470.56</v>
      </c>
      <c r="AD256" s="2" t="str">
        <f aca="false">IF(ABS(AB256-AC256)&gt;1,"Mismatch","OK")</f>
        <v>OK</v>
      </c>
      <c r="AE256" s="4" t="n">
        <f aca="false">IF(Y256=0,0,AC256/Y256)</f>
        <v>0.440928917666712</v>
      </c>
      <c r="AF256" s="2" t="s">
        <v>52</v>
      </c>
      <c r="AG256" s="2" t="s">
        <v>123</v>
      </c>
      <c r="AH256" s="2" t="str">
        <f aca="false">IF(AND(AG256="Completed",AF256&lt;&gt;"Paid"),"Inconsistent","OK")</f>
        <v>OK</v>
      </c>
      <c r="AI256" s="2" t="n">
        <f aca="false">IF(OR(ISBLANK(B256),ISBLANK(C256)),"",C256-B256)</f>
        <v>2</v>
      </c>
      <c r="AJ256" s="2" t="str">
        <f aca="false">IF(AI256="","Unknown",IF(AI256&lt;0,"Invalid","OK"))</f>
        <v>OK</v>
      </c>
      <c r="AK256" s="2" t="str">
        <f aca="false">IF(ISBLANK(B256),"",TEXT(B256,"mmm"))</f>
        <v>Jan</v>
      </c>
      <c r="AL256" s="2" t="n">
        <f aca="false">IF(ISBLANK(B256),"",YEAR(B256))</f>
        <v>2025</v>
      </c>
      <c r="AM256" s="2" t="s">
        <v>41</v>
      </c>
      <c r="AN256" s="2" t="str">
        <f aca="false">IF(OR(W256="Invalid",AJ256="Invalid",AH256="Inconsistent",Z256="Mismatch",AD256="Mismatch",AM256="Yes",D256="Yes",E256="Yes"),"Invalid",IF(OR(J256="Yes",Q256="Yes",U256="Yes"),"Warning","Clean"))</f>
        <v>Clean</v>
      </c>
    </row>
    <row r="257" customFormat="false" ht="15" hidden="false" customHeight="false" outlineLevel="0" collapsed="false">
      <c r="A257" s="2" t="s">
        <v>896</v>
      </c>
      <c r="B257" s="3" t="n">
        <v>45692</v>
      </c>
      <c r="C257" s="3" t="n">
        <v>45698</v>
      </c>
      <c r="D257" s="2" t="s">
        <v>41</v>
      </c>
      <c r="E257" s="2" t="s">
        <v>41</v>
      </c>
      <c r="F257" s="2" t="s">
        <v>897</v>
      </c>
      <c r="G257" s="2" t="s">
        <v>67</v>
      </c>
      <c r="H257" s="2" t="s">
        <v>110</v>
      </c>
      <c r="I257" s="2" t="s">
        <v>83</v>
      </c>
      <c r="J257" s="2" t="s">
        <v>41</v>
      </c>
      <c r="K257" s="2" t="s">
        <v>84</v>
      </c>
      <c r="L257" s="2" t="s">
        <v>85</v>
      </c>
      <c r="M257" s="2" t="s">
        <v>94</v>
      </c>
      <c r="N257" s="2" t="s">
        <v>191</v>
      </c>
      <c r="O257" s="2" t="s">
        <v>898</v>
      </c>
      <c r="P257" s="2" t="s">
        <v>70</v>
      </c>
      <c r="Q257" s="2" t="s">
        <v>41</v>
      </c>
      <c r="R257" s="2" t="n">
        <v>7</v>
      </c>
      <c r="S257" s="2" t="n">
        <v>1830</v>
      </c>
      <c r="T257" s="2" t="n">
        <v>0</v>
      </c>
      <c r="U257" s="2" t="str">
        <f aca="false">IF(ISBLANK(T257),"Yes","No")</f>
        <v>No</v>
      </c>
      <c r="V257" s="2" t="n">
        <f aca="false">IF(ISBLANK(T257),0,IF(ISNUMBER(T257),T257,VALUE(LEFT(T257,LEN(T257)-1))/100))</f>
        <v>0</v>
      </c>
      <c r="W257" s="2" t="str">
        <f aca="false">IF(AND(V257&gt;=0,V257&lt;=0.25),"Valid","Invalid")</f>
        <v>Valid</v>
      </c>
      <c r="X257" s="2" t="n">
        <v>12810</v>
      </c>
      <c r="Y257" s="2" t="n">
        <f aca="false">R257*S257*(1-V257)</f>
        <v>12810</v>
      </c>
      <c r="Z257" s="2" t="str">
        <f aca="false">IF(ABS(X257-Y257)&gt;1,"Mismatch","OK")</f>
        <v>OK</v>
      </c>
      <c r="AA257" s="2" t="n">
        <v>9334.12</v>
      </c>
      <c r="AB257" s="2" t="n">
        <v>3475.88</v>
      </c>
      <c r="AC257" s="2" t="n">
        <f aca="false">Y257-AA257</f>
        <v>3475.88</v>
      </c>
      <c r="AD257" s="2" t="str">
        <f aca="false">IF(ABS(AB257-AC257)&gt;1,"Mismatch","OK")</f>
        <v>OK</v>
      </c>
      <c r="AE257" s="4" t="n">
        <f aca="false">IF(Y257=0,0,AC257/Y257)</f>
        <v>0.271341139734582</v>
      </c>
      <c r="AF257" s="2" t="s">
        <v>52</v>
      </c>
      <c r="AG257" s="2" t="s">
        <v>53</v>
      </c>
      <c r="AH257" s="2" t="str">
        <f aca="false">IF(AND(AG257="Completed",AF257&lt;&gt;"Paid"),"Inconsistent","OK")</f>
        <v>OK</v>
      </c>
      <c r="AI257" s="2" t="n">
        <f aca="false">IF(OR(ISBLANK(B257),ISBLANK(C257)),"",C257-B257)</f>
        <v>6</v>
      </c>
      <c r="AJ257" s="2" t="str">
        <f aca="false">IF(AI257="","Unknown",IF(AI257&lt;0,"Invalid","OK"))</f>
        <v>OK</v>
      </c>
      <c r="AK257" s="2" t="str">
        <f aca="false">IF(ISBLANK(B257),"",TEXT(B257,"mmm"))</f>
        <v>Feb</v>
      </c>
      <c r="AL257" s="2" t="n">
        <f aca="false">IF(ISBLANK(B257),"",YEAR(B257))</f>
        <v>2025</v>
      </c>
      <c r="AM257" s="2" t="s">
        <v>41</v>
      </c>
      <c r="AN257" s="2" t="str">
        <f aca="false">IF(OR(W257="Invalid",AJ257="Invalid",AH257="Inconsistent",Z257="Mismatch",AD257="Mismatch",AM257="Yes",D257="Yes",E257="Yes"),"Invalid",IF(OR(J257="Yes",Q257="Yes",U257="Yes"),"Warning","Clean"))</f>
        <v>Clean</v>
      </c>
    </row>
    <row r="258" customFormat="false" ht="15" hidden="false" customHeight="false" outlineLevel="0" collapsed="false">
      <c r="A258" s="2" t="s">
        <v>899</v>
      </c>
      <c r="B258" s="3" t="n">
        <v>45601</v>
      </c>
      <c r="C258" s="3" t="n">
        <v>45599</v>
      </c>
      <c r="D258" s="2" t="s">
        <v>41</v>
      </c>
      <c r="E258" s="2" t="s">
        <v>41</v>
      </c>
      <c r="F258" s="2" t="s">
        <v>900</v>
      </c>
      <c r="G258" s="2" t="s">
        <v>82</v>
      </c>
      <c r="H258" s="2" t="s">
        <v>44</v>
      </c>
      <c r="I258" s="2" t="s">
        <v>58</v>
      </c>
      <c r="J258" s="2" t="s">
        <v>41</v>
      </c>
      <c r="K258" s="2" t="s">
        <v>119</v>
      </c>
      <c r="L258" s="2" t="s">
        <v>120</v>
      </c>
      <c r="M258" s="2" t="s">
        <v>61</v>
      </c>
      <c r="N258" s="2" t="s">
        <v>62</v>
      </c>
      <c r="O258" s="2" t="s">
        <v>901</v>
      </c>
      <c r="P258" s="2" t="s">
        <v>70</v>
      </c>
      <c r="Q258" s="2" t="s">
        <v>41</v>
      </c>
      <c r="R258" s="2" t="n">
        <v>9</v>
      </c>
      <c r="S258" s="2" t="n">
        <v>2260.61</v>
      </c>
      <c r="T258" s="2" t="n">
        <v>0.05</v>
      </c>
      <c r="U258" s="2" t="str">
        <f aca="false">IF(ISBLANK(T258),"Yes","No")</f>
        <v>No</v>
      </c>
      <c r="V258" s="2" t="n">
        <f aca="false">IF(ISBLANK(T258),0,IF(ISNUMBER(T258),T258,VALUE(LEFT(T258,LEN(T258)-1))/100))</f>
        <v>0.05</v>
      </c>
      <c r="W258" s="2" t="str">
        <f aca="false">IF(AND(V258&gt;=0,V258&lt;=0.25),"Valid","Invalid")</f>
        <v>Valid</v>
      </c>
      <c r="X258" s="2" t="n">
        <v>19328.22</v>
      </c>
      <c r="Y258" s="2" t="n">
        <f aca="false">R258*S258*(1-V258)</f>
        <v>19328.2155</v>
      </c>
      <c r="Z258" s="2" t="str">
        <f aca="false">IF(ABS(X258-Y258)&gt;1,"Mismatch","OK")</f>
        <v>OK</v>
      </c>
      <c r="AA258" s="2" t="n">
        <v>12039.5</v>
      </c>
      <c r="AB258" s="2" t="n">
        <v>7288.72</v>
      </c>
      <c r="AC258" s="2" t="n">
        <f aca="false">Y258-AA258</f>
        <v>7288.7155</v>
      </c>
      <c r="AD258" s="2" t="str">
        <f aca="false">IF(ABS(AB258-AC258)&gt;1,"Mismatch","OK")</f>
        <v>OK</v>
      </c>
      <c r="AE258" s="4" t="n">
        <f aca="false">IF(Y258=0,0,AC258/Y258)</f>
        <v>0.377102350705889</v>
      </c>
      <c r="AF258" s="2" t="s">
        <v>52</v>
      </c>
      <c r="AG258" s="2" t="s">
        <v>53</v>
      </c>
      <c r="AH258" s="2" t="str">
        <f aca="false">IF(AND(AG258="Completed",AF258&lt;&gt;"Paid"),"Inconsistent","OK")</f>
        <v>OK</v>
      </c>
      <c r="AI258" s="2" t="n">
        <f aca="false">IF(OR(ISBLANK(B258),ISBLANK(C258)),"",C258-B258)</f>
        <v>-2</v>
      </c>
      <c r="AJ258" s="2" t="str">
        <f aca="false">IF(AI258="","Unknown",IF(AI258&lt;0,"Invalid","OK"))</f>
        <v>Invalid</v>
      </c>
      <c r="AK258" s="2" t="str">
        <f aca="false">IF(ISBLANK(B258),"",TEXT(B258,"mmm"))</f>
        <v>Nov</v>
      </c>
      <c r="AL258" s="2" t="n">
        <f aca="false">IF(ISBLANK(B258),"",YEAR(B258))</f>
        <v>2024</v>
      </c>
      <c r="AM258" s="2" t="s">
        <v>41</v>
      </c>
      <c r="AN258" s="2" t="str">
        <f aca="false">IF(OR(W258="Invalid",AJ258="Invalid",AH258="Inconsistent",Z258="Mismatch",AD258="Mismatch",AM258="Yes",D258="Yes",E258="Yes"),"Invalid",IF(OR(J258="Yes",Q258="Yes",U258="Yes"),"Warning","Clean"))</f>
        <v>Invalid</v>
      </c>
    </row>
    <row r="259" customFormat="false" ht="15" hidden="false" customHeight="false" outlineLevel="0" collapsed="false">
      <c r="A259" s="2" t="s">
        <v>902</v>
      </c>
      <c r="B259" s="3" t="n">
        <v>45878</v>
      </c>
      <c r="C259" s="3" t="n">
        <v>45881</v>
      </c>
      <c r="D259" s="2" t="s">
        <v>41</v>
      </c>
      <c r="E259" s="2" t="s">
        <v>41</v>
      </c>
      <c r="F259" s="2" t="s">
        <v>903</v>
      </c>
      <c r="G259" s="2" t="s">
        <v>182</v>
      </c>
      <c r="H259" s="2" t="s">
        <v>110</v>
      </c>
      <c r="I259" s="2" t="s">
        <v>74</v>
      </c>
      <c r="J259" s="2" t="s">
        <v>41</v>
      </c>
      <c r="K259" s="2" t="s">
        <v>195</v>
      </c>
      <c r="L259" s="2" t="s">
        <v>196</v>
      </c>
      <c r="M259" s="2" t="s">
        <v>94</v>
      </c>
      <c r="N259" s="2" t="s">
        <v>95</v>
      </c>
      <c r="O259" s="2" t="s">
        <v>904</v>
      </c>
      <c r="P259" s="2" t="s">
        <v>51</v>
      </c>
      <c r="Q259" s="2" t="s">
        <v>41</v>
      </c>
      <c r="R259" s="2" t="n">
        <v>2</v>
      </c>
      <c r="S259" s="2" t="n">
        <v>3237.27</v>
      </c>
      <c r="T259" s="2" t="n">
        <v>0</v>
      </c>
      <c r="U259" s="2" t="str">
        <f aca="false">IF(ISBLANK(T259),"Yes","No")</f>
        <v>No</v>
      </c>
      <c r="V259" s="2" t="n">
        <f aca="false">IF(ISBLANK(T259),0,IF(ISNUMBER(T259),T259,VALUE(LEFT(T259,LEN(T259)-1))/100))</f>
        <v>0</v>
      </c>
      <c r="W259" s="2" t="str">
        <f aca="false">IF(AND(V259&gt;=0,V259&lt;=0.25),"Valid","Invalid")</f>
        <v>Valid</v>
      </c>
      <c r="X259" s="2" t="n">
        <v>6474.54</v>
      </c>
      <c r="Y259" s="2" t="n">
        <f aca="false">R259*S259*(1-V259)</f>
        <v>6474.54</v>
      </c>
      <c r="Z259" s="2" t="str">
        <f aca="false">IF(ABS(X259-Y259)&gt;1,"Mismatch","OK")</f>
        <v>OK</v>
      </c>
      <c r="AA259" s="2" t="n">
        <v>5095.91</v>
      </c>
      <c r="AB259" s="2" t="n">
        <v>1378.63</v>
      </c>
      <c r="AC259" s="2" t="n">
        <f aca="false">Y259-AA259</f>
        <v>1378.63</v>
      </c>
      <c r="AD259" s="2" t="str">
        <f aca="false">IF(ABS(AB259-AC259)&gt;1,"Mismatch","OK")</f>
        <v>OK</v>
      </c>
      <c r="AE259" s="4" t="n">
        <f aca="false">IF(Y259=0,0,AC259/Y259)</f>
        <v>0.212930957257195</v>
      </c>
      <c r="AF259" s="2" t="s">
        <v>52</v>
      </c>
      <c r="AG259" s="2" t="s">
        <v>88</v>
      </c>
      <c r="AH259" s="2" t="str">
        <f aca="false">IF(AND(AG259="Completed",AF259&lt;&gt;"Paid"),"Inconsistent","OK")</f>
        <v>OK</v>
      </c>
      <c r="AI259" s="2" t="n">
        <f aca="false">IF(OR(ISBLANK(B259),ISBLANK(C259)),"",C259-B259)</f>
        <v>3</v>
      </c>
      <c r="AJ259" s="2" t="str">
        <f aca="false">IF(AI259="","Unknown",IF(AI259&lt;0,"Invalid","OK"))</f>
        <v>OK</v>
      </c>
      <c r="AK259" s="2" t="str">
        <f aca="false">IF(ISBLANK(B259),"",TEXT(B259,"mmm"))</f>
        <v>Aug</v>
      </c>
      <c r="AL259" s="2" t="n">
        <f aca="false">IF(ISBLANK(B259),"",YEAR(B259))</f>
        <v>2025</v>
      </c>
      <c r="AM259" s="2" t="s">
        <v>41</v>
      </c>
      <c r="AN259" s="2" t="str">
        <f aca="false">IF(OR(W259="Invalid",AJ259="Invalid",AH259="Inconsistent",Z259="Mismatch",AD259="Mismatch",AM259="Yes",D259="Yes",E259="Yes"),"Invalid",IF(OR(J259="Yes",Q259="Yes",U259="Yes"),"Warning","Clean"))</f>
        <v>Clean</v>
      </c>
    </row>
    <row r="260" customFormat="false" ht="15" hidden="false" customHeight="false" outlineLevel="0" collapsed="false">
      <c r="A260" s="2" t="s">
        <v>905</v>
      </c>
      <c r="B260" s="3" t="n">
        <v>45656</v>
      </c>
      <c r="C260" s="3" t="n">
        <v>45661</v>
      </c>
      <c r="D260" s="2" t="s">
        <v>41</v>
      </c>
      <c r="E260" s="2" t="s">
        <v>41</v>
      </c>
      <c r="F260" s="2" t="s">
        <v>906</v>
      </c>
      <c r="G260" s="2" t="s">
        <v>152</v>
      </c>
      <c r="H260" s="2" t="s">
        <v>110</v>
      </c>
      <c r="I260" s="2" t="s">
        <v>74</v>
      </c>
      <c r="J260" s="2" t="s">
        <v>41</v>
      </c>
      <c r="K260" s="2" t="s">
        <v>269</v>
      </c>
      <c r="L260" s="2" t="s">
        <v>270</v>
      </c>
      <c r="M260" s="2" t="s">
        <v>61</v>
      </c>
      <c r="N260" s="2" t="s">
        <v>62</v>
      </c>
      <c r="O260" s="2" t="s">
        <v>907</v>
      </c>
      <c r="P260" s="2" t="s">
        <v>64</v>
      </c>
      <c r="Q260" s="2" t="s">
        <v>41</v>
      </c>
      <c r="R260" s="2" t="n">
        <v>2</v>
      </c>
      <c r="S260" s="2" t="n">
        <v>3720.07</v>
      </c>
      <c r="T260" s="2" t="n">
        <v>0.25</v>
      </c>
      <c r="U260" s="2" t="str">
        <f aca="false">IF(ISBLANK(T260),"Yes","No")</f>
        <v>No</v>
      </c>
      <c r="V260" s="2" t="n">
        <f aca="false">IF(ISBLANK(T260),0,IF(ISNUMBER(T260),T260,VALUE(LEFT(T260,LEN(T260)-1))/100))</f>
        <v>0.25</v>
      </c>
      <c r="W260" s="2" t="str">
        <f aca="false">IF(AND(V260&gt;=0,V260&lt;=0.25),"Valid","Invalid")</f>
        <v>Valid</v>
      </c>
      <c r="X260" s="2" t="n">
        <v>5580.11</v>
      </c>
      <c r="Y260" s="2" t="n">
        <f aca="false">R260*S260*(1-V260)</f>
        <v>5580.105</v>
      </c>
      <c r="Z260" s="2" t="str">
        <f aca="false">IF(ABS(X260-Y260)&gt;1,"Mismatch","OK")</f>
        <v>OK</v>
      </c>
      <c r="AA260" s="2" t="n">
        <v>4307.01</v>
      </c>
      <c r="AB260" s="2" t="n">
        <v>1273.1</v>
      </c>
      <c r="AC260" s="2" t="n">
        <f aca="false">Y260-AA260</f>
        <v>1273.095</v>
      </c>
      <c r="AD260" s="2" t="str">
        <f aca="false">IF(ABS(AB260-AC260)&gt;1,"Mismatch","OK")</f>
        <v>OK</v>
      </c>
      <c r="AE260" s="4" t="n">
        <f aca="false">IF(Y260=0,0,AC260/Y260)</f>
        <v>0.228148932681374</v>
      </c>
      <c r="AF260" s="2" t="s">
        <v>52</v>
      </c>
      <c r="AG260" s="2" t="s">
        <v>53</v>
      </c>
      <c r="AH260" s="2" t="str">
        <f aca="false">IF(AND(AG260="Completed",AF260&lt;&gt;"Paid"),"Inconsistent","OK")</f>
        <v>OK</v>
      </c>
      <c r="AI260" s="2" t="n">
        <f aca="false">IF(OR(ISBLANK(B260),ISBLANK(C260)),"",C260-B260)</f>
        <v>5</v>
      </c>
      <c r="AJ260" s="2" t="str">
        <f aca="false">IF(AI260="","Unknown",IF(AI260&lt;0,"Invalid","OK"))</f>
        <v>OK</v>
      </c>
      <c r="AK260" s="2" t="str">
        <f aca="false">IF(ISBLANK(B260),"",TEXT(B260,"mmm"))</f>
        <v>Dec</v>
      </c>
      <c r="AL260" s="2" t="n">
        <f aca="false">IF(ISBLANK(B260),"",YEAR(B260))</f>
        <v>2024</v>
      </c>
      <c r="AM260" s="2" t="s">
        <v>41</v>
      </c>
      <c r="AN260" s="2" t="str">
        <f aca="false">IF(OR(W260="Invalid",AJ260="Invalid",AH260="Inconsistent",Z260="Mismatch",AD260="Mismatch",AM260="Yes",D260="Yes",E260="Yes"),"Invalid",IF(OR(J260="Yes",Q260="Yes",U260="Yes"),"Warning","Clean"))</f>
        <v>Clean</v>
      </c>
    </row>
    <row r="261" customFormat="false" ht="15" hidden="false" customHeight="false" outlineLevel="0" collapsed="false">
      <c r="A261" s="2" t="s">
        <v>908</v>
      </c>
      <c r="B261" s="3" t="n">
        <v>45464</v>
      </c>
      <c r="C261" s="3" t="n">
        <v>45472</v>
      </c>
      <c r="D261" s="2" t="s">
        <v>41</v>
      </c>
      <c r="E261" s="2" t="s">
        <v>41</v>
      </c>
      <c r="F261" s="2" t="s">
        <v>909</v>
      </c>
      <c r="G261" s="2" t="s">
        <v>99</v>
      </c>
      <c r="H261" s="2" t="s">
        <v>44</v>
      </c>
      <c r="I261" s="2" t="s">
        <v>74</v>
      </c>
      <c r="J261" s="2" t="s">
        <v>41</v>
      </c>
      <c r="K261" s="2" t="s">
        <v>269</v>
      </c>
      <c r="L261" s="2" t="s">
        <v>270</v>
      </c>
      <c r="M261" s="2" t="s">
        <v>94</v>
      </c>
      <c r="N261" s="2" t="s">
        <v>296</v>
      </c>
      <c r="O261" s="2" t="s">
        <v>910</v>
      </c>
      <c r="P261" s="2" t="s">
        <v>79</v>
      </c>
      <c r="Q261" s="2" t="s">
        <v>41</v>
      </c>
      <c r="R261" s="2" t="n">
        <v>8</v>
      </c>
      <c r="S261" s="2" t="n">
        <v>2853.92</v>
      </c>
      <c r="T261" s="2" t="n">
        <v>0.2</v>
      </c>
      <c r="U261" s="2" t="str">
        <f aca="false">IF(ISBLANK(T261),"Yes","No")</f>
        <v>No</v>
      </c>
      <c r="V261" s="2" t="n">
        <f aca="false">IF(ISBLANK(T261),0,IF(ISNUMBER(T261),T261,VALUE(LEFT(T261,LEN(T261)-1))/100))</f>
        <v>0.2</v>
      </c>
      <c r="W261" s="2" t="str">
        <f aca="false">IF(AND(V261&gt;=0,V261&lt;=0.25),"Valid","Invalid")</f>
        <v>Valid</v>
      </c>
      <c r="X261" s="2" t="n">
        <v>18265.09</v>
      </c>
      <c r="Y261" s="2" t="n">
        <f aca="false">R261*S261*(1-V261)</f>
        <v>18265.088</v>
      </c>
      <c r="Z261" s="2" t="str">
        <f aca="false">IF(ABS(X261-Y261)&gt;1,"Mismatch","OK")</f>
        <v>OK</v>
      </c>
      <c r="AA261" s="2" t="n">
        <v>10437.14</v>
      </c>
      <c r="AB261" s="2" t="n">
        <v>7827.95</v>
      </c>
      <c r="AC261" s="2" t="n">
        <f aca="false">Y261-AA261</f>
        <v>7827.948</v>
      </c>
      <c r="AD261" s="2" t="str">
        <f aca="false">IF(ABS(AB261-AC261)&gt;1,"Mismatch","OK")</f>
        <v>OK</v>
      </c>
      <c r="AE261" s="4" t="n">
        <f aca="false">IF(Y261=0,0,AC261/Y261)</f>
        <v>0.428574338103381</v>
      </c>
      <c r="AF261" s="2" t="s">
        <v>52</v>
      </c>
      <c r="AG261" s="2" t="s">
        <v>53</v>
      </c>
      <c r="AH261" s="2" t="str">
        <f aca="false">IF(AND(AG261="Completed",AF261&lt;&gt;"Paid"),"Inconsistent","OK")</f>
        <v>OK</v>
      </c>
      <c r="AI261" s="2" t="n">
        <f aca="false">IF(OR(ISBLANK(B261),ISBLANK(C261)),"",C261-B261)</f>
        <v>8</v>
      </c>
      <c r="AJ261" s="2" t="str">
        <f aca="false">IF(AI261="","Unknown",IF(AI261&lt;0,"Invalid","OK"))</f>
        <v>OK</v>
      </c>
      <c r="AK261" s="2" t="str">
        <f aca="false">IF(ISBLANK(B261),"",TEXT(B261,"mmm"))</f>
        <v>Jun</v>
      </c>
      <c r="AL261" s="2" t="n">
        <f aca="false">IF(ISBLANK(B261),"",YEAR(B261))</f>
        <v>2024</v>
      </c>
      <c r="AM261" s="2" t="s">
        <v>41</v>
      </c>
      <c r="AN261" s="2" t="str">
        <f aca="false">IF(OR(W261="Invalid",AJ261="Invalid",AH261="Inconsistent",Z261="Mismatch",AD261="Mismatch",AM261="Yes",D261="Yes",E261="Yes"),"Invalid",IF(OR(J261="Yes",Q261="Yes",U261="Yes"),"Warning","Clean"))</f>
        <v>Clean</v>
      </c>
    </row>
    <row r="262" customFormat="false" ht="15" hidden="false" customHeight="false" outlineLevel="0" collapsed="false">
      <c r="A262" s="2" t="s">
        <v>911</v>
      </c>
      <c r="B262" s="3" t="n">
        <v>45923</v>
      </c>
      <c r="C262" s="3" t="n">
        <v>45927</v>
      </c>
      <c r="D262" s="2" t="s">
        <v>41</v>
      </c>
      <c r="E262" s="2" t="s">
        <v>41</v>
      </c>
      <c r="F262" s="2" t="s">
        <v>912</v>
      </c>
      <c r="G262" s="2" t="s">
        <v>109</v>
      </c>
      <c r="H262" s="2" t="s">
        <v>110</v>
      </c>
      <c r="I262" s="2" t="s">
        <v>58</v>
      </c>
      <c r="J262" s="2" t="s">
        <v>41</v>
      </c>
      <c r="K262" s="2" t="s">
        <v>119</v>
      </c>
      <c r="L262" s="2" t="s">
        <v>120</v>
      </c>
      <c r="M262" s="2" t="s">
        <v>48</v>
      </c>
      <c r="N262" s="2" t="s">
        <v>173</v>
      </c>
      <c r="O262" s="2" t="s">
        <v>913</v>
      </c>
      <c r="P262" s="2" t="s">
        <v>64</v>
      </c>
      <c r="Q262" s="2" t="s">
        <v>41</v>
      </c>
      <c r="R262" s="2" t="n">
        <v>7</v>
      </c>
      <c r="S262" s="2" t="n">
        <v>2897.12</v>
      </c>
      <c r="T262" s="2" t="n">
        <v>0.25</v>
      </c>
      <c r="U262" s="2" t="str">
        <f aca="false">IF(ISBLANK(T262),"Yes","No")</f>
        <v>No</v>
      </c>
      <c r="V262" s="2" t="n">
        <f aca="false">IF(ISBLANK(T262),0,IF(ISNUMBER(T262),T262,VALUE(LEFT(T262,LEN(T262)-1))/100))</f>
        <v>0.25</v>
      </c>
      <c r="W262" s="2" t="str">
        <f aca="false">IF(AND(V262&gt;=0,V262&lt;=0.25),"Valid","Invalid")</f>
        <v>Valid</v>
      </c>
      <c r="X262" s="2" t="n">
        <v>15209.88</v>
      </c>
      <c r="Y262" s="2" t="n">
        <f aca="false">R262*S262*(1-V262)</f>
        <v>15209.88</v>
      </c>
      <c r="Z262" s="2" t="str">
        <f aca="false">IF(ABS(X262-Y262)&gt;1,"Mismatch","OK")</f>
        <v>OK</v>
      </c>
      <c r="AA262" s="2" t="n">
        <v>10891.15</v>
      </c>
      <c r="AB262" s="2" t="n">
        <v>4318.73</v>
      </c>
      <c r="AC262" s="2" t="n">
        <f aca="false">Y262-AA262</f>
        <v>4318.73</v>
      </c>
      <c r="AD262" s="2" t="str">
        <f aca="false">IF(ABS(AB262-AC262)&gt;1,"Mismatch","OK")</f>
        <v>OK</v>
      </c>
      <c r="AE262" s="4" t="n">
        <f aca="false">IF(Y262=0,0,AC262/Y262)</f>
        <v>0.283942411116985</v>
      </c>
      <c r="AF262" s="2" t="s">
        <v>175</v>
      </c>
      <c r="AG262" s="2" t="s">
        <v>123</v>
      </c>
      <c r="AH262" s="2" t="str">
        <f aca="false">IF(AND(AG262="Completed",AF262&lt;&gt;"Paid"),"Inconsistent","OK")</f>
        <v>OK</v>
      </c>
      <c r="AI262" s="2" t="n">
        <f aca="false">IF(OR(ISBLANK(B262),ISBLANK(C262)),"",C262-B262)</f>
        <v>4</v>
      </c>
      <c r="AJ262" s="2" t="str">
        <f aca="false">IF(AI262="","Unknown",IF(AI262&lt;0,"Invalid","OK"))</f>
        <v>OK</v>
      </c>
      <c r="AK262" s="2" t="str">
        <f aca="false">IF(ISBLANK(B262),"",TEXT(B262,"mmm"))</f>
        <v>Sep</v>
      </c>
      <c r="AL262" s="2" t="n">
        <f aca="false">IF(ISBLANK(B262),"",YEAR(B262))</f>
        <v>2025</v>
      </c>
      <c r="AM262" s="2" t="s">
        <v>41</v>
      </c>
      <c r="AN262" s="2" t="str">
        <f aca="false">IF(OR(W262="Invalid",AJ262="Invalid",AH262="Inconsistent",Z262="Mismatch",AD262="Mismatch",AM262="Yes",D262="Yes",E262="Yes"),"Invalid",IF(OR(J262="Yes",Q262="Yes",U262="Yes"),"Warning","Clean"))</f>
        <v>Clean</v>
      </c>
    </row>
    <row r="263" customFormat="false" ht="15" hidden="false" customHeight="false" outlineLevel="0" collapsed="false">
      <c r="A263" s="2" t="s">
        <v>914</v>
      </c>
      <c r="B263" s="3" t="n">
        <v>45826</v>
      </c>
      <c r="C263" s="3" t="n">
        <v>45832</v>
      </c>
      <c r="D263" s="2" t="s">
        <v>41</v>
      </c>
      <c r="E263" s="2" t="s">
        <v>41</v>
      </c>
      <c r="F263" s="2" t="s">
        <v>915</v>
      </c>
      <c r="G263" s="2" t="s">
        <v>152</v>
      </c>
      <c r="H263" s="2" t="s">
        <v>110</v>
      </c>
      <c r="I263" s="2" t="s">
        <v>45</v>
      </c>
      <c r="J263" s="2" t="s">
        <v>41</v>
      </c>
      <c r="K263" s="2" t="s">
        <v>46</v>
      </c>
      <c r="L263" s="2" t="s">
        <v>47</v>
      </c>
      <c r="M263" s="2" t="s">
        <v>48</v>
      </c>
      <c r="N263" s="2" t="s">
        <v>111</v>
      </c>
      <c r="O263" s="2" t="s">
        <v>916</v>
      </c>
      <c r="P263" s="2" t="s">
        <v>79</v>
      </c>
      <c r="Q263" s="2" t="s">
        <v>41</v>
      </c>
      <c r="R263" s="2" t="n">
        <v>3</v>
      </c>
      <c r="S263" s="2" t="n">
        <v>686.74</v>
      </c>
      <c r="T263" s="2" t="n">
        <v>0.2</v>
      </c>
      <c r="U263" s="2" t="str">
        <f aca="false">IF(ISBLANK(T263),"Yes","No")</f>
        <v>No</v>
      </c>
      <c r="V263" s="2" t="n">
        <f aca="false">IF(ISBLANK(T263),0,IF(ISNUMBER(T263),T263,VALUE(LEFT(T263,LEN(T263)-1))/100))</f>
        <v>0.2</v>
      </c>
      <c r="W263" s="2" t="str">
        <f aca="false">IF(AND(V263&gt;=0,V263&lt;=0.25),"Valid","Invalid")</f>
        <v>Valid</v>
      </c>
      <c r="X263" s="2" t="n">
        <v>1648.18</v>
      </c>
      <c r="Y263" s="2" t="n">
        <f aca="false">R263*S263*(1-V263)</f>
        <v>1648.176</v>
      </c>
      <c r="Z263" s="2" t="str">
        <f aca="false">IF(ABS(X263-Y263)&gt;1,"Mismatch","OK")</f>
        <v>OK</v>
      </c>
      <c r="AA263" s="2" t="n">
        <v>987.91</v>
      </c>
      <c r="AB263" s="2" t="n">
        <v>660.27</v>
      </c>
      <c r="AC263" s="2" t="n">
        <f aca="false">Y263-AA263</f>
        <v>660.266</v>
      </c>
      <c r="AD263" s="2" t="str">
        <f aca="false">IF(ABS(AB263-AC263)&gt;1,"Mismatch","OK")</f>
        <v>OK</v>
      </c>
      <c r="AE263" s="4" t="n">
        <f aca="false">IF(Y263=0,0,AC263/Y263)</f>
        <v>0.400604061702148</v>
      </c>
      <c r="AF263" s="2" t="s">
        <v>175</v>
      </c>
      <c r="AG263" s="2" t="s">
        <v>88</v>
      </c>
      <c r="AH263" s="2" t="str">
        <f aca="false">IF(AND(AG263="Completed",AF263&lt;&gt;"Paid"),"Inconsistent","OK")</f>
        <v>OK</v>
      </c>
      <c r="AI263" s="2" t="n">
        <f aca="false">IF(OR(ISBLANK(B263),ISBLANK(C263)),"",C263-B263)</f>
        <v>6</v>
      </c>
      <c r="AJ263" s="2" t="str">
        <f aca="false">IF(AI263="","Unknown",IF(AI263&lt;0,"Invalid","OK"))</f>
        <v>OK</v>
      </c>
      <c r="AK263" s="2" t="str">
        <f aca="false">IF(ISBLANK(B263),"",TEXT(B263,"mmm"))</f>
        <v>Jun</v>
      </c>
      <c r="AL263" s="2" t="n">
        <f aca="false">IF(ISBLANK(B263),"",YEAR(B263))</f>
        <v>2025</v>
      </c>
      <c r="AM263" s="2" t="s">
        <v>41</v>
      </c>
      <c r="AN263" s="2" t="str">
        <f aca="false">IF(OR(W263="Invalid",AJ263="Invalid",AH263="Inconsistent",Z263="Mismatch",AD263="Mismatch",AM263="Yes",D263="Yes",E263="Yes"),"Invalid",IF(OR(J263="Yes",Q263="Yes",U263="Yes"),"Warning","Clean"))</f>
        <v>Clean</v>
      </c>
    </row>
    <row r="264" customFormat="false" ht="15" hidden="false" customHeight="false" outlineLevel="0" collapsed="false">
      <c r="A264" s="2" t="s">
        <v>917</v>
      </c>
      <c r="B264" s="3" t="n">
        <v>45803</v>
      </c>
      <c r="C264" s="3" t="n">
        <v>45809</v>
      </c>
      <c r="D264" s="2" t="s">
        <v>41</v>
      </c>
      <c r="E264" s="2" t="s">
        <v>41</v>
      </c>
      <c r="F264" s="2" t="s">
        <v>651</v>
      </c>
      <c r="G264" s="2" t="s">
        <v>73</v>
      </c>
      <c r="H264" s="2" t="s">
        <v>57</v>
      </c>
      <c r="I264" s="2" t="s">
        <v>45</v>
      </c>
      <c r="J264" s="2" t="s">
        <v>41</v>
      </c>
      <c r="K264" s="2" t="s">
        <v>372</v>
      </c>
      <c r="L264" s="2" t="s">
        <v>373</v>
      </c>
      <c r="M264" s="2" t="s">
        <v>94</v>
      </c>
      <c r="N264" s="2" t="s">
        <v>191</v>
      </c>
      <c r="O264" s="2" t="s">
        <v>918</v>
      </c>
      <c r="P264" s="2" t="s">
        <v>64</v>
      </c>
      <c r="Q264" s="2" t="s">
        <v>41</v>
      </c>
      <c r="R264" s="2" t="n">
        <v>4</v>
      </c>
      <c r="S264" s="2" t="n">
        <v>3349.86</v>
      </c>
      <c r="T264" s="2" t="n">
        <v>0</v>
      </c>
      <c r="U264" s="2" t="str">
        <f aca="false">IF(ISBLANK(T264),"Yes","No")</f>
        <v>No</v>
      </c>
      <c r="V264" s="2" t="n">
        <f aca="false">IF(ISBLANK(T264),0,IF(ISNUMBER(T264),T264,VALUE(LEFT(T264,LEN(T264)-1))/100))</f>
        <v>0</v>
      </c>
      <c r="W264" s="2" t="str">
        <f aca="false">IF(AND(V264&gt;=0,V264&lt;=0.25),"Valid","Invalid")</f>
        <v>Valid</v>
      </c>
      <c r="X264" s="2" t="n">
        <v>13399.44</v>
      </c>
      <c r="Y264" s="2" t="n">
        <f aca="false">R264*S264*(1-V264)</f>
        <v>13399.44</v>
      </c>
      <c r="Z264" s="2" t="str">
        <f aca="false">IF(ABS(X264-Y264)&gt;1,"Mismatch","OK")</f>
        <v>OK</v>
      </c>
      <c r="AA264" s="2" t="n">
        <v>8581.35</v>
      </c>
      <c r="AB264" s="2" t="n">
        <v>4818.09</v>
      </c>
      <c r="AC264" s="2" t="n">
        <f aca="false">Y264-AA264</f>
        <v>4818.09</v>
      </c>
      <c r="AD264" s="2" t="str">
        <f aca="false">IF(ABS(AB264-AC264)&gt;1,"Mismatch","OK")</f>
        <v>OK</v>
      </c>
      <c r="AE264" s="4" t="n">
        <f aca="false">IF(Y264=0,0,AC264/Y264)</f>
        <v>0.359573982196271</v>
      </c>
      <c r="AF264" s="2" t="s">
        <v>131</v>
      </c>
      <c r="AG264" s="2" t="s">
        <v>123</v>
      </c>
      <c r="AH264" s="2" t="str">
        <f aca="false">IF(AND(AG264="Completed",AF264&lt;&gt;"Paid"),"Inconsistent","OK")</f>
        <v>OK</v>
      </c>
      <c r="AI264" s="2" t="n">
        <f aca="false">IF(OR(ISBLANK(B264),ISBLANK(C264)),"",C264-B264)</f>
        <v>6</v>
      </c>
      <c r="AJ264" s="2" t="str">
        <f aca="false">IF(AI264="","Unknown",IF(AI264&lt;0,"Invalid","OK"))</f>
        <v>OK</v>
      </c>
      <c r="AK264" s="2" t="str">
        <f aca="false">IF(ISBLANK(B264),"",TEXT(B264,"mmm"))</f>
        <v>May</v>
      </c>
      <c r="AL264" s="2" t="n">
        <f aca="false">IF(ISBLANK(B264),"",YEAR(B264))</f>
        <v>2025</v>
      </c>
      <c r="AM264" s="2" t="s">
        <v>41</v>
      </c>
      <c r="AN264" s="2" t="str">
        <f aca="false">IF(OR(W264="Invalid",AJ264="Invalid",AH264="Inconsistent",Z264="Mismatch",AD264="Mismatch",AM264="Yes",D264="Yes",E264="Yes"),"Invalid",IF(OR(J264="Yes",Q264="Yes",U264="Yes"),"Warning","Clean"))</f>
        <v>Clean</v>
      </c>
    </row>
    <row r="265" customFormat="false" ht="15" hidden="false" customHeight="false" outlineLevel="0" collapsed="false">
      <c r="A265" s="2" t="s">
        <v>919</v>
      </c>
      <c r="B265" s="3" t="n">
        <v>45875</v>
      </c>
      <c r="C265" s="3" t="n">
        <v>45879</v>
      </c>
      <c r="D265" s="2" t="s">
        <v>41</v>
      </c>
      <c r="E265" s="2" t="s">
        <v>41</v>
      </c>
      <c r="F265" s="2" t="s">
        <v>920</v>
      </c>
      <c r="G265" s="2" t="s">
        <v>161</v>
      </c>
      <c r="H265" s="2" t="s">
        <v>57</v>
      </c>
      <c r="I265" s="2" t="s">
        <v>45</v>
      </c>
      <c r="J265" s="2" t="s">
        <v>41</v>
      </c>
      <c r="K265" s="2" t="s">
        <v>372</v>
      </c>
      <c r="L265" s="2" t="s">
        <v>373</v>
      </c>
      <c r="M265" s="2" t="s">
        <v>48</v>
      </c>
      <c r="N265" s="2" t="s">
        <v>173</v>
      </c>
      <c r="O265" s="2" t="s">
        <v>921</v>
      </c>
      <c r="P265" s="2" t="s">
        <v>51</v>
      </c>
      <c r="Q265" s="2" t="s">
        <v>41</v>
      </c>
      <c r="R265" s="2" t="n">
        <v>9</v>
      </c>
      <c r="S265" s="2" t="n">
        <v>4042.45</v>
      </c>
      <c r="T265" s="2" t="n">
        <v>0.1</v>
      </c>
      <c r="U265" s="2" t="str">
        <f aca="false">IF(ISBLANK(T265),"Yes","No")</f>
        <v>No</v>
      </c>
      <c r="V265" s="2" t="n">
        <f aca="false">IF(ISBLANK(T265),0,IF(ISNUMBER(T265),T265,VALUE(LEFT(T265,LEN(T265)-1))/100))</f>
        <v>0.1</v>
      </c>
      <c r="W265" s="2" t="str">
        <f aca="false">IF(AND(V265&gt;=0,V265&lt;=0.25),"Valid","Invalid")</f>
        <v>Valid</v>
      </c>
      <c r="X265" s="2" t="n">
        <v>32743.84</v>
      </c>
      <c r="Y265" s="2" t="n">
        <f aca="false">R265*S265*(1-V265)</f>
        <v>32743.845</v>
      </c>
      <c r="Z265" s="2" t="str">
        <f aca="false">IF(ABS(X265-Y265)&gt;1,"Mismatch","OK")</f>
        <v>OK</v>
      </c>
      <c r="AA265" s="2" t="n">
        <v>22452.05</v>
      </c>
      <c r="AB265" s="2" t="n">
        <v>10291.79</v>
      </c>
      <c r="AC265" s="2" t="n">
        <f aca="false">Y265-AA265</f>
        <v>10291.795</v>
      </c>
      <c r="AD265" s="2" t="str">
        <f aca="false">IF(ABS(AB265-AC265)&gt;1,"Mismatch","OK")</f>
        <v>OK</v>
      </c>
      <c r="AE265" s="4" t="n">
        <f aca="false">IF(Y265=0,0,AC265/Y265)</f>
        <v>0.314312353970647</v>
      </c>
      <c r="AF265" s="2" t="s">
        <v>131</v>
      </c>
      <c r="AG265" s="2" t="s">
        <v>123</v>
      </c>
      <c r="AH265" s="2" t="str">
        <f aca="false">IF(AND(AG265="Completed",AF265&lt;&gt;"Paid"),"Inconsistent","OK")</f>
        <v>OK</v>
      </c>
      <c r="AI265" s="2" t="n">
        <f aca="false">IF(OR(ISBLANK(B265),ISBLANK(C265)),"",C265-B265)</f>
        <v>4</v>
      </c>
      <c r="AJ265" s="2" t="str">
        <f aca="false">IF(AI265="","Unknown",IF(AI265&lt;0,"Invalid","OK"))</f>
        <v>OK</v>
      </c>
      <c r="AK265" s="2" t="str">
        <f aca="false">IF(ISBLANK(B265),"",TEXT(B265,"mmm"))</f>
        <v>Aug</v>
      </c>
      <c r="AL265" s="2" t="n">
        <f aca="false">IF(ISBLANK(B265),"",YEAR(B265))</f>
        <v>2025</v>
      </c>
      <c r="AM265" s="2" t="s">
        <v>41</v>
      </c>
      <c r="AN265" s="2" t="str">
        <f aca="false">IF(OR(W265="Invalid",AJ265="Invalid",AH265="Inconsistent",Z265="Mismatch",AD265="Mismatch",AM265="Yes",D265="Yes",E265="Yes"),"Invalid",IF(OR(J265="Yes",Q265="Yes",U265="Yes"),"Warning","Clean"))</f>
        <v>Clean</v>
      </c>
    </row>
    <row r="266" customFormat="false" ht="15" hidden="false" customHeight="false" outlineLevel="0" collapsed="false">
      <c r="A266" s="2" t="s">
        <v>922</v>
      </c>
      <c r="B266" s="3" t="n">
        <v>45428</v>
      </c>
      <c r="C266" s="3" t="n">
        <v>45433</v>
      </c>
      <c r="D266" s="2" t="s">
        <v>41</v>
      </c>
      <c r="E266" s="2" t="s">
        <v>41</v>
      </c>
      <c r="F266" s="2" t="s">
        <v>923</v>
      </c>
      <c r="G266" s="2" t="s">
        <v>182</v>
      </c>
      <c r="H266" s="2" t="s">
        <v>57</v>
      </c>
      <c r="I266" s="2" t="s">
        <v>58</v>
      </c>
      <c r="J266" s="2" t="s">
        <v>41</v>
      </c>
      <c r="K266" s="2" t="s">
        <v>165</v>
      </c>
      <c r="L266" s="2" t="s">
        <v>166</v>
      </c>
      <c r="M266" s="2" t="s">
        <v>94</v>
      </c>
      <c r="N266" s="2" t="s">
        <v>100</v>
      </c>
      <c r="O266" s="2" t="s">
        <v>924</v>
      </c>
      <c r="P266" s="2" t="s">
        <v>79</v>
      </c>
      <c r="Q266" s="2" t="s">
        <v>41</v>
      </c>
      <c r="R266" s="2" t="n">
        <v>4</v>
      </c>
      <c r="S266" s="2" t="n">
        <v>1503.07</v>
      </c>
      <c r="T266" s="2" t="n">
        <v>0</v>
      </c>
      <c r="U266" s="2" t="str">
        <f aca="false">IF(ISBLANK(T266),"Yes","No")</f>
        <v>No</v>
      </c>
      <c r="V266" s="2" t="n">
        <f aca="false">IF(ISBLANK(T266),0,IF(ISNUMBER(T266),T266,VALUE(LEFT(T266,LEN(T266)-1))/100))</f>
        <v>0</v>
      </c>
      <c r="W266" s="2" t="str">
        <f aca="false">IF(AND(V266&gt;=0,V266&lt;=0.25),"Valid","Invalid")</f>
        <v>Valid</v>
      </c>
      <c r="X266" s="2" t="n">
        <v>6012.28</v>
      </c>
      <c r="Y266" s="2" t="n">
        <f aca="false">R266*S266*(1-V266)</f>
        <v>6012.28</v>
      </c>
      <c r="Z266" s="2" t="str">
        <f aca="false">IF(ABS(X266-Y266)&gt;1,"Mismatch","OK")</f>
        <v>OK</v>
      </c>
      <c r="AA266" s="2" t="n">
        <v>3927.64</v>
      </c>
      <c r="AB266" s="2" t="n">
        <v>2084.64</v>
      </c>
      <c r="AC266" s="2" t="n">
        <f aca="false">Y266-AA266</f>
        <v>2084.64</v>
      </c>
      <c r="AD266" s="2" t="str">
        <f aca="false">IF(ABS(AB266-AC266)&gt;1,"Mismatch","OK")</f>
        <v>OK</v>
      </c>
      <c r="AE266" s="4" t="n">
        <f aca="false">IF(Y266=0,0,AC266/Y266)</f>
        <v>0.346730358532869</v>
      </c>
      <c r="AF266" s="2" t="s">
        <v>52</v>
      </c>
      <c r="AG266" s="2" t="s">
        <v>53</v>
      </c>
      <c r="AH266" s="2" t="str">
        <f aca="false">IF(AND(AG266="Completed",AF266&lt;&gt;"Paid"),"Inconsistent","OK")</f>
        <v>OK</v>
      </c>
      <c r="AI266" s="2" t="n">
        <f aca="false">IF(OR(ISBLANK(B266),ISBLANK(C266)),"",C266-B266)</f>
        <v>5</v>
      </c>
      <c r="AJ266" s="2" t="str">
        <f aca="false">IF(AI266="","Unknown",IF(AI266&lt;0,"Invalid","OK"))</f>
        <v>OK</v>
      </c>
      <c r="AK266" s="2" t="str">
        <f aca="false">IF(ISBLANK(B266),"",TEXT(B266,"mmm"))</f>
        <v>May</v>
      </c>
      <c r="AL266" s="2" t="n">
        <f aca="false">IF(ISBLANK(B266),"",YEAR(B266))</f>
        <v>2024</v>
      </c>
      <c r="AM266" s="2" t="s">
        <v>41</v>
      </c>
      <c r="AN266" s="2" t="str">
        <f aca="false">IF(OR(W266="Invalid",AJ266="Invalid",AH266="Inconsistent",Z266="Mismatch",AD266="Mismatch",AM266="Yes",D266="Yes",E266="Yes"),"Invalid",IF(OR(J266="Yes",Q266="Yes",U266="Yes"),"Warning","Clean"))</f>
        <v>Clean</v>
      </c>
    </row>
    <row r="267" customFormat="false" ht="15" hidden="false" customHeight="false" outlineLevel="0" collapsed="false">
      <c r="A267" s="2" t="s">
        <v>925</v>
      </c>
      <c r="B267" s="3" t="n">
        <v>45610</v>
      </c>
      <c r="C267" s="3" t="n">
        <v>45618</v>
      </c>
      <c r="D267" s="2" t="s">
        <v>41</v>
      </c>
      <c r="E267" s="2" t="s">
        <v>41</v>
      </c>
      <c r="F267" s="2" t="s">
        <v>926</v>
      </c>
      <c r="G267" s="2" t="s">
        <v>134</v>
      </c>
      <c r="H267" s="2" t="s">
        <v>110</v>
      </c>
      <c r="I267" s="2" t="s">
        <v>58</v>
      </c>
      <c r="J267" s="2" t="s">
        <v>41</v>
      </c>
      <c r="K267" s="2" t="s">
        <v>165</v>
      </c>
      <c r="L267" s="2" t="s">
        <v>166</v>
      </c>
      <c r="M267" s="2" t="s">
        <v>61</v>
      </c>
      <c r="N267" s="2" t="s">
        <v>178</v>
      </c>
      <c r="O267" s="2" t="s">
        <v>927</v>
      </c>
      <c r="P267" s="2" t="s">
        <v>64</v>
      </c>
      <c r="Q267" s="2" t="s">
        <v>41</v>
      </c>
      <c r="R267" s="2" t="n">
        <v>1</v>
      </c>
      <c r="S267" s="2" t="n">
        <v>582.37</v>
      </c>
      <c r="T267" s="2" t="n">
        <v>0.15</v>
      </c>
      <c r="U267" s="2" t="str">
        <f aca="false">IF(ISBLANK(T267),"Yes","No")</f>
        <v>No</v>
      </c>
      <c r="V267" s="2" t="n">
        <f aca="false">IF(ISBLANK(T267),0,IF(ISNUMBER(T267),T267,VALUE(LEFT(T267,LEN(T267)-1))/100))</f>
        <v>0.15</v>
      </c>
      <c r="W267" s="2" t="str">
        <f aca="false">IF(AND(V267&gt;=0,V267&lt;=0.25),"Valid","Invalid")</f>
        <v>Valid</v>
      </c>
      <c r="X267" s="2" t="n">
        <v>495.01</v>
      </c>
      <c r="Y267" s="2" t="n">
        <f aca="false">R267*S267*(1-V267)</f>
        <v>495.0145</v>
      </c>
      <c r="Z267" s="2" t="str">
        <f aca="false">IF(ABS(X267-Y267)&gt;1,"Mismatch","OK")</f>
        <v>OK</v>
      </c>
      <c r="AA267" s="2" t="n">
        <v>285.13</v>
      </c>
      <c r="AB267" s="2" t="n">
        <v>209.88</v>
      </c>
      <c r="AC267" s="2" t="n">
        <f aca="false">Y267-AA267</f>
        <v>209.8845</v>
      </c>
      <c r="AD267" s="2" t="str">
        <f aca="false">IF(ABS(AB267-AC267)&gt;1,"Mismatch","OK")</f>
        <v>OK</v>
      </c>
      <c r="AE267" s="4" t="n">
        <f aca="false">IF(Y267=0,0,AC267/Y267)</f>
        <v>0.423996670804593</v>
      </c>
      <c r="AF267" s="2" t="s">
        <v>122</v>
      </c>
      <c r="AG267" s="2" t="s">
        <v>88</v>
      </c>
      <c r="AH267" s="2" t="str">
        <f aca="false">IF(AND(AG267="Completed",AF267&lt;&gt;"Paid"),"Inconsistent","OK")</f>
        <v>OK</v>
      </c>
      <c r="AI267" s="2" t="n">
        <f aca="false">IF(OR(ISBLANK(B267),ISBLANK(C267)),"",C267-B267)</f>
        <v>8</v>
      </c>
      <c r="AJ267" s="2" t="str">
        <f aca="false">IF(AI267="","Unknown",IF(AI267&lt;0,"Invalid","OK"))</f>
        <v>OK</v>
      </c>
      <c r="AK267" s="2" t="str">
        <f aca="false">IF(ISBLANK(B267),"",TEXT(B267,"mmm"))</f>
        <v>Nov</v>
      </c>
      <c r="AL267" s="2" t="n">
        <f aca="false">IF(ISBLANK(B267),"",YEAR(B267))</f>
        <v>2024</v>
      </c>
      <c r="AM267" s="2" t="s">
        <v>41</v>
      </c>
      <c r="AN267" s="2" t="str">
        <f aca="false">IF(OR(W267="Invalid",AJ267="Invalid",AH267="Inconsistent",Z267="Mismatch",AD267="Mismatch",AM267="Yes",D267="Yes",E267="Yes"),"Invalid",IF(OR(J267="Yes",Q267="Yes",U267="Yes"),"Warning","Clean"))</f>
        <v>Clean</v>
      </c>
    </row>
    <row r="268" customFormat="false" ht="15" hidden="false" customHeight="false" outlineLevel="0" collapsed="false">
      <c r="A268" s="2" t="s">
        <v>928</v>
      </c>
      <c r="B268" s="3" t="n">
        <v>45780</v>
      </c>
      <c r="C268" s="3" t="n">
        <v>45787</v>
      </c>
      <c r="D268" s="2" t="s">
        <v>41</v>
      </c>
      <c r="E268" s="2" t="s">
        <v>41</v>
      </c>
      <c r="F268" s="2" t="s">
        <v>929</v>
      </c>
      <c r="G268" s="2" t="s">
        <v>99</v>
      </c>
      <c r="H268" s="2" t="s">
        <v>115</v>
      </c>
      <c r="I268" s="2" t="s">
        <v>83</v>
      </c>
      <c r="J268" s="2" t="s">
        <v>41</v>
      </c>
      <c r="K268" s="2" t="s">
        <v>84</v>
      </c>
      <c r="L268" s="2" t="s">
        <v>85</v>
      </c>
      <c r="M268" s="2" t="s">
        <v>48</v>
      </c>
      <c r="N268" s="2" t="s">
        <v>144</v>
      </c>
      <c r="O268" s="2" t="s">
        <v>930</v>
      </c>
      <c r="P268" s="2" t="s">
        <v>51</v>
      </c>
      <c r="Q268" s="2" t="s">
        <v>41</v>
      </c>
      <c r="R268" s="2" t="n">
        <v>3</v>
      </c>
      <c r="S268" s="2" t="n">
        <v>4339.24</v>
      </c>
      <c r="T268" s="2" t="n">
        <v>0</v>
      </c>
      <c r="U268" s="2" t="str">
        <f aca="false">IF(ISBLANK(T268),"Yes","No")</f>
        <v>No</v>
      </c>
      <c r="V268" s="2" t="n">
        <f aca="false">IF(ISBLANK(T268),0,IF(ISNUMBER(T268),T268,VALUE(LEFT(T268,LEN(T268)-1))/100))</f>
        <v>0</v>
      </c>
      <c r="W268" s="2" t="str">
        <f aca="false">IF(AND(V268&gt;=0,V268&lt;=0.25),"Valid","Invalid")</f>
        <v>Valid</v>
      </c>
      <c r="X268" s="2" t="n">
        <v>13017.72</v>
      </c>
      <c r="Y268" s="2" t="n">
        <f aca="false">R268*S268*(1-V268)</f>
        <v>13017.72</v>
      </c>
      <c r="Z268" s="2" t="str">
        <f aca="false">IF(ABS(X268-Y268)&gt;1,"Mismatch","OK")</f>
        <v>OK</v>
      </c>
      <c r="AA268" s="2" t="n">
        <v>10170.57</v>
      </c>
      <c r="AB268" s="2" t="n">
        <v>2847.15</v>
      </c>
      <c r="AC268" s="2" t="n">
        <f aca="false">Y268-AA268</f>
        <v>2847.15</v>
      </c>
      <c r="AD268" s="2" t="str">
        <f aca="false">IF(ABS(AB268-AC268)&gt;1,"Mismatch","OK")</f>
        <v>OK</v>
      </c>
      <c r="AE268" s="4" t="n">
        <f aca="false">IF(Y268=0,0,AC268/Y268)</f>
        <v>0.218713415252441</v>
      </c>
      <c r="AF268" s="2" t="s">
        <v>52</v>
      </c>
      <c r="AG268" s="2" t="s">
        <v>53</v>
      </c>
      <c r="AH268" s="2" t="str">
        <f aca="false">IF(AND(AG268="Completed",AF268&lt;&gt;"Paid"),"Inconsistent","OK")</f>
        <v>OK</v>
      </c>
      <c r="AI268" s="2" t="n">
        <f aca="false">IF(OR(ISBLANK(B268),ISBLANK(C268)),"",C268-B268)</f>
        <v>7</v>
      </c>
      <c r="AJ268" s="2" t="str">
        <f aca="false">IF(AI268="","Unknown",IF(AI268&lt;0,"Invalid","OK"))</f>
        <v>OK</v>
      </c>
      <c r="AK268" s="2" t="str">
        <f aca="false">IF(ISBLANK(B268),"",TEXT(B268,"mmm"))</f>
        <v>May</v>
      </c>
      <c r="AL268" s="2" t="n">
        <f aca="false">IF(ISBLANK(B268),"",YEAR(B268))</f>
        <v>2025</v>
      </c>
      <c r="AM268" s="2" t="s">
        <v>41</v>
      </c>
      <c r="AN268" s="2" t="str">
        <f aca="false">IF(OR(W268="Invalid",AJ268="Invalid",AH268="Inconsistent",Z268="Mismatch",AD268="Mismatch",AM268="Yes",D268="Yes",E268="Yes"),"Invalid",IF(OR(J268="Yes",Q268="Yes",U268="Yes"),"Warning","Clean"))</f>
        <v>Clean</v>
      </c>
    </row>
    <row r="269" customFormat="false" ht="15" hidden="false" customHeight="false" outlineLevel="0" collapsed="false">
      <c r="A269" s="2" t="s">
        <v>931</v>
      </c>
      <c r="B269" s="3" t="n">
        <v>45805</v>
      </c>
      <c r="C269" s="3" t="n">
        <v>45812</v>
      </c>
      <c r="D269" s="2" t="s">
        <v>41</v>
      </c>
      <c r="E269" s="2" t="s">
        <v>41</v>
      </c>
      <c r="F269" s="2" t="s">
        <v>932</v>
      </c>
      <c r="G269" s="2" t="s">
        <v>182</v>
      </c>
      <c r="H269" s="2" t="s">
        <v>110</v>
      </c>
      <c r="I269" s="2" t="s">
        <v>58</v>
      </c>
      <c r="J269" s="2" t="s">
        <v>41</v>
      </c>
      <c r="K269" s="2" t="s">
        <v>250</v>
      </c>
      <c r="L269" s="2" t="s">
        <v>251</v>
      </c>
      <c r="M269" s="2" t="s">
        <v>61</v>
      </c>
      <c r="N269" s="2" t="s">
        <v>77</v>
      </c>
      <c r="O269" s="2" t="s">
        <v>933</v>
      </c>
      <c r="P269" s="2" t="s">
        <v>70</v>
      </c>
      <c r="Q269" s="2" t="s">
        <v>41</v>
      </c>
      <c r="R269" s="2" t="n">
        <v>4</v>
      </c>
      <c r="S269" s="2" t="n">
        <v>261.8</v>
      </c>
      <c r="T269" s="2" t="n">
        <v>0.25</v>
      </c>
      <c r="U269" s="2" t="str">
        <f aca="false">IF(ISBLANK(T269),"Yes","No")</f>
        <v>No</v>
      </c>
      <c r="V269" s="2" t="n">
        <f aca="false">IF(ISBLANK(T269),0,IF(ISNUMBER(T269),T269,VALUE(LEFT(T269,LEN(T269)-1))/100))</f>
        <v>0.25</v>
      </c>
      <c r="W269" s="2" t="str">
        <f aca="false">IF(AND(V269&gt;=0,V269&lt;=0.25),"Valid","Invalid")</f>
        <v>Valid</v>
      </c>
      <c r="X269" s="2" t="n">
        <v>785.4</v>
      </c>
      <c r="Y269" s="2" t="n">
        <f aca="false">R269*S269*(1-V269)</f>
        <v>785.4</v>
      </c>
      <c r="Z269" s="2" t="str">
        <f aca="false">IF(ABS(X269-Y269)&gt;1,"Mismatch","OK")</f>
        <v>OK</v>
      </c>
      <c r="AA269" s="2" t="n">
        <v>557.22</v>
      </c>
      <c r="AB269" s="2" t="n">
        <v>228.18</v>
      </c>
      <c r="AC269" s="2" t="n">
        <f aca="false">Y269-AA269</f>
        <v>228.18</v>
      </c>
      <c r="AD269" s="2" t="str">
        <f aca="false">IF(ABS(AB269-AC269)&gt;1,"Mismatch","OK")</f>
        <v>OK</v>
      </c>
      <c r="AE269" s="4" t="n">
        <f aca="false">IF(Y269=0,0,AC269/Y269)</f>
        <v>0.290527119938885</v>
      </c>
      <c r="AF269" s="2" t="s">
        <v>52</v>
      </c>
      <c r="AG269" s="2" t="s">
        <v>53</v>
      </c>
      <c r="AH269" s="2" t="str">
        <f aca="false">IF(AND(AG269="Completed",AF269&lt;&gt;"Paid"),"Inconsistent","OK")</f>
        <v>OK</v>
      </c>
      <c r="AI269" s="2" t="n">
        <f aca="false">IF(OR(ISBLANK(B269),ISBLANK(C269)),"",C269-B269)</f>
        <v>7</v>
      </c>
      <c r="AJ269" s="2" t="str">
        <f aca="false">IF(AI269="","Unknown",IF(AI269&lt;0,"Invalid","OK"))</f>
        <v>OK</v>
      </c>
      <c r="AK269" s="2" t="str">
        <f aca="false">IF(ISBLANK(B269),"",TEXT(B269,"mmm"))</f>
        <v>May</v>
      </c>
      <c r="AL269" s="2" t="n">
        <f aca="false">IF(ISBLANK(B269),"",YEAR(B269))</f>
        <v>2025</v>
      </c>
      <c r="AM269" s="2" t="s">
        <v>41</v>
      </c>
      <c r="AN269" s="2" t="str">
        <f aca="false">IF(OR(W269="Invalid",AJ269="Invalid",AH269="Inconsistent",Z269="Mismatch",AD269="Mismatch",AM269="Yes",D269="Yes",E269="Yes"),"Invalid",IF(OR(J269="Yes",Q269="Yes",U269="Yes"),"Warning","Clean"))</f>
        <v>Clean</v>
      </c>
    </row>
    <row r="270" customFormat="false" ht="15" hidden="false" customHeight="false" outlineLevel="0" collapsed="false">
      <c r="A270" s="2" t="s">
        <v>934</v>
      </c>
      <c r="B270" s="3" t="n">
        <v>45886</v>
      </c>
      <c r="C270" s="3" t="n">
        <v>45886</v>
      </c>
      <c r="D270" s="2" t="s">
        <v>41</v>
      </c>
      <c r="E270" s="2" t="s">
        <v>41</v>
      </c>
      <c r="F270" s="2" t="s">
        <v>935</v>
      </c>
      <c r="G270" s="2" t="s">
        <v>148</v>
      </c>
      <c r="H270" s="2" t="s">
        <v>115</v>
      </c>
      <c r="I270" s="2" t="s">
        <v>45</v>
      </c>
      <c r="J270" s="2" t="s">
        <v>41</v>
      </c>
      <c r="K270" s="2" t="s">
        <v>142</v>
      </c>
      <c r="L270" s="2" t="s">
        <v>143</v>
      </c>
      <c r="M270" s="2" t="s">
        <v>94</v>
      </c>
      <c r="N270" s="2" t="s">
        <v>95</v>
      </c>
      <c r="O270" s="2" t="s">
        <v>936</v>
      </c>
      <c r="P270" s="2" t="s">
        <v>70</v>
      </c>
      <c r="Q270" s="2" t="s">
        <v>41</v>
      </c>
      <c r="R270" s="2" t="n">
        <v>7</v>
      </c>
      <c r="S270" s="2" t="n">
        <v>632.2</v>
      </c>
      <c r="T270" s="2" t="n">
        <v>0.25</v>
      </c>
      <c r="U270" s="2" t="str">
        <f aca="false">IF(ISBLANK(T270),"Yes","No")</f>
        <v>No</v>
      </c>
      <c r="V270" s="2" t="n">
        <f aca="false">IF(ISBLANK(T270),0,IF(ISNUMBER(T270),T270,VALUE(LEFT(T270,LEN(T270)-1))/100))</f>
        <v>0.25</v>
      </c>
      <c r="W270" s="2" t="str">
        <f aca="false">IF(AND(V270&gt;=0,V270&lt;=0.25),"Valid","Invalid")</f>
        <v>Valid</v>
      </c>
      <c r="X270" s="2" t="n">
        <v>3319.05</v>
      </c>
      <c r="Y270" s="2" t="n">
        <f aca="false">R270*S270*(1-V270)</f>
        <v>3319.05</v>
      </c>
      <c r="Z270" s="2" t="str">
        <f aca="false">IF(ABS(X270-Y270)&gt;1,"Mismatch","OK")</f>
        <v>OK</v>
      </c>
      <c r="AA270" s="2" t="n">
        <v>2124.6</v>
      </c>
      <c r="AB270" s="2" t="n">
        <v>1194.45</v>
      </c>
      <c r="AC270" s="2" t="n">
        <f aca="false">Y270-AA270</f>
        <v>1194.45</v>
      </c>
      <c r="AD270" s="2" t="str">
        <f aca="false">IF(ABS(AB270-AC270)&gt;1,"Mismatch","OK")</f>
        <v>OK</v>
      </c>
      <c r="AE270" s="4" t="n">
        <f aca="false">IF(Y270=0,0,AC270/Y270)</f>
        <v>0.359877073258915</v>
      </c>
      <c r="AF270" s="2" t="s">
        <v>52</v>
      </c>
      <c r="AG270" s="2" t="s">
        <v>53</v>
      </c>
      <c r="AH270" s="2" t="str">
        <f aca="false">IF(AND(AG270="Completed",AF270&lt;&gt;"Paid"),"Inconsistent","OK")</f>
        <v>OK</v>
      </c>
      <c r="AI270" s="2" t="n">
        <f aca="false">IF(OR(ISBLANK(B270),ISBLANK(C270)),"",C270-B270)</f>
        <v>0</v>
      </c>
      <c r="AJ270" s="2" t="str">
        <f aca="false">IF(AI270="","Unknown",IF(AI270&lt;0,"Invalid","OK"))</f>
        <v>OK</v>
      </c>
      <c r="AK270" s="2" t="str">
        <f aca="false">IF(ISBLANK(B270),"",TEXT(B270,"mmm"))</f>
        <v>Aug</v>
      </c>
      <c r="AL270" s="2" t="n">
        <f aca="false">IF(ISBLANK(B270),"",YEAR(B270))</f>
        <v>2025</v>
      </c>
      <c r="AM270" s="2" t="s">
        <v>41</v>
      </c>
      <c r="AN270" s="2" t="str">
        <f aca="false">IF(OR(W270="Invalid",AJ270="Invalid",AH270="Inconsistent",Z270="Mismatch",AD270="Mismatch",AM270="Yes",D270="Yes",E270="Yes"),"Invalid",IF(OR(J270="Yes",Q270="Yes",U270="Yes"),"Warning","Clean"))</f>
        <v>Clean</v>
      </c>
    </row>
    <row r="271" customFormat="false" ht="15" hidden="false" customHeight="false" outlineLevel="0" collapsed="false">
      <c r="A271" s="2" t="s">
        <v>937</v>
      </c>
      <c r="B271" s="3" t="n">
        <v>45698</v>
      </c>
      <c r="C271" s="3" t="n">
        <v>45700</v>
      </c>
      <c r="D271" s="2" t="s">
        <v>41</v>
      </c>
      <c r="E271" s="2" t="s">
        <v>41</v>
      </c>
      <c r="F271" s="2" t="s">
        <v>938</v>
      </c>
      <c r="G271" s="2" t="s">
        <v>138</v>
      </c>
      <c r="H271" s="2" t="s">
        <v>57</v>
      </c>
      <c r="I271" s="2" t="s">
        <v>83</v>
      </c>
      <c r="J271" s="2" t="s">
        <v>41</v>
      </c>
      <c r="K271" s="2" t="s">
        <v>46</v>
      </c>
      <c r="L271" s="2" t="s">
        <v>129</v>
      </c>
      <c r="M271" s="2" t="s">
        <v>61</v>
      </c>
      <c r="N271" s="2" t="s">
        <v>62</v>
      </c>
      <c r="O271" s="2" t="s">
        <v>939</v>
      </c>
      <c r="P271" s="2" t="s">
        <v>64</v>
      </c>
      <c r="Q271" s="2" t="s">
        <v>41</v>
      </c>
      <c r="R271" s="2" t="n">
        <v>1</v>
      </c>
      <c r="S271" s="2" t="n">
        <v>1925.86</v>
      </c>
      <c r="T271" s="2" t="n">
        <v>0</v>
      </c>
      <c r="U271" s="2" t="str">
        <f aca="false">IF(ISBLANK(T271),"Yes","No")</f>
        <v>No</v>
      </c>
      <c r="V271" s="2" t="n">
        <f aca="false">IF(ISBLANK(T271),0,IF(ISNUMBER(T271),T271,VALUE(LEFT(T271,LEN(T271)-1))/100))</f>
        <v>0</v>
      </c>
      <c r="W271" s="2" t="str">
        <f aca="false">IF(AND(V271&gt;=0,V271&lt;=0.25),"Valid","Invalid")</f>
        <v>Valid</v>
      </c>
      <c r="X271" s="2" t="n">
        <v>1925.86</v>
      </c>
      <c r="Y271" s="2" t="n">
        <f aca="false">R271*S271*(1-V271)</f>
        <v>1925.86</v>
      </c>
      <c r="Z271" s="2" t="str">
        <f aca="false">IF(ABS(X271-Y271)&gt;1,"Mismatch","OK")</f>
        <v>OK</v>
      </c>
      <c r="AA271" s="2" t="n">
        <v>1321.89</v>
      </c>
      <c r="AB271" s="2" t="n">
        <v>603.97</v>
      </c>
      <c r="AC271" s="2" t="n">
        <f aca="false">Y271-AA271</f>
        <v>603.97</v>
      </c>
      <c r="AD271" s="2" t="str">
        <f aca="false">IF(ABS(AB271-AC271)&gt;1,"Mismatch","OK")</f>
        <v>OK</v>
      </c>
      <c r="AE271" s="4" t="n">
        <f aca="false">IF(Y271=0,0,AC271/Y271)</f>
        <v>0.313610542822427</v>
      </c>
      <c r="AF271" s="2" t="s">
        <v>52</v>
      </c>
      <c r="AG271" s="2" t="s">
        <v>53</v>
      </c>
      <c r="AH271" s="2" t="str">
        <f aca="false">IF(AND(AG271="Completed",AF271&lt;&gt;"Paid"),"Inconsistent","OK")</f>
        <v>OK</v>
      </c>
      <c r="AI271" s="2" t="n">
        <f aca="false">IF(OR(ISBLANK(B271),ISBLANK(C271)),"",C271-B271)</f>
        <v>2</v>
      </c>
      <c r="AJ271" s="2" t="str">
        <f aca="false">IF(AI271="","Unknown",IF(AI271&lt;0,"Invalid","OK"))</f>
        <v>OK</v>
      </c>
      <c r="AK271" s="2" t="str">
        <f aca="false">IF(ISBLANK(B271),"",TEXT(B271,"mmm"))</f>
        <v>Feb</v>
      </c>
      <c r="AL271" s="2" t="n">
        <f aca="false">IF(ISBLANK(B271),"",YEAR(B271))</f>
        <v>2025</v>
      </c>
      <c r="AM271" s="2" t="s">
        <v>41</v>
      </c>
      <c r="AN271" s="2" t="str">
        <f aca="false">IF(OR(W271="Invalid",AJ271="Invalid",AH271="Inconsistent",Z271="Mismatch",AD271="Mismatch",AM271="Yes",D271="Yes",E271="Yes"),"Invalid",IF(OR(J271="Yes",Q271="Yes",U271="Yes"),"Warning","Clean"))</f>
        <v>Clean</v>
      </c>
    </row>
    <row r="272" customFormat="false" ht="15" hidden="false" customHeight="false" outlineLevel="0" collapsed="false">
      <c r="A272" s="2" t="s">
        <v>940</v>
      </c>
      <c r="B272" s="3" t="n">
        <v>45303</v>
      </c>
      <c r="C272" s="3" t="n">
        <v>45304</v>
      </c>
      <c r="D272" s="2" t="s">
        <v>41</v>
      </c>
      <c r="E272" s="2" t="s">
        <v>41</v>
      </c>
      <c r="F272" s="2" t="s">
        <v>941</v>
      </c>
      <c r="G272" s="2" t="s">
        <v>109</v>
      </c>
      <c r="H272" s="2" t="s">
        <v>110</v>
      </c>
      <c r="I272" s="2" t="s">
        <v>45</v>
      </c>
      <c r="J272" s="2" t="s">
        <v>41</v>
      </c>
      <c r="K272" s="2" t="s">
        <v>156</v>
      </c>
      <c r="L272" s="2" t="s">
        <v>157</v>
      </c>
      <c r="M272" s="2" t="s">
        <v>94</v>
      </c>
      <c r="N272" s="2" t="s">
        <v>296</v>
      </c>
      <c r="O272" s="2" t="s">
        <v>942</v>
      </c>
      <c r="P272" s="2" t="s">
        <v>64</v>
      </c>
      <c r="Q272" s="2" t="s">
        <v>41</v>
      </c>
      <c r="R272" s="2" t="n">
        <v>3</v>
      </c>
      <c r="S272" s="2" t="n">
        <v>827.44</v>
      </c>
      <c r="T272" s="2" t="n">
        <v>0</v>
      </c>
      <c r="U272" s="2" t="str">
        <f aca="false">IF(ISBLANK(T272),"Yes","No")</f>
        <v>No</v>
      </c>
      <c r="V272" s="2" t="n">
        <f aca="false">IF(ISBLANK(T272),0,IF(ISNUMBER(T272),T272,VALUE(LEFT(T272,LEN(T272)-1))/100))</f>
        <v>0</v>
      </c>
      <c r="W272" s="2" t="str">
        <f aca="false">IF(AND(V272&gt;=0,V272&lt;=0.25),"Valid","Invalid")</f>
        <v>Valid</v>
      </c>
      <c r="X272" s="2" t="n">
        <v>2482.32</v>
      </c>
      <c r="Y272" s="2" t="n">
        <f aca="false">R272*S272*(1-V272)</f>
        <v>2482.32</v>
      </c>
      <c r="Z272" s="2" t="str">
        <f aca="false">IF(ABS(X272-Y272)&gt;1,"Mismatch","OK")</f>
        <v>OK</v>
      </c>
      <c r="AA272" s="2" t="n">
        <v>1520.21</v>
      </c>
      <c r="AB272" s="2" t="n">
        <v>962.11</v>
      </c>
      <c r="AC272" s="2" t="n">
        <f aca="false">Y272-AA272</f>
        <v>962.11</v>
      </c>
      <c r="AD272" s="2" t="str">
        <f aca="false">IF(ABS(AB272-AC272)&gt;1,"Mismatch","OK")</f>
        <v>OK</v>
      </c>
      <c r="AE272" s="4" t="n">
        <f aca="false">IF(Y272=0,0,AC272/Y272)</f>
        <v>0.387585001127977</v>
      </c>
      <c r="AF272" s="2" t="s">
        <v>52</v>
      </c>
      <c r="AG272" s="2" t="s">
        <v>53</v>
      </c>
      <c r="AH272" s="2" t="str">
        <f aca="false">IF(AND(AG272="Completed",AF272&lt;&gt;"Paid"),"Inconsistent","OK")</f>
        <v>OK</v>
      </c>
      <c r="AI272" s="2" t="n">
        <f aca="false">IF(OR(ISBLANK(B272),ISBLANK(C272)),"",C272-B272)</f>
        <v>1</v>
      </c>
      <c r="AJ272" s="2" t="str">
        <f aca="false">IF(AI272="","Unknown",IF(AI272&lt;0,"Invalid","OK"))</f>
        <v>OK</v>
      </c>
      <c r="AK272" s="2" t="str">
        <f aca="false">IF(ISBLANK(B272),"",TEXT(B272,"mmm"))</f>
        <v>Jan</v>
      </c>
      <c r="AL272" s="2" t="n">
        <f aca="false">IF(ISBLANK(B272),"",YEAR(B272))</f>
        <v>2024</v>
      </c>
      <c r="AM272" s="2" t="s">
        <v>41</v>
      </c>
      <c r="AN272" s="2" t="str">
        <f aca="false">IF(OR(W272="Invalid",AJ272="Invalid",AH272="Inconsistent",Z272="Mismatch",AD272="Mismatch",AM272="Yes",D272="Yes",E272="Yes"),"Invalid",IF(OR(J272="Yes",Q272="Yes",U272="Yes"),"Warning","Clean"))</f>
        <v>Clean</v>
      </c>
    </row>
    <row r="273" customFormat="false" ht="15" hidden="false" customHeight="false" outlineLevel="0" collapsed="false">
      <c r="A273" s="2" t="s">
        <v>943</v>
      </c>
      <c r="B273" s="3" t="n">
        <v>45647</v>
      </c>
      <c r="C273" s="3" t="n">
        <v>45651</v>
      </c>
      <c r="D273" s="2" t="s">
        <v>41</v>
      </c>
      <c r="E273" s="2" t="s">
        <v>41</v>
      </c>
      <c r="F273" s="2" t="s">
        <v>944</v>
      </c>
      <c r="G273" s="2" t="s">
        <v>109</v>
      </c>
      <c r="H273" s="2" t="s">
        <v>44</v>
      </c>
      <c r="I273" s="2" t="s">
        <v>74</v>
      </c>
      <c r="J273" s="2" t="s">
        <v>41</v>
      </c>
      <c r="K273" s="2" t="s">
        <v>75</v>
      </c>
      <c r="L273" s="2" t="s">
        <v>76</v>
      </c>
      <c r="M273" s="2" t="s">
        <v>48</v>
      </c>
      <c r="N273" s="2" t="s">
        <v>173</v>
      </c>
      <c r="O273" s="2" t="s">
        <v>945</v>
      </c>
      <c r="P273" s="2" t="s">
        <v>79</v>
      </c>
      <c r="Q273" s="2" t="s">
        <v>41</v>
      </c>
      <c r="R273" s="2" t="n">
        <v>7</v>
      </c>
      <c r="S273" s="2" t="n">
        <v>1667.75</v>
      </c>
      <c r="T273" s="2" t="n">
        <v>0</v>
      </c>
      <c r="U273" s="2" t="str">
        <f aca="false">IF(ISBLANK(T273),"Yes","No")</f>
        <v>No</v>
      </c>
      <c r="V273" s="2" t="n">
        <f aca="false">IF(ISBLANK(T273),0,IF(ISNUMBER(T273),T273,VALUE(LEFT(T273,LEN(T273)-1))/100))</f>
        <v>0</v>
      </c>
      <c r="W273" s="2" t="str">
        <f aca="false">IF(AND(V273&gt;=0,V273&lt;=0.25),"Valid","Invalid")</f>
        <v>Valid</v>
      </c>
      <c r="X273" s="2" t="n">
        <v>11674.25</v>
      </c>
      <c r="Y273" s="2" t="n">
        <f aca="false">R273*S273*(1-V273)</f>
        <v>11674.25</v>
      </c>
      <c r="Z273" s="2" t="str">
        <f aca="false">IF(ABS(X273-Y273)&gt;1,"Mismatch","OK")</f>
        <v>OK</v>
      </c>
      <c r="AA273" s="2" t="n">
        <v>9621.19</v>
      </c>
      <c r="AB273" s="2" t="n">
        <v>2053.06</v>
      </c>
      <c r="AC273" s="2" t="n">
        <f aca="false">Y273-AA273</f>
        <v>2053.06</v>
      </c>
      <c r="AD273" s="2" t="str">
        <f aca="false">IF(ABS(AB273-AC273)&gt;1,"Mismatch","OK")</f>
        <v>OK</v>
      </c>
      <c r="AE273" s="4" t="n">
        <f aca="false">IF(Y273=0,0,AC273/Y273)</f>
        <v>0.175862260958948</v>
      </c>
      <c r="AF273" s="2" t="s">
        <v>175</v>
      </c>
      <c r="AG273" s="2" t="s">
        <v>88</v>
      </c>
      <c r="AH273" s="2" t="str">
        <f aca="false">IF(AND(AG273="Completed",AF273&lt;&gt;"Paid"),"Inconsistent","OK")</f>
        <v>OK</v>
      </c>
      <c r="AI273" s="2" t="n">
        <f aca="false">IF(OR(ISBLANK(B273),ISBLANK(C273)),"",C273-B273)</f>
        <v>4</v>
      </c>
      <c r="AJ273" s="2" t="str">
        <f aca="false">IF(AI273="","Unknown",IF(AI273&lt;0,"Invalid","OK"))</f>
        <v>OK</v>
      </c>
      <c r="AK273" s="2" t="str">
        <f aca="false">IF(ISBLANK(B273),"",TEXT(B273,"mmm"))</f>
        <v>Dec</v>
      </c>
      <c r="AL273" s="2" t="n">
        <f aca="false">IF(ISBLANK(B273),"",YEAR(B273))</f>
        <v>2024</v>
      </c>
      <c r="AM273" s="2" t="s">
        <v>41</v>
      </c>
      <c r="AN273" s="2" t="str">
        <f aca="false">IF(OR(W273="Invalid",AJ273="Invalid",AH273="Inconsistent",Z273="Mismatch",AD273="Mismatch",AM273="Yes",D273="Yes",E273="Yes"),"Invalid",IF(OR(J273="Yes",Q273="Yes",U273="Yes"),"Warning","Clean"))</f>
        <v>Clean</v>
      </c>
    </row>
    <row r="274" customFormat="false" ht="15" hidden="false" customHeight="false" outlineLevel="0" collapsed="false">
      <c r="A274" s="2" t="s">
        <v>946</v>
      </c>
      <c r="B274" s="3" t="n">
        <v>45522</v>
      </c>
      <c r="C274" s="3" t="n">
        <v>45528</v>
      </c>
      <c r="D274" s="2" t="s">
        <v>41</v>
      </c>
      <c r="E274" s="2" t="s">
        <v>41</v>
      </c>
      <c r="F274" s="2" t="s">
        <v>947</v>
      </c>
      <c r="G274" s="2" t="s">
        <v>73</v>
      </c>
      <c r="H274" s="2" t="s">
        <v>44</v>
      </c>
      <c r="I274" s="2" t="s">
        <v>74</v>
      </c>
      <c r="J274" s="2" t="s">
        <v>41</v>
      </c>
      <c r="K274" s="2" t="s">
        <v>104</v>
      </c>
      <c r="L274" s="2" t="s">
        <v>105</v>
      </c>
      <c r="M274" s="2" t="s">
        <v>61</v>
      </c>
      <c r="N274" s="2" t="s">
        <v>86</v>
      </c>
      <c r="O274" s="2" t="s">
        <v>948</v>
      </c>
      <c r="P274" s="2" t="s">
        <v>70</v>
      </c>
      <c r="Q274" s="2" t="s">
        <v>41</v>
      </c>
      <c r="R274" s="2" t="n">
        <v>7</v>
      </c>
      <c r="S274" s="2" t="n">
        <v>557.21</v>
      </c>
      <c r="T274" s="2" t="n">
        <v>0.1</v>
      </c>
      <c r="U274" s="2" t="str">
        <f aca="false">IF(ISBLANK(T274),"Yes","No")</f>
        <v>No</v>
      </c>
      <c r="V274" s="2" t="n">
        <f aca="false">IF(ISBLANK(T274),0,IF(ISNUMBER(T274),T274,VALUE(LEFT(T274,LEN(T274)-1))/100))</f>
        <v>0.1</v>
      </c>
      <c r="W274" s="2" t="str">
        <f aca="false">IF(AND(V274&gt;=0,V274&lt;=0.25),"Valid","Invalid")</f>
        <v>Valid</v>
      </c>
      <c r="X274" s="2" t="n">
        <v>3510.42</v>
      </c>
      <c r="Y274" s="2" t="n">
        <f aca="false">R274*S274*(1-V274)</f>
        <v>3510.423</v>
      </c>
      <c r="Z274" s="2" t="str">
        <f aca="false">IF(ABS(X274-Y274)&gt;1,"Mismatch","OK")</f>
        <v>OK</v>
      </c>
      <c r="AA274" s="2" t="n">
        <v>2191.5</v>
      </c>
      <c r="AB274" s="2" t="n">
        <v>1213.48</v>
      </c>
      <c r="AC274" s="2" t="n">
        <f aca="false">Y274-AA274</f>
        <v>1318.923</v>
      </c>
      <c r="AD274" s="2" t="str">
        <f aca="false">IF(ABS(AB274-AC274)&gt;1,"Mismatch","OK")</f>
        <v>Mismatch</v>
      </c>
      <c r="AE274" s="4" t="n">
        <f aca="false">IF(Y274=0,0,AC274/Y274)</f>
        <v>0.375716259835353</v>
      </c>
      <c r="AF274" s="2" t="s">
        <v>52</v>
      </c>
      <c r="AG274" s="2" t="s">
        <v>53</v>
      </c>
      <c r="AH274" s="2" t="str">
        <f aca="false">IF(AND(AG274="Completed",AF274&lt;&gt;"Paid"),"Inconsistent","OK")</f>
        <v>OK</v>
      </c>
      <c r="AI274" s="2" t="n">
        <f aca="false">IF(OR(ISBLANK(B274),ISBLANK(C274)),"",C274-B274)</f>
        <v>6</v>
      </c>
      <c r="AJ274" s="2" t="str">
        <f aca="false">IF(AI274="","Unknown",IF(AI274&lt;0,"Invalid","OK"))</f>
        <v>OK</v>
      </c>
      <c r="AK274" s="2" t="str">
        <f aca="false">IF(ISBLANK(B274),"",TEXT(B274,"mmm"))</f>
        <v>Aug</v>
      </c>
      <c r="AL274" s="2" t="n">
        <f aca="false">IF(ISBLANK(B274),"",YEAR(B274))</f>
        <v>2024</v>
      </c>
      <c r="AM274" s="2" t="s">
        <v>226</v>
      </c>
      <c r="AN274" s="2" t="str">
        <f aca="false">IF(OR(W274="Invalid",AJ274="Invalid",AH274="Inconsistent",Z274="Mismatch",AD274="Mismatch",AM274="Yes",D274="Yes",E274="Yes"),"Invalid",IF(OR(J274="Yes",Q274="Yes",U274="Yes"),"Warning","Clean"))</f>
        <v>Invalid</v>
      </c>
    </row>
    <row r="275" customFormat="false" ht="15" hidden="false" customHeight="false" outlineLevel="0" collapsed="false">
      <c r="A275" s="2" t="s">
        <v>949</v>
      </c>
      <c r="B275" s="3" t="n">
        <v>45701</v>
      </c>
      <c r="C275" s="3" t="n">
        <v>45701</v>
      </c>
      <c r="D275" s="2" t="s">
        <v>41</v>
      </c>
      <c r="E275" s="2" t="s">
        <v>41</v>
      </c>
      <c r="F275" s="2" t="s">
        <v>950</v>
      </c>
      <c r="G275" s="2" t="s">
        <v>67</v>
      </c>
      <c r="H275" s="2" t="s">
        <v>44</v>
      </c>
      <c r="I275" s="2" t="s">
        <v>58</v>
      </c>
      <c r="J275" s="2" t="s">
        <v>41</v>
      </c>
      <c r="K275" s="2" t="s">
        <v>165</v>
      </c>
      <c r="L275" s="2" t="s">
        <v>166</v>
      </c>
      <c r="M275" s="2" t="s">
        <v>48</v>
      </c>
      <c r="N275" s="2" t="s">
        <v>49</v>
      </c>
      <c r="O275" s="2" t="s">
        <v>951</v>
      </c>
      <c r="P275" s="2" t="s">
        <v>51</v>
      </c>
      <c r="Q275" s="2" t="s">
        <v>41</v>
      </c>
      <c r="R275" s="2" t="n">
        <v>9</v>
      </c>
      <c r="S275" s="2" t="n">
        <v>2521.63</v>
      </c>
      <c r="T275" s="2" t="n">
        <v>0</v>
      </c>
      <c r="U275" s="2" t="str">
        <f aca="false">IF(ISBLANK(T275),"Yes","No")</f>
        <v>No</v>
      </c>
      <c r="V275" s="2" t="n">
        <f aca="false">IF(ISBLANK(T275),0,IF(ISNUMBER(T275),T275,VALUE(LEFT(T275,LEN(T275)-1))/100))</f>
        <v>0</v>
      </c>
      <c r="W275" s="2" t="str">
        <f aca="false">IF(AND(V275&gt;=0,V275&lt;=0.25),"Valid","Invalid")</f>
        <v>Valid</v>
      </c>
      <c r="X275" s="2" t="n">
        <v>22694.67</v>
      </c>
      <c r="Y275" s="2" t="n">
        <f aca="false">R275*S275*(1-V275)</f>
        <v>22694.67</v>
      </c>
      <c r="Z275" s="2" t="str">
        <f aca="false">IF(ABS(X275-Y275)&gt;1,"Mismatch","OK")</f>
        <v>OK</v>
      </c>
      <c r="AA275" s="2" t="n">
        <v>15405.36</v>
      </c>
      <c r="AB275" s="2" t="n">
        <v>7289.31</v>
      </c>
      <c r="AC275" s="2" t="n">
        <f aca="false">Y275-AA275</f>
        <v>7289.31</v>
      </c>
      <c r="AD275" s="2" t="str">
        <f aca="false">IF(ABS(AB275-AC275)&gt;1,"Mismatch","OK")</f>
        <v>OK</v>
      </c>
      <c r="AE275" s="4" t="n">
        <f aca="false">IF(Y275=0,0,AC275/Y275)</f>
        <v>0.321190394044064</v>
      </c>
      <c r="AF275" s="2" t="s">
        <v>52</v>
      </c>
      <c r="AG275" s="2" t="s">
        <v>123</v>
      </c>
      <c r="AH275" s="2" t="str">
        <f aca="false">IF(AND(AG275="Completed",AF275&lt;&gt;"Paid"),"Inconsistent","OK")</f>
        <v>OK</v>
      </c>
      <c r="AI275" s="2" t="n">
        <f aca="false">IF(OR(ISBLANK(B275),ISBLANK(C275)),"",C275-B275)</f>
        <v>0</v>
      </c>
      <c r="AJ275" s="2" t="str">
        <f aca="false">IF(AI275="","Unknown",IF(AI275&lt;0,"Invalid","OK"))</f>
        <v>OK</v>
      </c>
      <c r="AK275" s="2" t="str">
        <f aca="false">IF(ISBLANK(B275),"",TEXT(B275,"mmm"))</f>
        <v>Feb</v>
      </c>
      <c r="AL275" s="2" t="n">
        <f aca="false">IF(ISBLANK(B275),"",YEAR(B275))</f>
        <v>2025</v>
      </c>
      <c r="AM275" s="2" t="s">
        <v>41</v>
      </c>
      <c r="AN275" s="2" t="str">
        <f aca="false">IF(OR(W275="Invalid",AJ275="Invalid",AH275="Inconsistent",Z275="Mismatch",AD275="Mismatch",AM275="Yes",D275="Yes",E275="Yes"),"Invalid",IF(OR(J275="Yes",Q275="Yes",U275="Yes"),"Warning","Clean"))</f>
        <v>Clean</v>
      </c>
    </row>
    <row r="276" customFormat="false" ht="15" hidden="false" customHeight="false" outlineLevel="0" collapsed="false">
      <c r="A276" s="2" t="s">
        <v>952</v>
      </c>
      <c r="B276" s="3" t="n">
        <v>45389</v>
      </c>
      <c r="C276" s="3" t="n">
        <v>45396</v>
      </c>
      <c r="D276" s="2" t="s">
        <v>41</v>
      </c>
      <c r="E276" s="2" t="s">
        <v>41</v>
      </c>
      <c r="F276" s="2" t="s">
        <v>953</v>
      </c>
      <c r="G276" s="2" t="s">
        <v>161</v>
      </c>
      <c r="H276" s="2" t="s">
        <v>44</v>
      </c>
      <c r="I276" s="2" t="s">
        <v>74</v>
      </c>
      <c r="J276" s="2" t="s">
        <v>41</v>
      </c>
      <c r="K276" s="2" t="s">
        <v>205</v>
      </c>
      <c r="L276" s="2" t="s">
        <v>206</v>
      </c>
      <c r="M276" s="2" t="s">
        <v>94</v>
      </c>
      <c r="N276" s="2" t="s">
        <v>100</v>
      </c>
      <c r="O276" s="2" t="s">
        <v>954</v>
      </c>
      <c r="P276" s="2" t="s">
        <v>79</v>
      </c>
      <c r="Q276" s="2" t="s">
        <v>41</v>
      </c>
      <c r="R276" s="2" t="n">
        <v>6</v>
      </c>
      <c r="S276" s="2" t="n">
        <v>4246.71</v>
      </c>
      <c r="T276" s="2" t="n">
        <v>0.15</v>
      </c>
      <c r="U276" s="2" t="str">
        <f aca="false">IF(ISBLANK(T276),"Yes","No")</f>
        <v>No</v>
      </c>
      <c r="V276" s="2" t="n">
        <f aca="false">IF(ISBLANK(T276),0,IF(ISNUMBER(T276),T276,VALUE(LEFT(T276,LEN(T276)-1))/100))</f>
        <v>0.15</v>
      </c>
      <c r="W276" s="2" t="str">
        <f aca="false">IF(AND(V276&gt;=0,V276&lt;=0.25),"Valid","Invalid")</f>
        <v>Valid</v>
      </c>
      <c r="X276" s="2" t="n">
        <v>21658.22</v>
      </c>
      <c r="Y276" s="2" t="n">
        <f aca="false">R276*S276*(1-V276)</f>
        <v>21658.221</v>
      </c>
      <c r="Z276" s="2" t="str">
        <f aca="false">IF(ABS(X276-Y276)&gt;1,"Mismatch","OK")</f>
        <v>OK</v>
      </c>
      <c r="AA276" s="2" t="n">
        <v>15490.69</v>
      </c>
      <c r="AB276" s="2" t="n">
        <v>6167.53</v>
      </c>
      <c r="AC276" s="2" t="n">
        <f aca="false">Y276-AA276</f>
        <v>6167.531</v>
      </c>
      <c r="AD276" s="2" t="str">
        <f aca="false">IF(ABS(AB276-AC276)&gt;1,"Mismatch","OK")</f>
        <v>OK</v>
      </c>
      <c r="AE276" s="4" t="n">
        <f aca="false">IF(Y276=0,0,AC276/Y276)</f>
        <v>0.28476627881856</v>
      </c>
      <c r="AF276" s="2" t="s">
        <v>175</v>
      </c>
      <c r="AG276" s="2" t="s">
        <v>123</v>
      </c>
      <c r="AH276" s="2" t="str">
        <f aca="false">IF(AND(AG276="Completed",AF276&lt;&gt;"Paid"),"Inconsistent","OK")</f>
        <v>OK</v>
      </c>
      <c r="AI276" s="2" t="n">
        <f aca="false">IF(OR(ISBLANK(B276),ISBLANK(C276)),"",C276-B276)</f>
        <v>7</v>
      </c>
      <c r="AJ276" s="2" t="str">
        <f aca="false">IF(AI276="","Unknown",IF(AI276&lt;0,"Invalid","OK"))</f>
        <v>OK</v>
      </c>
      <c r="AK276" s="2" t="str">
        <f aca="false">IF(ISBLANK(B276),"",TEXT(B276,"mmm"))</f>
        <v>Apr</v>
      </c>
      <c r="AL276" s="2" t="n">
        <f aca="false">IF(ISBLANK(B276),"",YEAR(B276))</f>
        <v>2024</v>
      </c>
      <c r="AM276" s="2" t="s">
        <v>41</v>
      </c>
      <c r="AN276" s="2" t="str">
        <f aca="false">IF(OR(W276="Invalid",AJ276="Invalid",AH276="Inconsistent",Z276="Mismatch",AD276="Mismatch",AM276="Yes",D276="Yes",E276="Yes"),"Invalid",IF(OR(J276="Yes",Q276="Yes",U276="Yes"),"Warning","Clean"))</f>
        <v>Clean</v>
      </c>
    </row>
    <row r="277" customFormat="false" ht="15" hidden="false" customHeight="false" outlineLevel="0" collapsed="false">
      <c r="A277" s="2" t="s">
        <v>955</v>
      </c>
      <c r="B277" s="3" t="n">
        <v>45337</v>
      </c>
      <c r="C277" s="3" t="n">
        <v>45344</v>
      </c>
      <c r="D277" s="2" t="s">
        <v>41</v>
      </c>
      <c r="E277" s="2" t="s">
        <v>41</v>
      </c>
      <c r="F277" s="2" t="s">
        <v>956</v>
      </c>
      <c r="G277" s="2" t="s">
        <v>134</v>
      </c>
      <c r="H277" s="2" t="s">
        <v>57</v>
      </c>
      <c r="I277" s="2" t="s">
        <v>58</v>
      </c>
      <c r="J277" s="2" t="s">
        <v>41</v>
      </c>
      <c r="K277" s="2" t="s">
        <v>119</v>
      </c>
      <c r="L277" s="2" t="s">
        <v>120</v>
      </c>
      <c r="M277" s="2" t="s">
        <v>61</v>
      </c>
      <c r="N277" s="2" t="s">
        <v>77</v>
      </c>
      <c r="O277" s="2" t="s">
        <v>957</v>
      </c>
      <c r="P277" s="2" t="s">
        <v>64</v>
      </c>
      <c r="Q277" s="2" t="s">
        <v>41</v>
      </c>
      <c r="R277" s="2" t="n">
        <v>1</v>
      </c>
      <c r="S277" s="2" t="n">
        <v>980.51</v>
      </c>
      <c r="T277" s="2" t="n">
        <v>0</v>
      </c>
      <c r="U277" s="2" t="str">
        <f aca="false">IF(ISBLANK(T277),"Yes","No")</f>
        <v>No</v>
      </c>
      <c r="V277" s="2" t="n">
        <f aca="false">IF(ISBLANK(T277),0,IF(ISNUMBER(T277),T277,VALUE(LEFT(T277,LEN(T277)-1))/100))</f>
        <v>0</v>
      </c>
      <c r="W277" s="2" t="str">
        <f aca="false">IF(AND(V277&gt;=0,V277&lt;=0.25),"Valid","Invalid")</f>
        <v>Valid</v>
      </c>
      <c r="X277" s="2" t="n">
        <v>980.51</v>
      </c>
      <c r="Y277" s="2" t="n">
        <f aca="false">R277*S277*(1-V277)</f>
        <v>980.51</v>
      </c>
      <c r="Z277" s="2" t="str">
        <f aca="false">IF(ABS(X277-Y277)&gt;1,"Mismatch","OK")</f>
        <v>OK</v>
      </c>
      <c r="AA277" s="2" t="n">
        <v>660.92</v>
      </c>
      <c r="AB277" s="2" t="n">
        <v>319.59</v>
      </c>
      <c r="AC277" s="2" t="n">
        <f aca="false">Y277-AA277</f>
        <v>319.59</v>
      </c>
      <c r="AD277" s="2" t="str">
        <f aca="false">IF(ABS(AB277-AC277)&gt;1,"Mismatch","OK")</f>
        <v>OK</v>
      </c>
      <c r="AE277" s="4" t="n">
        <f aca="false">IF(Y277=0,0,AC277/Y277)</f>
        <v>0.325942621696872</v>
      </c>
      <c r="AF277" s="2" t="s">
        <v>52</v>
      </c>
      <c r="AG277" s="2" t="s">
        <v>53</v>
      </c>
      <c r="AH277" s="2" t="str">
        <f aca="false">IF(AND(AG277="Completed",AF277&lt;&gt;"Paid"),"Inconsistent","OK")</f>
        <v>OK</v>
      </c>
      <c r="AI277" s="2" t="n">
        <f aca="false">IF(OR(ISBLANK(B277),ISBLANK(C277)),"",C277-B277)</f>
        <v>7</v>
      </c>
      <c r="AJ277" s="2" t="str">
        <f aca="false">IF(AI277="","Unknown",IF(AI277&lt;0,"Invalid","OK"))</f>
        <v>OK</v>
      </c>
      <c r="AK277" s="2" t="str">
        <f aca="false">IF(ISBLANK(B277),"",TEXT(B277,"mmm"))</f>
        <v>Feb</v>
      </c>
      <c r="AL277" s="2" t="n">
        <f aca="false">IF(ISBLANK(B277),"",YEAR(B277))</f>
        <v>2024</v>
      </c>
      <c r="AM277" s="2" t="s">
        <v>41</v>
      </c>
      <c r="AN277" s="2" t="str">
        <f aca="false">IF(OR(W277="Invalid",AJ277="Invalid",AH277="Inconsistent",Z277="Mismatch",AD277="Mismatch",AM277="Yes",D277="Yes",E277="Yes"),"Invalid",IF(OR(J277="Yes",Q277="Yes",U277="Yes"),"Warning","Clean"))</f>
        <v>Clean</v>
      </c>
    </row>
    <row r="278" customFormat="false" ht="15" hidden="false" customHeight="false" outlineLevel="0" collapsed="false">
      <c r="A278" s="2" t="s">
        <v>958</v>
      </c>
      <c r="B278" s="3" t="n">
        <v>45313</v>
      </c>
      <c r="C278" s="3" t="n">
        <v>45314</v>
      </c>
      <c r="D278" s="2" t="s">
        <v>41</v>
      </c>
      <c r="E278" s="2" t="s">
        <v>41</v>
      </c>
      <c r="F278" s="2" t="s">
        <v>959</v>
      </c>
      <c r="G278" s="2" t="s">
        <v>148</v>
      </c>
      <c r="H278" s="2" t="s">
        <v>57</v>
      </c>
      <c r="I278" s="2" t="s">
        <v>225</v>
      </c>
      <c r="J278" s="2" t="s">
        <v>226</v>
      </c>
      <c r="K278" s="2" t="s">
        <v>186</v>
      </c>
      <c r="L278" s="2" t="s">
        <v>187</v>
      </c>
      <c r="M278" s="2" t="s">
        <v>61</v>
      </c>
      <c r="N278" s="2" t="s">
        <v>86</v>
      </c>
      <c r="O278" s="2" t="s">
        <v>960</v>
      </c>
      <c r="P278" s="2" t="s">
        <v>51</v>
      </c>
      <c r="Q278" s="2" t="s">
        <v>41</v>
      </c>
      <c r="R278" s="2" t="n">
        <v>6</v>
      </c>
      <c r="S278" s="2" t="n">
        <v>3391.53</v>
      </c>
      <c r="T278" s="2" t="n">
        <v>-0.14</v>
      </c>
      <c r="U278" s="2" t="str">
        <f aca="false">IF(ISBLANK(T278),"Yes","No")</f>
        <v>No</v>
      </c>
      <c r="V278" s="2" t="n">
        <f aca="false">IF(ISBLANK(T278),0,IF(ISNUMBER(T278),T278,VALUE(LEFT(T278,LEN(T278)-1))/100))</f>
        <v>-0.14</v>
      </c>
      <c r="W278" s="2" t="str">
        <f aca="false">IF(AND(V278&gt;=0,V278&lt;=0.25),"Valid","Invalid")</f>
        <v>Invalid</v>
      </c>
      <c r="X278" s="2" t="n">
        <v>15261.89</v>
      </c>
      <c r="Y278" s="2" t="n">
        <f aca="false">R278*S278*(1-V278)</f>
        <v>23198.0652</v>
      </c>
      <c r="Z278" s="2" t="str">
        <f aca="false">IF(ABS(X278-Y278)&gt;1,"Mismatch","OK")</f>
        <v>Mismatch</v>
      </c>
      <c r="AA278" s="2" t="n">
        <v>8413.53</v>
      </c>
      <c r="AB278" s="2" t="n">
        <v>6848.36</v>
      </c>
      <c r="AC278" s="2" t="n">
        <f aca="false">Y278-AA278</f>
        <v>14784.5352</v>
      </c>
      <c r="AD278" s="2" t="str">
        <f aca="false">IF(ABS(AB278-AC278)&gt;1,"Mismatch","OK")</f>
        <v>Mismatch</v>
      </c>
      <c r="AE278" s="4" t="n">
        <f aca="false">IF(Y278=0,0,AC278/Y278)</f>
        <v>0.637317598365919</v>
      </c>
      <c r="AF278" s="2" t="s">
        <v>52</v>
      </c>
      <c r="AG278" s="2" t="s">
        <v>53</v>
      </c>
      <c r="AH278" s="2" t="str">
        <f aca="false">IF(AND(AG278="Completed",AF278&lt;&gt;"Paid"),"Inconsistent","OK")</f>
        <v>OK</v>
      </c>
      <c r="AI278" s="2" t="n">
        <f aca="false">IF(OR(ISBLANK(B278),ISBLANK(C278)),"",C278-B278)</f>
        <v>1</v>
      </c>
      <c r="AJ278" s="2" t="str">
        <f aca="false">IF(AI278="","Unknown",IF(AI278&lt;0,"Invalid","OK"))</f>
        <v>OK</v>
      </c>
      <c r="AK278" s="2" t="str">
        <f aca="false">IF(ISBLANK(B278),"",TEXT(B278,"mmm"))</f>
        <v>Jan</v>
      </c>
      <c r="AL278" s="2" t="n">
        <f aca="false">IF(ISBLANK(B278),"",YEAR(B278))</f>
        <v>2024</v>
      </c>
      <c r="AM278" s="2" t="s">
        <v>41</v>
      </c>
      <c r="AN278" s="2" t="str">
        <f aca="false">IF(OR(W278="Invalid",AJ278="Invalid",AH278="Inconsistent",Z278="Mismatch",AD278="Mismatch",AM278="Yes",D278="Yes",E278="Yes"),"Invalid",IF(OR(J278="Yes",Q278="Yes",U278="Yes"),"Warning","Clean"))</f>
        <v>Invalid</v>
      </c>
    </row>
    <row r="279" customFormat="false" ht="15" hidden="false" customHeight="false" outlineLevel="0" collapsed="false">
      <c r="A279" s="2" t="s">
        <v>961</v>
      </c>
      <c r="B279" s="3" t="n">
        <v>45812</v>
      </c>
      <c r="C279" s="3" t="n">
        <v>45812</v>
      </c>
      <c r="D279" s="2" t="s">
        <v>41</v>
      </c>
      <c r="E279" s="2" t="s">
        <v>41</v>
      </c>
      <c r="F279" s="2" t="s">
        <v>813</v>
      </c>
      <c r="G279" s="2" t="s">
        <v>67</v>
      </c>
      <c r="H279" s="2" t="s">
        <v>110</v>
      </c>
      <c r="I279" s="2" t="s">
        <v>45</v>
      </c>
      <c r="J279" s="2" t="s">
        <v>41</v>
      </c>
      <c r="K279" s="2" t="s">
        <v>258</v>
      </c>
      <c r="L279" s="2" t="s">
        <v>259</v>
      </c>
      <c r="M279" s="2" t="s">
        <v>94</v>
      </c>
      <c r="N279" s="2" t="s">
        <v>95</v>
      </c>
      <c r="O279" s="2" t="s">
        <v>962</v>
      </c>
      <c r="P279" s="2" t="s">
        <v>51</v>
      </c>
      <c r="Q279" s="2" t="s">
        <v>41</v>
      </c>
      <c r="R279" s="2" t="n">
        <v>1</v>
      </c>
      <c r="S279" s="2" t="n">
        <v>2133.73</v>
      </c>
      <c r="T279" s="2" t="n">
        <v>0.15</v>
      </c>
      <c r="U279" s="2" t="str">
        <f aca="false">IF(ISBLANK(T279),"Yes","No")</f>
        <v>No</v>
      </c>
      <c r="V279" s="2" t="n">
        <f aca="false">IF(ISBLANK(T279),0,IF(ISNUMBER(T279),T279,VALUE(LEFT(T279,LEN(T279)-1))/100))</f>
        <v>0.15</v>
      </c>
      <c r="W279" s="2" t="str">
        <f aca="false">IF(AND(V279&gt;=0,V279&lt;=0.25),"Valid","Invalid")</f>
        <v>Valid</v>
      </c>
      <c r="X279" s="2" t="n">
        <v>2008.39</v>
      </c>
      <c r="Y279" s="2" t="n">
        <f aca="false">R279*S279*(1-V279)</f>
        <v>1813.6705</v>
      </c>
      <c r="Z279" s="2" t="str">
        <f aca="false">IF(ABS(X279-Y279)&gt;1,"Mismatch","OK")</f>
        <v>Mismatch</v>
      </c>
      <c r="AA279" s="2" t="n">
        <v>1002.57</v>
      </c>
      <c r="AB279" s="2" t="n">
        <v>811.1</v>
      </c>
      <c r="AC279" s="2" t="n">
        <f aca="false">Y279-AA279</f>
        <v>811.1005</v>
      </c>
      <c r="AD279" s="2" t="str">
        <f aca="false">IF(ABS(AB279-AC279)&gt;1,"Mismatch","OK")</f>
        <v>OK</v>
      </c>
      <c r="AE279" s="4" t="n">
        <f aca="false">IF(Y279=0,0,AC279/Y279)</f>
        <v>0.447214915829529</v>
      </c>
      <c r="AF279" s="2" t="s">
        <v>131</v>
      </c>
      <c r="AG279" s="2" t="s">
        <v>88</v>
      </c>
      <c r="AH279" s="2" t="str">
        <f aca="false">IF(AND(AG279="Completed",AF279&lt;&gt;"Paid"),"Inconsistent","OK")</f>
        <v>OK</v>
      </c>
      <c r="AI279" s="2" t="n">
        <f aca="false">IF(OR(ISBLANK(B279),ISBLANK(C279)),"",C279-B279)</f>
        <v>0</v>
      </c>
      <c r="AJ279" s="2" t="str">
        <f aca="false">IF(AI279="","Unknown",IF(AI279&lt;0,"Invalid","OK"))</f>
        <v>OK</v>
      </c>
      <c r="AK279" s="2" t="str">
        <f aca="false">IF(ISBLANK(B279),"",TEXT(B279,"mmm"))</f>
        <v>Jun</v>
      </c>
      <c r="AL279" s="2" t="n">
        <f aca="false">IF(ISBLANK(B279),"",YEAR(B279))</f>
        <v>2025</v>
      </c>
      <c r="AM279" s="2" t="s">
        <v>41</v>
      </c>
      <c r="AN279" s="2" t="str">
        <f aca="false">IF(OR(W279="Invalid",AJ279="Invalid",AH279="Inconsistent",Z279="Mismatch",AD279="Mismatch",AM279="Yes",D279="Yes",E279="Yes"),"Invalid",IF(OR(J279="Yes",Q279="Yes",U279="Yes"),"Warning","Clean"))</f>
        <v>Invalid</v>
      </c>
    </row>
    <row r="280" customFormat="false" ht="15" hidden="false" customHeight="false" outlineLevel="0" collapsed="false">
      <c r="A280" s="2" t="s">
        <v>963</v>
      </c>
      <c r="B280" s="3" t="n">
        <v>45723</v>
      </c>
      <c r="C280" s="3" t="n">
        <v>45730</v>
      </c>
      <c r="D280" s="2" t="s">
        <v>41</v>
      </c>
      <c r="E280" s="2" t="s">
        <v>41</v>
      </c>
      <c r="F280" s="2" t="s">
        <v>964</v>
      </c>
      <c r="G280" s="2" t="s">
        <v>134</v>
      </c>
      <c r="H280" s="2" t="s">
        <v>57</v>
      </c>
      <c r="I280" s="2" t="s">
        <v>45</v>
      </c>
      <c r="J280" s="2" t="s">
        <v>41</v>
      </c>
      <c r="K280" s="2" t="s">
        <v>372</v>
      </c>
      <c r="L280" s="2" t="s">
        <v>373</v>
      </c>
      <c r="M280" s="2" t="s">
        <v>94</v>
      </c>
      <c r="N280" s="2" t="s">
        <v>95</v>
      </c>
      <c r="O280" s="2" t="s">
        <v>965</v>
      </c>
      <c r="P280" s="2" t="s">
        <v>64</v>
      </c>
      <c r="Q280" s="2" t="s">
        <v>41</v>
      </c>
      <c r="R280" s="2" t="n">
        <v>1</v>
      </c>
      <c r="S280" s="2" t="n">
        <v>3979.64</v>
      </c>
      <c r="T280" s="2" t="n">
        <v>0.05</v>
      </c>
      <c r="U280" s="2" t="str">
        <f aca="false">IF(ISBLANK(T280),"Yes","No")</f>
        <v>No</v>
      </c>
      <c r="V280" s="2" t="n">
        <f aca="false">IF(ISBLANK(T280),0,IF(ISNUMBER(T280),T280,VALUE(LEFT(T280,LEN(T280)-1))/100))</f>
        <v>0.05</v>
      </c>
      <c r="W280" s="2" t="str">
        <f aca="false">IF(AND(V280&gt;=0,V280&lt;=0.25),"Valid","Invalid")</f>
        <v>Valid</v>
      </c>
      <c r="X280" s="2" t="n">
        <v>3780.66</v>
      </c>
      <c r="Y280" s="2" t="n">
        <f aca="false">R280*S280*(1-V280)</f>
        <v>3780.658</v>
      </c>
      <c r="Z280" s="2" t="str">
        <f aca="false">IF(ABS(X280-Y280)&gt;1,"Mismatch","OK")</f>
        <v>OK</v>
      </c>
      <c r="AA280" s="2" t="n">
        <v>2148.31</v>
      </c>
      <c r="AB280" s="2" t="n">
        <v>1632.35</v>
      </c>
      <c r="AC280" s="2" t="n">
        <f aca="false">Y280-AA280</f>
        <v>1632.348</v>
      </c>
      <c r="AD280" s="2" t="str">
        <f aca="false">IF(ABS(AB280-AC280)&gt;1,"Mismatch","OK")</f>
        <v>OK</v>
      </c>
      <c r="AE280" s="4" t="n">
        <f aca="false">IF(Y280=0,0,AC280/Y280)</f>
        <v>0.431762936504704</v>
      </c>
      <c r="AF280" s="2" t="s">
        <v>52</v>
      </c>
      <c r="AG280" s="2" t="s">
        <v>123</v>
      </c>
      <c r="AH280" s="2" t="str">
        <f aca="false">IF(AND(AG280="Completed",AF280&lt;&gt;"Paid"),"Inconsistent","OK")</f>
        <v>OK</v>
      </c>
      <c r="AI280" s="2" t="n">
        <f aca="false">IF(OR(ISBLANK(B280),ISBLANK(C280)),"",C280-B280)</f>
        <v>7</v>
      </c>
      <c r="AJ280" s="2" t="str">
        <f aca="false">IF(AI280="","Unknown",IF(AI280&lt;0,"Invalid","OK"))</f>
        <v>OK</v>
      </c>
      <c r="AK280" s="2" t="str">
        <f aca="false">IF(ISBLANK(B280),"",TEXT(B280,"mmm"))</f>
        <v>Mar</v>
      </c>
      <c r="AL280" s="2" t="n">
        <f aca="false">IF(ISBLANK(B280),"",YEAR(B280))</f>
        <v>2025</v>
      </c>
      <c r="AM280" s="2" t="s">
        <v>41</v>
      </c>
      <c r="AN280" s="2" t="str">
        <f aca="false">IF(OR(W280="Invalid",AJ280="Invalid",AH280="Inconsistent",Z280="Mismatch",AD280="Mismatch",AM280="Yes",D280="Yes",E280="Yes"),"Invalid",IF(OR(J280="Yes",Q280="Yes",U280="Yes"),"Warning","Clean"))</f>
        <v>Clean</v>
      </c>
    </row>
    <row r="281" customFormat="false" ht="15" hidden="false" customHeight="false" outlineLevel="0" collapsed="false">
      <c r="A281" s="2" t="s">
        <v>966</v>
      </c>
      <c r="B281" s="3" t="n">
        <v>45391</v>
      </c>
      <c r="C281" s="3" t="n">
        <v>45392</v>
      </c>
      <c r="D281" s="2" t="s">
        <v>41</v>
      </c>
      <c r="E281" s="2" t="s">
        <v>41</v>
      </c>
      <c r="F281" s="2" t="s">
        <v>967</v>
      </c>
      <c r="G281" s="2" t="s">
        <v>161</v>
      </c>
      <c r="H281" s="2" t="s">
        <v>57</v>
      </c>
      <c r="I281" s="2" t="s">
        <v>83</v>
      </c>
      <c r="J281" s="2" t="s">
        <v>41</v>
      </c>
      <c r="K281" s="2" t="s">
        <v>84</v>
      </c>
      <c r="L281" s="2" t="s">
        <v>85</v>
      </c>
      <c r="M281" s="2" t="s">
        <v>48</v>
      </c>
      <c r="N281" s="2" t="s">
        <v>144</v>
      </c>
      <c r="O281" s="2" t="s">
        <v>968</v>
      </c>
      <c r="P281" s="2" t="s">
        <v>70</v>
      </c>
      <c r="Q281" s="2" t="s">
        <v>41</v>
      </c>
      <c r="R281" s="2" t="n">
        <v>1</v>
      </c>
      <c r="S281" s="2" t="n">
        <v>4359.12</v>
      </c>
      <c r="T281" s="2" t="n">
        <v>0.05</v>
      </c>
      <c r="U281" s="2" t="str">
        <f aca="false">IF(ISBLANK(T281),"Yes","No")</f>
        <v>No</v>
      </c>
      <c r="V281" s="2" t="n">
        <f aca="false">IF(ISBLANK(T281),0,IF(ISNUMBER(T281),T281,VALUE(LEFT(T281,LEN(T281)-1))/100))</f>
        <v>0.05</v>
      </c>
      <c r="W281" s="2" t="str">
        <f aca="false">IF(AND(V281&gt;=0,V281&lt;=0.25),"Valid","Invalid")</f>
        <v>Valid</v>
      </c>
      <c r="X281" s="2" t="n">
        <v>4141.16</v>
      </c>
      <c r="Y281" s="2" t="n">
        <f aca="false">R281*S281*(1-V281)</f>
        <v>4141.164</v>
      </c>
      <c r="Z281" s="2" t="str">
        <f aca="false">IF(ABS(X281-Y281)&gt;1,"Mismatch","OK")</f>
        <v>OK</v>
      </c>
      <c r="AA281" s="2" t="n">
        <v>2754.17</v>
      </c>
      <c r="AB281" s="2" t="n">
        <v>1386.99</v>
      </c>
      <c r="AC281" s="2" t="n">
        <f aca="false">Y281-AA281</f>
        <v>1386.994</v>
      </c>
      <c r="AD281" s="2" t="str">
        <f aca="false">IF(ABS(AB281-AC281)&gt;1,"Mismatch","OK")</f>
        <v>OK</v>
      </c>
      <c r="AE281" s="4" t="n">
        <f aca="false">IF(Y281=0,0,AC281/Y281)</f>
        <v>0.334928537000708</v>
      </c>
      <c r="AF281" s="2" t="s">
        <v>52</v>
      </c>
      <c r="AG281" s="2" t="s">
        <v>53</v>
      </c>
      <c r="AH281" s="2" t="str">
        <f aca="false">IF(AND(AG281="Completed",AF281&lt;&gt;"Paid"),"Inconsistent","OK")</f>
        <v>OK</v>
      </c>
      <c r="AI281" s="2" t="n">
        <f aca="false">IF(OR(ISBLANK(B281),ISBLANK(C281)),"",C281-B281)</f>
        <v>1</v>
      </c>
      <c r="AJ281" s="2" t="str">
        <f aca="false">IF(AI281="","Unknown",IF(AI281&lt;0,"Invalid","OK"))</f>
        <v>OK</v>
      </c>
      <c r="AK281" s="2" t="str">
        <f aca="false">IF(ISBLANK(B281),"",TEXT(B281,"mmm"))</f>
        <v>Apr</v>
      </c>
      <c r="AL281" s="2" t="n">
        <f aca="false">IF(ISBLANK(B281),"",YEAR(B281))</f>
        <v>2024</v>
      </c>
      <c r="AM281" s="2" t="s">
        <v>41</v>
      </c>
      <c r="AN281" s="2" t="str">
        <f aca="false">IF(OR(W281="Invalid",AJ281="Invalid",AH281="Inconsistent",Z281="Mismatch",AD281="Mismatch",AM281="Yes",D281="Yes",E281="Yes"),"Invalid",IF(OR(J281="Yes",Q281="Yes",U281="Yes"),"Warning","Clean"))</f>
        <v>Clean</v>
      </c>
    </row>
    <row r="282" customFormat="false" ht="15" hidden="false" customHeight="false" outlineLevel="0" collapsed="false">
      <c r="A282" s="2" t="s">
        <v>969</v>
      </c>
      <c r="B282" s="3" t="n">
        <v>45649</v>
      </c>
      <c r="C282" s="3" t="n">
        <v>45652</v>
      </c>
      <c r="D282" s="2" t="s">
        <v>41</v>
      </c>
      <c r="E282" s="2" t="s">
        <v>41</v>
      </c>
      <c r="F282" s="2" t="s">
        <v>970</v>
      </c>
      <c r="G282" s="2" t="s">
        <v>109</v>
      </c>
      <c r="H282" s="2" t="s">
        <v>44</v>
      </c>
      <c r="I282" s="2" t="s">
        <v>74</v>
      </c>
      <c r="J282" s="2" t="s">
        <v>41</v>
      </c>
      <c r="K282" s="2" t="s">
        <v>195</v>
      </c>
      <c r="L282" s="2" t="s">
        <v>196</v>
      </c>
      <c r="M282" s="2" t="s">
        <v>94</v>
      </c>
      <c r="N282" s="2" t="s">
        <v>100</v>
      </c>
      <c r="O282" s="2" t="s">
        <v>971</v>
      </c>
      <c r="P282" s="2" t="s">
        <v>79</v>
      </c>
      <c r="Q282" s="2" t="s">
        <v>41</v>
      </c>
      <c r="R282" s="2" t="n">
        <v>9</v>
      </c>
      <c r="S282" s="2" t="n">
        <v>993.67</v>
      </c>
      <c r="T282" s="2" t="n">
        <v>0</v>
      </c>
      <c r="U282" s="2" t="str">
        <f aca="false">IF(ISBLANK(T282),"Yes","No")</f>
        <v>No</v>
      </c>
      <c r="V282" s="2" t="n">
        <f aca="false">IF(ISBLANK(T282),0,IF(ISNUMBER(T282),T282,VALUE(LEFT(T282,LEN(T282)-1))/100))</f>
        <v>0</v>
      </c>
      <c r="W282" s="2" t="str">
        <f aca="false">IF(AND(V282&gt;=0,V282&lt;=0.25),"Valid","Invalid")</f>
        <v>Valid</v>
      </c>
      <c r="X282" s="2" t="n">
        <v>8943.03</v>
      </c>
      <c r="Y282" s="2" t="n">
        <f aca="false">R282*S282*(1-V282)</f>
        <v>8943.03</v>
      </c>
      <c r="Z282" s="2" t="str">
        <f aca="false">IF(ABS(X282-Y282)&gt;1,"Mismatch","OK")</f>
        <v>OK</v>
      </c>
      <c r="AA282" s="2" t="n">
        <v>5165.38</v>
      </c>
      <c r="AB282" s="2" t="n">
        <v>3777.65</v>
      </c>
      <c r="AC282" s="2" t="n">
        <f aca="false">Y282-AA282</f>
        <v>3777.65</v>
      </c>
      <c r="AD282" s="2" t="str">
        <f aca="false">IF(ABS(AB282-AC282)&gt;1,"Mismatch","OK")</f>
        <v>OK</v>
      </c>
      <c r="AE282" s="4" t="n">
        <f aca="false">IF(Y282=0,0,AC282/Y282)</f>
        <v>0.422412761670262</v>
      </c>
      <c r="AF282" s="2" t="s">
        <v>52</v>
      </c>
      <c r="AG282" s="2" t="s">
        <v>53</v>
      </c>
      <c r="AH282" s="2" t="str">
        <f aca="false">IF(AND(AG282="Completed",AF282&lt;&gt;"Paid"),"Inconsistent","OK")</f>
        <v>OK</v>
      </c>
      <c r="AI282" s="2" t="n">
        <f aca="false">IF(OR(ISBLANK(B282),ISBLANK(C282)),"",C282-B282)</f>
        <v>3</v>
      </c>
      <c r="AJ282" s="2" t="str">
        <f aca="false">IF(AI282="","Unknown",IF(AI282&lt;0,"Invalid","OK"))</f>
        <v>OK</v>
      </c>
      <c r="AK282" s="2" t="str">
        <f aca="false">IF(ISBLANK(B282),"",TEXT(B282,"mmm"))</f>
        <v>Dec</v>
      </c>
      <c r="AL282" s="2" t="n">
        <f aca="false">IF(ISBLANK(B282),"",YEAR(B282))</f>
        <v>2024</v>
      </c>
      <c r="AM282" s="2" t="s">
        <v>41</v>
      </c>
      <c r="AN282" s="2" t="str">
        <f aca="false">IF(OR(W282="Invalid",AJ282="Invalid",AH282="Inconsistent",Z282="Mismatch",AD282="Mismatch",AM282="Yes",D282="Yes",E282="Yes"),"Invalid",IF(OR(J282="Yes",Q282="Yes",U282="Yes"),"Warning","Clean"))</f>
        <v>Clean</v>
      </c>
    </row>
    <row r="283" customFormat="false" ht="15" hidden="false" customHeight="false" outlineLevel="0" collapsed="false">
      <c r="A283" s="2" t="s">
        <v>972</v>
      </c>
      <c r="B283" s="3" t="n">
        <v>45863</v>
      </c>
      <c r="C283" s="3" t="n">
        <v>45865</v>
      </c>
      <c r="D283" s="2" t="s">
        <v>41</v>
      </c>
      <c r="E283" s="2" t="s">
        <v>41</v>
      </c>
      <c r="F283" s="2" t="s">
        <v>973</v>
      </c>
      <c r="G283" s="2" t="s">
        <v>286</v>
      </c>
      <c r="H283" s="2" t="s">
        <v>44</v>
      </c>
      <c r="I283" s="2" t="s">
        <v>58</v>
      </c>
      <c r="J283" s="2" t="s">
        <v>41</v>
      </c>
      <c r="K283" s="2" t="s">
        <v>250</v>
      </c>
      <c r="L283" s="2" t="s">
        <v>251</v>
      </c>
      <c r="M283" s="2" t="s">
        <v>48</v>
      </c>
      <c r="N283" s="2" t="s">
        <v>173</v>
      </c>
      <c r="O283" s="2" t="s">
        <v>974</v>
      </c>
      <c r="P283" s="2" t="s">
        <v>51</v>
      </c>
      <c r="Q283" s="2" t="s">
        <v>41</v>
      </c>
      <c r="R283" s="2" t="n">
        <v>6</v>
      </c>
      <c r="S283" s="2" t="n">
        <v>3438.38</v>
      </c>
      <c r="T283" s="2" t="n">
        <v>0.2</v>
      </c>
      <c r="U283" s="2" t="str">
        <f aca="false">IF(ISBLANK(T283),"Yes","No")</f>
        <v>No</v>
      </c>
      <c r="V283" s="2" t="n">
        <f aca="false">IF(ISBLANK(T283),0,IF(ISNUMBER(T283),T283,VALUE(LEFT(T283,LEN(T283)-1))/100))</f>
        <v>0.2</v>
      </c>
      <c r="W283" s="2" t="str">
        <f aca="false">IF(AND(V283&gt;=0,V283&lt;=0.25),"Valid","Invalid")</f>
        <v>Valid</v>
      </c>
      <c r="X283" s="2" t="n">
        <v>16504.22</v>
      </c>
      <c r="Y283" s="2" t="n">
        <f aca="false">R283*S283*(1-V283)</f>
        <v>16504.224</v>
      </c>
      <c r="Z283" s="2" t="str">
        <f aca="false">IF(ABS(X283-Y283)&gt;1,"Mismatch","OK")</f>
        <v>OK</v>
      </c>
      <c r="AA283" s="2" t="n">
        <v>11262.71</v>
      </c>
      <c r="AB283" s="2" t="n">
        <v>5241.51</v>
      </c>
      <c r="AC283" s="2" t="n">
        <f aca="false">Y283-AA283</f>
        <v>5241.514</v>
      </c>
      <c r="AD283" s="2" t="str">
        <f aca="false">IF(ABS(AB283-AC283)&gt;1,"Mismatch","OK")</f>
        <v>OK</v>
      </c>
      <c r="AE283" s="4" t="n">
        <f aca="false">IF(Y283=0,0,AC283/Y283)</f>
        <v>0.317586213080966</v>
      </c>
      <c r="AF283" s="2" t="s">
        <v>52</v>
      </c>
      <c r="AG283" s="2" t="s">
        <v>53</v>
      </c>
      <c r="AH283" s="2" t="str">
        <f aca="false">IF(AND(AG283="Completed",AF283&lt;&gt;"Paid"),"Inconsistent","OK")</f>
        <v>OK</v>
      </c>
      <c r="AI283" s="2" t="n">
        <f aca="false">IF(OR(ISBLANK(B283),ISBLANK(C283)),"",C283-B283)</f>
        <v>2</v>
      </c>
      <c r="AJ283" s="2" t="str">
        <f aca="false">IF(AI283="","Unknown",IF(AI283&lt;0,"Invalid","OK"))</f>
        <v>OK</v>
      </c>
      <c r="AK283" s="2" t="str">
        <f aca="false">IF(ISBLANK(B283),"",TEXT(B283,"mmm"))</f>
        <v>Jul</v>
      </c>
      <c r="AL283" s="2" t="n">
        <f aca="false">IF(ISBLANK(B283),"",YEAR(B283))</f>
        <v>2025</v>
      </c>
      <c r="AM283" s="2" t="s">
        <v>41</v>
      </c>
      <c r="AN283" s="2" t="str">
        <f aca="false">IF(OR(W283="Invalid",AJ283="Invalid",AH283="Inconsistent",Z283="Mismatch",AD283="Mismatch",AM283="Yes",D283="Yes",E283="Yes"),"Invalid",IF(OR(J283="Yes",Q283="Yes",U283="Yes"),"Warning","Clean"))</f>
        <v>Clean</v>
      </c>
    </row>
    <row r="284" customFormat="false" ht="15" hidden="false" customHeight="false" outlineLevel="0" collapsed="false">
      <c r="A284" s="2" t="s">
        <v>975</v>
      </c>
      <c r="B284" s="3" t="n">
        <v>45566</v>
      </c>
      <c r="C284" s="3" t="n">
        <v>45567</v>
      </c>
      <c r="D284" s="2" t="s">
        <v>41</v>
      </c>
      <c r="E284" s="2" t="s">
        <v>41</v>
      </c>
      <c r="F284" s="2" t="s">
        <v>976</v>
      </c>
      <c r="G284" s="2" t="s">
        <v>43</v>
      </c>
      <c r="H284" s="2" t="s">
        <v>115</v>
      </c>
      <c r="I284" s="2" t="s">
        <v>58</v>
      </c>
      <c r="J284" s="2" t="s">
        <v>41</v>
      </c>
      <c r="K284" s="2" t="s">
        <v>186</v>
      </c>
      <c r="L284" s="2" t="s">
        <v>187</v>
      </c>
      <c r="M284" s="2" t="s">
        <v>61</v>
      </c>
      <c r="N284" s="2" t="s">
        <v>62</v>
      </c>
      <c r="O284" s="2" t="s">
        <v>977</v>
      </c>
      <c r="P284" s="2" t="s">
        <v>51</v>
      </c>
      <c r="Q284" s="2" t="s">
        <v>41</v>
      </c>
      <c r="R284" s="2" t="n">
        <v>2</v>
      </c>
      <c r="S284" s="2" t="n">
        <v>2298</v>
      </c>
      <c r="T284" s="2" t="n">
        <v>0</v>
      </c>
      <c r="U284" s="2" t="str">
        <f aca="false">IF(ISBLANK(T284),"Yes","No")</f>
        <v>No</v>
      </c>
      <c r="V284" s="2" t="n">
        <f aca="false">IF(ISBLANK(T284),0,IF(ISNUMBER(T284),T284,VALUE(LEFT(T284,LEN(T284)-1))/100))</f>
        <v>0</v>
      </c>
      <c r="W284" s="2" t="str">
        <f aca="false">IF(AND(V284&gt;=0,V284&lt;=0.25),"Valid","Invalid")</f>
        <v>Valid</v>
      </c>
      <c r="X284" s="2" t="n">
        <v>4596</v>
      </c>
      <c r="Y284" s="2" t="n">
        <f aca="false">R284*S284*(1-V284)</f>
        <v>4596</v>
      </c>
      <c r="Z284" s="2" t="str">
        <f aca="false">IF(ABS(X284-Y284)&gt;1,"Mismatch","OK")</f>
        <v>OK</v>
      </c>
      <c r="AA284" s="2" t="n">
        <v>3220.33</v>
      </c>
      <c r="AB284" s="2" t="n">
        <v>1375.67</v>
      </c>
      <c r="AC284" s="2" t="n">
        <f aca="false">Y284-AA284</f>
        <v>1375.67</v>
      </c>
      <c r="AD284" s="2" t="str">
        <f aca="false">IF(ABS(AB284-AC284)&gt;1,"Mismatch","OK")</f>
        <v>OK</v>
      </c>
      <c r="AE284" s="4" t="n">
        <f aca="false">IF(Y284=0,0,AC284/Y284)</f>
        <v>0.299318973020017</v>
      </c>
      <c r="AF284" s="2" t="s">
        <v>52</v>
      </c>
      <c r="AG284" s="2" t="s">
        <v>53</v>
      </c>
      <c r="AH284" s="2" t="str">
        <f aca="false">IF(AND(AG284="Completed",AF284&lt;&gt;"Paid"),"Inconsistent","OK")</f>
        <v>OK</v>
      </c>
      <c r="AI284" s="2" t="n">
        <f aca="false">IF(OR(ISBLANK(B284),ISBLANK(C284)),"",C284-B284)</f>
        <v>1</v>
      </c>
      <c r="AJ284" s="2" t="str">
        <f aca="false">IF(AI284="","Unknown",IF(AI284&lt;0,"Invalid","OK"))</f>
        <v>OK</v>
      </c>
      <c r="AK284" s="2" t="str">
        <f aca="false">IF(ISBLANK(B284),"",TEXT(B284,"mmm"))</f>
        <v>Oct</v>
      </c>
      <c r="AL284" s="2" t="n">
        <f aca="false">IF(ISBLANK(B284),"",YEAR(B284))</f>
        <v>2024</v>
      </c>
      <c r="AM284" s="2" t="s">
        <v>41</v>
      </c>
      <c r="AN284" s="2" t="str">
        <f aca="false">IF(OR(W284="Invalid",AJ284="Invalid",AH284="Inconsistent",Z284="Mismatch",AD284="Mismatch",AM284="Yes",D284="Yes",E284="Yes"),"Invalid",IF(OR(J284="Yes",Q284="Yes",U284="Yes"),"Warning","Clean"))</f>
        <v>Clean</v>
      </c>
    </row>
    <row r="285" customFormat="false" ht="15" hidden="false" customHeight="false" outlineLevel="0" collapsed="false">
      <c r="A285" s="2" t="s">
        <v>978</v>
      </c>
      <c r="B285" s="3" t="n">
        <v>45729</v>
      </c>
      <c r="C285" s="3" t="n">
        <v>45736</v>
      </c>
      <c r="D285" s="2" t="s">
        <v>41</v>
      </c>
      <c r="E285" s="2" t="s">
        <v>41</v>
      </c>
      <c r="F285" s="2" t="s">
        <v>979</v>
      </c>
      <c r="G285" s="2" t="s">
        <v>91</v>
      </c>
      <c r="H285" s="2" t="s">
        <v>44</v>
      </c>
      <c r="I285" s="2" t="s">
        <v>83</v>
      </c>
      <c r="J285" s="2" t="s">
        <v>41</v>
      </c>
      <c r="K285" s="2" t="s">
        <v>84</v>
      </c>
      <c r="L285" s="2" t="s">
        <v>85</v>
      </c>
      <c r="M285" s="2" t="s">
        <v>61</v>
      </c>
      <c r="N285" s="2" t="s">
        <v>77</v>
      </c>
      <c r="O285" s="2" t="s">
        <v>980</v>
      </c>
      <c r="P285" s="2" t="s">
        <v>70</v>
      </c>
      <c r="Q285" s="2" t="s">
        <v>41</v>
      </c>
      <c r="R285" s="2" t="n">
        <v>1</v>
      </c>
      <c r="S285" s="2" t="n">
        <v>1814.01</v>
      </c>
      <c r="T285" s="2" t="n">
        <v>0</v>
      </c>
      <c r="U285" s="2" t="str">
        <f aca="false">IF(ISBLANK(T285),"Yes","No")</f>
        <v>No</v>
      </c>
      <c r="V285" s="2" t="n">
        <f aca="false">IF(ISBLANK(T285),0,IF(ISNUMBER(T285),T285,VALUE(LEFT(T285,LEN(T285)-1))/100))</f>
        <v>0</v>
      </c>
      <c r="W285" s="2" t="str">
        <f aca="false">IF(AND(V285&gt;=0,V285&lt;=0.25),"Valid","Invalid")</f>
        <v>Valid</v>
      </c>
      <c r="X285" s="2" t="n">
        <v>1814.01</v>
      </c>
      <c r="Y285" s="2" t="n">
        <f aca="false">R285*S285*(1-V285)</f>
        <v>1814.01</v>
      </c>
      <c r="Z285" s="2" t="str">
        <f aca="false">IF(ABS(X285-Y285)&gt;1,"Mismatch","OK")</f>
        <v>OK</v>
      </c>
      <c r="AA285" s="2" t="n">
        <v>1033.47</v>
      </c>
      <c r="AB285" s="2" t="n">
        <v>780.54</v>
      </c>
      <c r="AC285" s="2" t="n">
        <f aca="false">Y285-AA285</f>
        <v>780.54</v>
      </c>
      <c r="AD285" s="2" t="str">
        <f aca="false">IF(ABS(AB285-AC285)&gt;1,"Mismatch","OK")</f>
        <v>OK</v>
      </c>
      <c r="AE285" s="4" t="n">
        <f aca="false">IF(Y285=0,0,AC285/Y285)</f>
        <v>0.430284287297203</v>
      </c>
      <c r="AF285" s="2" t="s">
        <v>52</v>
      </c>
      <c r="AG285" s="2" t="s">
        <v>53</v>
      </c>
      <c r="AH285" s="2" t="str">
        <f aca="false">IF(AND(AG285="Completed",AF285&lt;&gt;"Paid"),"Inconsistent","OK")</f>
        <v>OK</v>
      </c>
      <c r="AI285" s="2" t="n">
        <f aca="false">IF(OR(ISBLANK(B285),ISBLANK(C285)),"",C285-B285)</f>
        <v>7</v>
      </c>
      <c r="AJ285" s="2" t="str">
        <f aca="false">IF(AI285="","Unknown",IF(AI285&lt;0,"Invalid","OK"))</f>
        <v>OK</v>
      </c>
      <c r="AK285" s="2" t="str">
        <f aca="false">IF(ISBLANK(B285),"",TEXT(B285,"mmm"))</f>
        <v>Mar</v>
      </c>
      <c r="AL285" s="2" t="n">
        <f aca="false">IF(ISBLANK(B285),"",YEAR(B285))</f>
        <v>2025</v>
      </c>
      <c r="AM285" s="2" t="s">
        <v>41</v>
      </c>
      <c r="AN285" s="2" t="str">
        <f aca="false">IF(OR(W285="Invalid",AJ285="Invalid",AH285="Inconsistent",Z285="Mismatch",AD285="Mismatch",AM285="Yes",D285="Yes",E285="Yes"),"Invalid",IF(OR(J285="Yes",Q285="Yes",U285="Yes"),"Warning","Clean"))</f>
        <v>Clean</v>
      </c>
    </row>
    <row r="286" customFormat="false" ht="15" hidden="false" customHeight="false" outlineLevel="0" collapsed="false">
      <c r="A286" s="2" t="s">
        <v>981</v>
      </c>
      <c r="B286" s="3" t="n">
        <v>45634</v>
      </c>
      <c r="C286" s="3" t="n">
        <v>45640</v>
      </c>
      <c r="D286" s="2" t="s">
        <v>41</v>
      </c>
      <c r="E286" s="2" t="s">
        <v>41</v>
      </c>
      <c r="F286" s="2" t="s">
        <v>982</v>
      </c>
      <c r="G286" s="2" t="s">
        <v>43</v>
      </c>
      <c r="H286" s="2" t="s">
        <v>44</v>
      </c>
      <c r="I286" s="2" t="s">
        <v>58</v>
      </c>
      <c r="J286" s="2" t="s">
        <v>41</v>
      </c>
      <c r="K286" s="2" t="s">
        <v>59</v>
      </c>
      <c r="L286" s="2" t="s">
        <v>60</v>
      </c>
      <c r="M286" s="2" t="s">
        <v>61</v>
      </c>
      <c r="N286" s="2" t="s">
        <v>62</v>
      </c>
      <c r="O286" s="2" t="s">
        <v>983</v>
      </c>
      <c r="P286" s="2" t="s">
        <v>64</v>
      </c>
      <c r="Q286" s="2" t="s">
        <v>41</v>
      </c>
      <c r="R286" s="2" t="n">
        <v>3</v>
      </c>
      <c r="S286" s="2" t="n">
        <v>1576.92</v>
      </c>
      <c r="T286" s="2" t="n">
        <v>0</v>
      </c>
      <c r="U286" s="2" t="str">
        <f aca="false">IF(ISBLANK(T286),"Yes","No")</f>
        <v>No</v>
      </c>
      <c r="V286" s="2" t="n">
        <f aca="false">IF(ISBLANK(T286),0,IF(ISNUMBER(T286),T286,VALUE(LEFT(T286,LEN(T286)-1))/100))</f>
        <v>0</v>
      </c>
      <c r="W286" s="2" t="str">
        <f aca="false">IF(AND(V286&gt;=0,V286&lt;=0.25),"Valid","Invalid")</f>
        <v>Valid</v>
      </c>
      <c r="X286" s="2" t="n">
        <v>4730.76</v>
      </c>
      <c r="Y286" s="2" t="n">
        <f aca="false">R286*S286*(1-V286)</f>
        <v>4730.76</v>
      </c>
      <c r="Z286" s="2" t="str">
        <f aca="false">IF(ABS(X286-Y286)&gt;1,"Mismatch","OK")</f>
        <v>OK</v>
      </c>
      <c r="AA286" s="2" t="n">
        <v>3139.73</v>
      </c>
      <c r="AB286" s="2" t="n">
        <v>1591.03</v>
      </c>
      <c r="AC286" s="2" t="n">
        <f aca="false">Y286-AA286</f>
        <v>1591.03</v>
      </c>
      <c r="AD286" s="2" t="str">
        <f aca="false">IF(ABS(AB286-AC286)&gt;1,"Mismatch","OK")</f>
        <v>OK</v>
      </c>
      <c r="AE286" s="4" t="n">
        <f aca="false">IF(Y286=0,0,AC286/Y286)</f>
        <v>0.336315940779071</v>
      </c>
      <c r="AF286" s="2" t="s">
        <v>52</v>
      </c>
      <c r="AG286" s="2" t="s">
        <v>123</v>
      </c>
      <c r="AH286" s="2" t="str">
        <f aca="false">IF(AND(AG286="Completed",AF286&lt;&gt;"Paid"),"Inconsistent","OK")</f>
        <v>OK</v>
      </c>
      <c r="AI286" s="2" t="n">
        <f aca="false">IF(OR(ISBLANK(B286),ISBLANK(C286)),"",C286-B286)</f>
        <v>6</v>
      </c>
      <c r="AJ286" s="2" t="str">
        <f aca="false">IF(AI286="","Unknown",IF(AI286&lt;0,"Invalid","OK"))</f>
        <v>OK</v>
      </c>
      <c r="AK286" s="2" t="str">
        <f aca="false">IF(ISBLANK(B286),"",TEXT(B286,"mmm"))</f>
        <v>Dec</v>
      </c>
      <c r="AL286" s="2" t="n">
        <f aca="false">IF(ISBLANK(B286),"",YEAR(B286))</f>
        <v>2024</v>
      </c>
      <c r="AM286" s="2" t="s">
        <v>41</v>
      </c>
      <c r="AN286" s="2" t="str">
        <f aca="false">IF(OR(W286="Invalid",AJ286="Invalid",AH286="Inconsistent",Z286="Mismatch",AD286="Mismatch",AM286="Yes",D286="Yes",E286="Yes"),"Invalid",IF(OR(J286="Yes",Q286="Yes",U286="Yes"),"Warning","Clean"))</f>
        <v>Clean</v>
      </c>
    </row>
    <row r="287" customFormat="false" ht="15" hidden="false" customHeight="false" outlineLevel="0" collapsed="false">
      <c r="A287" s="2" t="s">
        <v>984</v>
      </c>
      <c r="B287" s="3" t="n">
        <v>45884</v>
      </c>
      <c r="C287" s="3" t="n">
        <v>45889</v>
      </c>
      <c r="D287" s="2" t="s">
        <v>41</v>
      </c>
      <c r="E287" s="2" t="s">
        <v>41</v>
      </c>
      <c r="F287" s="2" t="s">
        <v>985</v>
      </c>
      <c r="G287" s="2" t="s">
        <v>99</v>
      </c>
      <c r="H287" s="2" t="s">
        <v>115</v>
      </c>
      <c r="I287" s="2" t="s">
        <v>45</v>
      </c>
      <c r="J287" s="2" t="s">
        <v>41</v>
      </c>
      <c r="K287" s="2" t="s">
        <v>46</v>
      </c>
      <c r="L287" s="2" t="s">
        <v>47</v>
      </c>
      <c r="M287" s="2" t="s">
        <v>48</v>
      </c>
      <c r="N287" s="2" t="s">
        <v>144</v>
      </c>
      <c r="O287" s="2" t="s">
        <v>986</v>
      </c>
      <c r="P287" s="2" t="s">
        <v>79</v>
      </c>
      <c r="Q287" s="2" t="s">
        <v>41</v>
      </c>
      <c r="R287" s="2" t="n">
        <v>9</v>
      </c>
      <c r="S287" s="2" t="n">
        <v>4081.77</v>
      </c>
      <c r="T287" s="2" t="n">
        <v>0</v>
      </c>
      <c r="U287" s="2" t="str">
        <f aca="false">IF(ISBLANK(T287),"Yes","No")</f>
        <v>No</v>
      </c>
      <c r="V287" s="2" t="n">
        <f aca="false">IF(ISBLANK(T287),0,IF(ISNUMBER(T287),T287,VALUE(LEFT(T287,LEN(T287)-1))/100))</f>
        <v>0</v>
      </c>
      <c r="W287" s="2" t="str">
        <f aca="false">IF(AND(V287&gt;=0,V287&lt;=0.25),"Valid","Invalid")</f>
        <v>Valid</v>
      </c>
      <c r="X287" s="2" t="n">
        <v>36735.93</v>
      </c>
      <c r="Y287" s="2" t="n">
        <f aca="false">R287*S287*(1-V287)</f>
        <v>36735.93</v>
      </c>
      <c r="Z287" s="2" t="str">
        <f aca="false">IF(ABS(X287-Y287)&gt;1,"Mismatch","OK")</f>
        <v>OK</v>
      </c>
      <c r="AA287" s="2" t="n">
        <v>30820.84</v>
      </c>
      <c r="AB287" s="2" t="n">
        <v>5915.09</v>
      </c>
      <c r="AC287" s="2" t="n">
        <f aca="false">Y287-AA287</f>
        <v>5915.09</v>
      </c>
      <c r="AD287" s="2" t="str">
        <f aca="false">IF(ABS(AB287-AC287)&gt;1,"Mismatch","OK")</f>
        <v>OK</v>
      </c>
      <c r="AE287" s="4" t="n">
        <f aca="false">IF(Y287=0,0,AC287/Y287)</f>
        <v>0.161016476240019</v>
      </c>
      <c r="AF287" s="2" t="s">
        <v>52</v>
      </c>
      <c r="AG287" s="2" t="s">
        <v>53</v>
      </c>
      <c r="AH287" s="2" t="str">
        <f aca="false">IF(AND(AG287="Completed",AF287&lt;&gt;"Paid"),"Inconsistent","OK")</f>
        <v>OK</v>
      </c>
      <c r="AI287" s="2" t="n">
        <f aca="false">IF(OR(ISBLANK(B287),ISBLANK(C287)),"",C287-B287)</f>
        <v>5</v>
      </c>
      <c r="AJ287" s="2" t="str">
        <f aca="false">IF(AI287="","Unknown",IF(AI287&lt;0,"Invalid","OK"))</f>
        <v>OK</v>
      </c>
      <c r="AK287" s="2" t="str">
        <f aca="false">IF(ISBLANK(B287),"",TEXT(B287,"mmm"))</f>
        <v>Aug</v>
      </c>
      <c r="AL287" s="2" t="n">
        <f aca="false">IF(ISBLANK(B287),"",YEAR(B287))</f>
        <v>2025</v>
      </c>
      <c r="AM287" s="2" t="s">
        <v>41</v>
      </c>
      <c r="AN287" s="2" t="str">
        <f aca="false">IF(OR(W287="Invalid",AJ287="Invalid",AH287="Inconsistent",Z287="Mismatch",AD287="Mismatch",AM287="Yes",D287="Yes",E287="Yes"),"Invalid",IF(OR(J287="Yes",Q287="Yes",U287="Yes"),"Warning","Clean"))</f>
        <v>Clean</v>
      </c>
    </row>
    <row r="288" customFormat="false" ht="15" hidden="false" customHeight="false" outlineLevel="0" collapsed="false">
      <c r="A288" s="2" t="s">
        <v>987</v>
      </c>
      <c r="B288" s="3" t="n">
        <v>45350</v>
      </c>
      <c r="C288" s="3" t="n">
        <v>45353</v>
      </c>
      <c r="D288" s="2" t="s">
        <v>41</v>
      </c>
      <c r="E288" s="2" t="s">
        <v>41</v>
      </c>
      <c r="F288" s="2" t="s">
        <v>988</v>
      </c>
      <c r="G288" s="2" t="s">
        <v>134</v>
      </c>
      <c r="H288" s="2" t="s">
        <v>57</v>
      </c>
      <c r="I288" s="2" t="s">
        <v>45</v>
      </c>
      <c r="J288" s="2" t="s">
        <v>41</v>
      </c>
      <c r="K288" s="2" t="s">
        <v>372</v>
      </c>
      <c r="L288" s="2" t="s">
        <v>373</v>
      </c>
      <c r="M288" s="2" t="s">
        <v>61</v>
      </c>
      <c r="N288" s="2" t="s">
        <v>77</v>
      </c>
      <c r="O288" s="2" t="s">
        <v>989</v>
      </c>
      <c r="P288" s="2" t="s">
        <v>70</v>
      </c>
      <c r="Q288" s="2" t="s">
        <v>41</v>
      </c>
      <c r="R288" s="2" t="n">
        <v>7</v>
      </c>
      <c r="S288" s="2" t="n">
        <v>701.8</v>
      </c>
      <c r="T288" s="2" t="n">
        <v>0.1</v>
      </c>
      <c r="U288" s="2" t="str">
        <f aca="false">IF(ISBLANK(T288),"Yes","No")</f>
        <v>No</v>
      </c>
      <c r="V288" s="2" t="n">
        <f aca="false">IF(ISBLANK(T288),0,IF(ISNUMBER(T288),T288,VALUE(LEFT(T288,LEN(T288)-1))/100))</f>
        <v>0.1</v>
      </c>
      <c r="W288" s="2" t="str">
        <f aca="false">IF(AND(V288&gt;=0,V288&lt;=0.25),"Valid","Invalid")</f>
        <v>Valid</v>
      </c>
      <c r="X288" s="2" t="n">
        <v>4421.34</v>
      </c>
      <c r="Y288" s="2" t="n">
        <f aca="false">R288*S288*(1-V288)</f>
        <v>4421.34</v>
      </c>
      <c r="Z288" s="2" t="str">
        <f aca="false">IF(ABS(X288-Y288)&gt;1,"Mismatch","OK")</f>
        <v>OK</v>
      </c>
      <c r="AA288" s="2" t="n">
        <v>2489.98</v>
      </c>
      <c r="AB288" s="2" t="n">
        <v>1931.36</v>
      </c>
      <c r="AC288" s="2" t="n">
        <f aca="false">Y288-AA288</f>
        <v>1931.36</v>
      </c>
      <c r="AD288" s="2" t="str">
        <f aca="false">IF(ABS(AB288-AC288)&gt;1,"Mismatch","OK")</f>
        <v>OK</v>
      </c>
      <c r="AE288" s="4" t="n">
        <f aca="false">IF(Y288=0,0,AC288/Y288)</f>
        <v>0.436826844350355</v>
      </c>
      <c r="AF288" s="2" t="s">
        <v>131</v>
      </c>
      <c r="AG288" s="2" t="s">
        <v>123</v>
      </c>
      <c r="AH288" s="2" t="str">
        <f aca="false">IF(AND(AG288="Completed",AF288&lt;&gt;"Paid"),"Inconsistent","OK")</f>
        <v>OK</v>
      </c>
      <c r="AI288" s="2" t="n">
        <f aca="false">IF(OR(ISBLANK(B288),ISBLANK(C288)),"",C288-B288)</f>
        <v>3</v>
      </c>
      <c r="AJ288" s="2" t="str">
        <f aca="false">IF(AI288="","Unknown",IF(AI288&lt;0,"Invalid","OK"))</f>
        <v>OK</v>
      </c>
      <c r="AK288" s="2" t="str">
        <f aca="false">IF(ISBLANK(B288),"",TEXT(B288,"mmm"))</f>
        <v>Feb</v>
      </c>
      <c r="AL288" s="2" t="n">
        <f aca="false">IF(ISBLANK(B288),"",YEAR(B288))</f>
        <v>2024</v>
      </c>
      <c r="AM288" s="2" t="s">
        <v>41</v>
      </c>
      <c r="AN288" s="2" t="str">
        <f aca="false">IF(OR(W288="Invalid",AJ288="Invalid",AH288="Inconsistent",Z288="Mismatch",AD288="Mismatch",AM288="Yes",D288="Yes",E288="Yes"),"Invalid",IF(OR(J288="Yes",Q288="Yes",U288="Yes"),"Warning","Clean"))</f>
        <v>Clean</v>
      </c>
    </row>
    <row r="289" customFormat="false" ht="15" hidden="false" customHeight="false" outlineLevel="0" collapsed="false">
      <c r="A289" s="2" t="s">
        <v>990</v>
      </c>
      <c r="B289" s="3" t="n">
        <v>45540</v>
      </c>
      <c r="C289" s="3" t="n">
        <v>45542</v>
      </c>
      <c r="D289" s="2" t="s">
        <v>41</v>
      </c>
      <c r="E289" s="2" t="s">
        <v>41</v>
      </c>
      <c r="F289" s="2" t="s">
        <v>991</v>
      </c>
      <c r="G289" s="2" t="s">
        <v>99</v>
      </c>
      <c r="H289" s="2" t="s">
        <v>57</v>
      </c>
      <c r="I289" s="2" t="s">
        <v>74</v>
      </c>
      <c r="J289" s="2" t="s">
        <v>41</v>
      </c>
      <c r="K289" s="2" t="s">
        <v>269</v>
      </c>
      <c r="L289" s="2" t="s">
        <v>270</v>
      </c>
      <c r="M289" s="2" t="s">
        <v>94</v>
      </c>
      <c r="N289" s="2" t="s">
        <v>100</v>
      </c>
      <c r="O289" s="2" t="s">
        <v>992</v>
      </c>
      <c r="P289" s="2" t="s">
        <v>79</v>
      </c>
      <c r="Q289" s="2" t="s">
        <v>41</v>
      </c>
      <c r="R289" s="2" t="n">
        <v>3</v>
      </c>
      <c r="S289" s="2" t="n">
        <v>2555.66</v>
      </c>
      <c r="T289" s="2" t="n">
        <v>0.15</v>
      </c>
      <c r="U289" s="2" t="str">
        <f aca="false">IF(ISBLANK(T289),"Yes","No")</f>
        <v>No</v>
      </c>
      <c r="V289" s="2" t="n">
        <f aca="false">IF(ISBLANK(T289),0,IF(ISNUMBER(T289),T289,VALUE(LEFT(T289,LEN(T289)-1))/100))</f>
        <v>0.15</v>
      </c>
      <c r="W289" s="2" t="str">
        <f aca="false">IF(AND(V289&gt;=0,V289&lt;=0.25),"Valid","Invalid")</f>
        <v>Valid</v>
      </c>
      <c r="X289" s="2" t="n">
        <v>6516.93</v>
      </c>
      <c r="Y289" s="2" t="n">
        <f aca="false">R289*S289*(1-V289)</f>
        <v>6516.933</v>
      </c>
      <c r="Z289" s="2" t="str">
        <f aca="false">IF(ABS(X289-Y289)&gt;1,"Mismatch","OK")</f>
        <v>OK</v>
      </c>
      <c r="AA289" s="2" t="n">
        <v>4511.54</v>
      </c>
      <c r="AB289" s="2" t="n">
        <v>2005.39</v>
      </c>
      <c r="AC289" s="2" t="n">
        <f aca="false">Y289-AA289</f>
        <v>2005.393</v>
      </c>
      <c r="AD289" s="2" t="str">
        <f aca="false">IF(ABS(AB289-AC289)&gt;1,"Mismatch","OK")</f>
        <v>OK</v>
      </c>
      <c r="AE289" s="4" t="n">
        <f aca="false">IF(Y289=0,0,AC289/Y289)</f>
        <v>0.307720364778953</v>
      </c>
      <c r="AF289" s="2" t="s">
        <v>52</v>
      </c>
      <c r="AG289" s="2" t="s">
        <v>88</v>
      </c>
      <c r="AH289" s="2" t="str">
        <f aca="false">IF(AND(AG289="Completed",AF289&lt;&gt;"Paid"),"Inconsistent","OK")</f>
        <v>OK</v>
      </c>
      <c r="AI289" s="2" t="n">
        <f aca="false">IF(OR(ISBLANK(B289),ISBLANK(C289)),"",C289-B289)</f>
        <v>2</v>
      </c>
      <c r="AJ289" s="2" t="str">
        <f aca="false">IF(AI289="","Unknown",IF(AI289&lt;0,"Invalid","OK"))</f>
        <v>OK</v>
      </c>
      <c r="AK289" s="2" t="str">
        <f aca="false">IF(ISBLANK(B289),"",TEXT(B289,"mmm"))</f>
        <v>Sep</v>
      </c>
      <c r="AL289" s="2" t="n">
        <f aca="false">IF(ISBLANK(B289),"",YEAR(B289))</f>
        <v>2024</v>
      </c>
      <c r="AM289" s="2" t="s">
        <v>41</v>
      </c>
      <c r="AN289" s="2" t="str">
        <f aca="false">IF(OR(W289="Invalid",AJ289="Invalid",AH289="Inconsistent",Z289="Mismatch",AD289="Mismatch",AM289="Yes",D289="Yes",E289="Yes"),"Invalid",IF(OR(J289="Yes",Q289="Yes",U289="Yes"),"Warning","Clean"))</f>
        <v>Clean</v>
      </c>
    </row>
    <row r="290" customFormat="false" ht="15" hidden="false" customHeight="false" outlineLevel="0" collapsed="false">
      <c r="A290" s="2" t="s">
        <v>993</v>
      </c>
      <c r="B290" s="3" t="n">
        <v>45467</v>
      </c>
      <c r="C290" s="3" t="n">
        <v>45467</v>
      </c>
      <c r="D290" s="2" t="s">
        <v>41</v>
      </c>
      <c r="E290" s="2" t="s">
        <v>41</v>
      </c>
      <c r="F290" s="2" t="s">
        <v>994</v>
      </c>
      <c r="G290" s="2" t="s">
        <v>161</v>
      </c>
      <c r="H290" s="2" t="s">
        <v>57</v>
      </c>
      <c r="I290" s="2" t="s">
        <v>58</v>
      </c>
      <c r="J290" s="2" t="s">
        <v>41</v>
      </c>
      <c r="K290" s="2" t="s">
        <v>165</v>
      </c>
      <c r="L290" s="2" t="s">
        <v>166</v>
      </c>
      <c r="M290" s="2" t="s">
        <v>48</v>
      </c>
      <c r="N290" s="2" t="s">
        <v>173</v>
      </c>
      <c r="O290" s="2" t="s">
        <v>995</v>
      </c>
      <c r="P290" s="2" t="s">
        <v>64</v>
      </c>
      <c r="Q290" s="2" t="s">
        <v>41</v>
      </c>
      <c r="R290" s="2" t="n">
        <v>2</v>
      </c>
      <c r="S290" s="2" t="n">
        <v>4359.9</v>
      </c>
      <c r="T290" s="2" t="n">
        <v>0.15</v>
      </c>
      <c r="U290" s="2" t="str">
        <f aca="false">IF(ISBLANK(T290),"Yes","No")</f>
        <v>No</v>
      </c>
      <c r="V290" s="2" t="n">
        <f aca="false">IF(ISBLANK(T290),0,IF(ISNUMBER(T290),T290,VALUE(LEFT(T290,LEN(T290)-1))/100))</f>
        <v>0.15</v>
      </c>
      <c r="W290" s="2" t="str">
        <f aca="false">IF(AND(V290&gt;=0,V290&lt;=0.25),"Valid","Invalid")</f>
        <v>Valid</v>
      </c>
      <c r="X290" s="2" t="n">
        <v>7411.83</v>
      </c>
      <c r="Y290" s="2" t="n">
        <f aca="false">R290*S290*(1-V290)</f>
        <v>7411.83</v>
      </c>
      <c r="Z290" s="2" t="str">
        <f aca="false">IF(ABS(X290-Y290)&gt;1,"Mismatch","OK")</f>
        <v>OK</v>
      </c>
      <c r="AA290" s="2" t="n">
        <v>4904.63</v>
      </c>
      <c r="AB290" s="2" t="n">
        <v>2507.2</v>
      </c>
      <c r="AC290" s="2" t="n">
        <f aca="false">Y290-AA290</f>
        <v>2507.2</v>
      </c>
      <c r="AD290" s="2" t="str">
        <f aca="false">IF(ABS(AB290-AC290)&gt;1,"Mismatch","OK")</f>
        <v>OK</v>
      </c>
      <c r="AE290" s="4" t="n">
        <f aca="false">IF(Y290=0,0,AC290/Y290)</f>
        <v>0.338270035875081</v>
      </c>
      <c r="AF290" s="2" t="s">
        <v>52</v>
      </c>
      <c r="AG290" s="2" t="s">
        <v>53</v>
      </c>
      <c r="AH290" s="2" t="str">
        <f aca="false">IF(AND(AG290="Completed",AF290&lt;&gt;"Paid"),"Inconsistent","OK")</f>
        <v>OK</v>
      </c>
      <c r="AI290" s="2" t="n">
        <f aca="false">IF(OR(ISBLANK(B290),ISBLANK(C290)),"",C290-B290)</f>
        <v>0</v>
      </c>
      <c r="AJ290" s="2" t="str">
        <f aca="false">IF(AI290="","Unknown",IF(AI290&lt;0,"Invalid","OK"))</f>
        <v>OK</v>
      </c>
      <c r="AK290" s="2" t="str">
        <f aca="false">IF(ISBLANK(B290),"",TEXT(B290,"mmm"))</f>
        <v>Jun</v>
      </c>
      <c r="AL290" s="2" t="n">
        <f aca="false">IF(ISBLANK(B290),"",YEAR(B290))</f>
        <v>2024</v>
      </c>
      <c r="AM290" s="2" t="s">
        <v>41</v>
      </c>
      <c r="AN290" s="2" t="str">
        <f aca="false">IF(OR(W290="Invalid",AJ290="Invalid",AH290="Inconsistent",Z290="Mismatch",AD290="Mismatch",AM290="Yes",D290="Yes",E290="Yes"),"Invalid",IF(OR(J290="Yes",Q290="Yes",U290="Yes"),"Warning","Clean"))</f>
        <v>Clean</v>
      </c>
    </row>
    <row r="291" customFormat="false" ht="15" hidden="false" customHeight="false" outlineLevel="0" collapsed="false">
      <c r="A291" s="2" t="s">
        <v>996</v>
      </c>
      <c r="B291" s="3" t="n">
        <v>45827</v>
      </c>
      <c r="C291" s="3" t="n">
        <v>45835</v>
      </c>
      <c r="D291" s="2" t="s">
        <v>41</v>
      </c>
      <c r="E291" s="2" t="s">
        <v>41</v>
      </c>
      <c r="F291" s="2" t="s">
        <v>997</v>
      </c>
      <c r="G291" s="2" t="s">
        <v>43</v>
      </c>
      <c r="H291" s="2" t="s">
        <v>115</v>
      </c>
      <c r="I291" s="2" t="s">
        <v>74</v>
      </c>
      <c r="J291" s="2" t="s">
        <v>41</v>
      </c>
      <c r="K291" s="2" t="s">
        <v>269</v>
      </c>
      <c r="L291" s="2" t="s">
        <v>270</v>
      </c>
      <c r="M291" s="2" t="s">
        <v>61</v>
      </c>
      <c r="N291" s="2" t="s">
        <v>178</v>
      </c>
      <c r="O291" s="2" t="s">
        <v>998</v>
      </c>
      <c r="P291" s="2" t="s">
        <v>70</v>
      </c>
      <c r="Q291" s="2" t="s">
        <v>41</v>
      </c>
      <c r="R291" s="2" t="n">
        <v>2</v>
      </c>
      <c r="S291" s="2" t="n">
        <v>4346.69</v>
      </c>
      <c r="T291" s="2" t="n">
        <v>0.05</v>
      </c>
      <c r="U291" s="2" t="str">
        <f aca="false">IF(ISBLANK(T291),"Yes","No")</f>
        <v>No</v>
      </c>
      <c r="V291" s="2" t="n">
        <f aca="false">IF(ISBLANK(T291),0,IF(ISNUMBER(T291),T291,VALUE(LEFT(T291,LEN(T291)-1))/100))</f>
        <v>0.05</v>
      </c>
      <c r="W291" s="2" t="str">
        <f aca="false">IF(AND(V291&gt;=0,V291&lt;=0.25),"Valid","Invalid")</f>
        <v>Valid</v>
      </c>
      <c r="X291" s="2" t="n">
        <v>8258.71</v>
      </c>
      <c r="Y291" s="2" t="n">
        <f aca="false">R291*S291*(1-V291)</f>
        <v>8258.711</v>
      </c>
      <c r="Z291" s="2" t="str">
        <f aca="false">IF(ABS(X291-Y291)&gt;1,"Mismatch","OK")</f>
        <v>OK</v>
      </c>
      <c r="AA291" s="2" t="n">
        <v>7018.97</v>
      </c>
      <c r="AB291" s="2" t="n">
        <v>1239.74</v>
      </c>
      <c r="AC291" s="2" t="n">
        <f aca="false">Y291-AA291</f>
        <v>1239.741</v>
      </c>
      <c r="AD291" s="2" t="str">
        <f aca="false">IF(ABS(AB291-AC291)&gt;1,"Mismatch","OK")</f>
        <v>OK</v>
      </c>
      <c r="AE291" s="4" t="n">
        <f aca="false">IF(Y291=0,0,AC291/Y291)</f>
        <v>0.150113135088514</v>
      </c>
      <c r="AF291" s="2" t="s">
        <v>52</v>
      </c>
      <c r="AG291" s="2" t="s">
        <v>53</v>
      </c>
      <c r="AH291" s="2" t="str">
        <f aca="false">IF(AND(AG291="Completed",AF291&lt;&gt;"Paid"),"Inconsistent","OK")</f>
        <v>OK</v>
      </c>
      <c r="AI291" s="2" t="n">
        <f aca="false">IF(OR(ISBLANK(B291),ISBLANK(C291)),"",C291-B291)</f>
        <v>8</v>
      </c>
      <c r="AJ291" s="2" t="str">
        <f aca="false">IF(AI291="","Unknown",IF(AI291&lt;0,"Invalid","OK"))</f>
        <v>OK</v>
      </c>
      <c r="AK291" s="2" t="str">
        <f aca="false">IF(ISBLANK(B291),"",TEXT(B291,"mmm"))</f>
        <v>Jun</v>
      </c>
      <c r="AL291" s="2" t="n">
        <f aca="false">IF(ISBLANK(B291),"",YEAR(B291))</f>
        <v>2025</v>
      </c>
      <c r="AM291" s="2" t="s">
        <v>41</v>
      </c>
      <c r="AN291" s="2" t="str">
        <f aca="false">IF(OR(W291="Invalid",AJ291="Invalid",AH291="Inconsistent",Z291="Mismatch",AD291="Mismatch",AM291="Yes",D291="Yes",E291="Yes"),"Invalid",IF(OR(J291="Yes",Q291="Yes",U291="Yes"),"Warning","Clean"))</f>
        <v>Clean</v>
      </c>
    </row>
    <row r="292" customFormat="false" ht="15" hidden="false" customHeight="false" outlineLevel="0" collapsed="false">
      <c r="A292" s="2" t="s">
        <v>999</v>
      </c>
      <c r="B292" s="3" t="n">
        <v>45891</v>
      </c>
      <c r="C292" s="3" t="n">
        <v>45895</v>
      </c>
      <c r="D292" s="2" t="s">
        <v>41</v>
      </c>
      <c r="E292" s="2" t="s">
        <v>41</v>
      </c>
      <c r="F292" s="2" t="s">
        <v>1000</v>
      </c>
      <c r="G292" s="2" t="s">
        <v>182</v>
      </c>
      <c r="H292" s="2" t="s">
        <v>115</v>
      </c>
      <c r="I292" s="2" t="s">
        <v>58</v>
      </c>
      <c r="J292" s="2" t="s">
        <v>41</v>
      </c>
      <c r="K292" s="2" t="s">
        <v>250</v>
      </c>
      <c r="L292" s="2" t="s">
        <v>251</v>
      </c>
      <c r="M292" s="2" t="s">
        <v>61</v>
      </c>
      <c r="N292" s="2" t="s">
        <v>62</v>
      </c>
      <c r="O292" s="2" t="s">
        <v>1001</v>
      </c>
      <c r="P292" s="2" t="s">
        <v>79</v>
      </c>
      <c r="Q292" s="2" t="s">
        <v>41</v>
      </c>
      <c r="R292" s="2" t="n">
        <v>1</v>
      </c>
      <c r="S292" s="2" t="n">
        <v>1842.63</v>
      </c>
      <c r="T292" s="2" t="n">
        <v>0.1</v>
      </c>
      <c r="U292" s="2" t="str">
        <f aca="false">IF(ISBLANK(T292),"Yes","No")</f>
        <v>No</v>
      </c>
      <c r="V292" s="2" t="n">
        <f aca="false">IF(ISBLANK(T292),0,IF(ISNUMBER(T292),T292,VALUE(LEFT(T292,LEN(T292)-1))/100))</f>
        <v>0.1</v>
      </c>
      <c r="W292" s="2" t="str">
        <f aca="false">IF(AND(V292&gt;=0,V292&lt;=0.25),"Valid","Invalid")</f>
        <v>Valid</v>
      </c>
      <c r="X292" s="2" t="n">
        <v>1658.37</v>
      </c>
      <c r="Y292" s="2" t="n">
        <f aca="false">R292*S292*(1-V292)</f>
        <v>1658.367</v>
      </c>
      <c r="Z292" s="2" t="str">
        <f aca="false">IF(ABS(X292-Y292)&gt;1,"Mismatch","OK")</f>
        <v>OK</v>
      </c>
      <c r="AA292" s="2" t="n">
        <v>971.12</v>
      </c>
      <c r="AB292" s="2" t="n">
        <v>687.25</v>
      </c>
      <c r="AC292" s="2" t="n">
        <f aca="false">Y292-AA292</f>
        <v>687.247</v>
      </c>
      <c r="AD292" s="2" t="str">
        <f aca="false">IF(ABS(AB292-AC292)&gt;1,"Mismatch","OK")</f>
        <v>OK</v>
      </c>
      <c r="AE292" s="4" t="n">
        <f aca="false">IF(Y292=0,0,AC292/Y292)</f>
        <v>0.414411888321463</v>
      </c>
      <c r="AF292" s="2" t="s">
        <v>52</v>
      </c>
      <c r="AG292" s="2" t="s">
        <v>53</v>
      </c>
      <c r="AH292" s="2" t="str">
        <f aca="false">IF(AND(AG292="Completed",AF292&lt;&gt;"Paid"),"Inconsistent","OK")</f>
        <v>OK</v>
      </c>
      <c r="AI292" s="2" t="n">
        <f aca="false">IF(OR(ISBLANK(B292),ISBLANK(C292)),"",C292-B292)</f>
        <v>4</v>
      </c>
      <c r="AJ292" s="2" t="str">
        <f aca="false">IF(AI292="","Unknown",IF(AI292&lt;0,"Invalid","OK"))</f>
        <v>OK</v>
      </c>
      <c r="AK292" s="2" t="str">
        <f aca="false">IF(ISBLANK(B292),"",TEXT(B292,"mmm"))</f>
        <v>Aug</v>
      </c>
      <c r="AL292" s="2" t="n">
        <f aca="false">IF(ISBLANK(B292),"",YEAR(B292))</f>
        <v>2025</v>
      </c>
      <c r="AM292" s="2" t="s">
        <v>41</v>
      </c>
      <c r="AN292" s="2" t="str">
        <f aca="false">IF(OR(W292="Invalid",AJ292="Invalid",AH292="Inconsistent",Z292="Mismatch",AD292="Mismatch",AM292="Yes",D292="Yes",E292="Yes"),"Invalid",IF(OR(J292="Yes",Q292="Yes",U292="Yes"),"Warning","Clean"))</f>
        <v>Clean</v>
      </c>
    </row>
    <row r="293" customFormat="false" ht="15" hidden="false" customHeight="false" outlineLevel="0" collapsed="false">
      <c r="A293" s="2" t="s">
        <v>1002</v>
      </c>
      <c r="B293" s="3" t="n">
        <v>45387</v>
      </c>
      <c r="C293" s="3" t="n">
        <v>45392</v>
      </c>
      <c r="D293" s="2" t="s">
        <v>41</v>
      </c>
      <c r="E293" s="2" t="s">
        <v>41</v>
      </c>
      <c r="F293" s="2" t="s">
        <v>1003</v>
      </c>
      <c r="G293" s="2" t="s">
        <v>134</v>
      </c>
      <c r="H293" s="2" t="s">
        <v>115</v>
      </c>
      <c r="I293" s="2" t="s">
        <v>45</v>
      </c>
      <c r="J293" s="2" t="s">
        <v>41</v>
      </c>
      <c r="K293" s="2" t="s">
        <v>46</v>
      </c>
      <c r="L293" s="2" t="s">
        <v>47</v>
      </c>
      <c r="M293" s="2" t="s">
        <v>48</v>
      </c>
      <c r="N293" s="2" t="s">
        <v>173</v>
      </c>
      <c r="O293" s="2" t="s">
        <v>1004</v>
      </c>
      <c r="P293" s="2" t="s">
        <v>79</v>
      </c>
      <c r="Q293" s="2" t="s">
        <v>41</v>
      </c>
      <c r="R293" s="2" t="n">
        <v>4</v>
      </c>
      <c r="S293" s="2" t="n">
        <v>3228.66</v>
      </c>
      <c r="T293" s="2" t="n">
        <v>0.25</v>
      </c>
      <c r="U293" s="2" t="str">
        <f aca="false">IF(ISBLANK(T293),"Yes","No")</f>
        <v>No</v>
      </c>
      <c r="V293" s="2" t="n">
        <f aca="false">IF(ISBLANK(T293),0,IF(ISNUMBER(T293),T293,VALUE(LEFT(T293,LEN(T293)-1))/100))</f>
        <v>0.25</v>
      </c>
      <c r="W293" s="2" t="str">
        <f aca="false">IF(AND(V293&gt;=0,V293&lt;=0.25),"Valid","Invalid")</f>
        <v>Valid</v>
      </c>
      <c r="X293" s="2" t="n">
        <v>9685.98</v>
      </c>
      <c r="Y293" s="2" t="n">
        <f aca="false">R293*S293*(1-V293)</f>
        <v>9685.98</v>
      </c>
      <c r="Z293" s="2" t="str">
        <f aca="false">IF(ABS(X293-Y293)&gt;1,"Mismatch","OK")</f>
        <v>OK</v>
      </c>
      <c r="AA293" s="2" t="n">
        <v>7730.04</v>
      </c>
      <c r="AB293" s="2" t="n">
        <v>1955.94</v>
      </c>
      <c r="AC293" s="2" t="n">
        <f aca="false">Y293-AA293</f>
        <v>1955.94</v>
      </c>
      <c r="AD293" s="2" t="str">
        <f aca="false">IF(ABS(AB293-AC293)&gt;1,"Mismatch","OK")</f>
        <v>OK</v>
      </c>
      <c r="AE293" s="4" t="n">
        <f aca="false">IF(Y293=0,0,AC293/Y293)</f>
        <v>0.201935168150254</v>
      </c>
      <c r="AF293" s="2" t="s">
        <v>52</v>
      </c>
      <c r="AG293" s="2" t="s">
        <v>53</v>
      </c>
      <c r="AH293" s="2" t="str">
        <f aca="false">IF(AND(AG293="Completed",AF293&lt;&gt;"Paid"),"Inconsistent","OK")</f>
        <v>OK</v>
      </c>
      <c r="AI293" s="2" t="n">
        <f aca="false">IF(OR(ISBLANK(B293),ISBLANK(C293)),"",C293-B293)</f>
        <v>5</v>
      </c>
      <c r="AJ293" s="2" t="str">
        <f aca="false">IF(AI293="","Unknown",IF(AI293&lt;0,"Invalid","OK"))</f>
        <v>OK</v>
      </c>
      <c r="AK293" s="2" t="str">
        <f aca="false">IF(ISBLANK(B293),"",TEXT(B293,"mmm"))</f>
        <v>Apr</v>
      </c>
      <c r="AL293" s="2" t="n">
        <f aca="false">IF(ISBLANK(B293),"",YEAR(B293))</f>
        <v>2024</v>
      </c>
      <c r="AM293" s="2" t="s">
        <v>41</v>
      </c>
      <c r="AN293" s="2" t="str">
        <f aca="false">IF(OR(W293="Invalid",AJ293="Invalid",AH293="Inconsistent",Z293="Mismatch",AD293="Mismatch",AM293="Yes",D293="Yes",E293="Yes"),"Invalid",IF(OR(J293="Yes",Q293="Yes",U293="Yes"),"Warning","Clean"))</f>
        <v>Clean</v>
      </c>
    </row>
    <row r="294" customFormat="false" ht="15" hidden="false" customHeight="false" outlineLevel="0" collapsed="false">
      <c r="A294" s="2" t="s">
        <v>1005</v>
      </c>
      <c r="B294" s="3" t="n">
        <v>45716</v>
      </c>
      <c r="C294" s="3" t="n">
        <v>45719</v>
      </c>
      <c r="D294" s="2" t="s">
        <v>41</v>
      </c>
      <c r="E294" s="2" t="s">
        <v>41</v>
      </c>
      <c r="F294" s="2" t="s">
        <v>1006</v>
      </c>
      <c r="G294" s="2" t="s">
        <v>286</v>
      </c>
      <c r="H294" s="2" t="s">
        <v>115</v>
      </c>
      <c r="I294" s="2" t="s">
        <v>45</v>
      </c>
      <c r="J294" s="2" t="s">
        <v>41</v>
      </c>
      <c r="K294" s="2" t="s">
        <v>258</v>
      </c>
      <c r="L294" s="2" t="s">
        <v>259</v>
      </c>
      <c r="M294" s="2" t="s">
        <v>48</v>
      </c>
      <c r="N294" s="2" t="s">
        <v>68</v>
      </c>
      <c r="O294" s="2" t="s">
        <v>1007</v>
      </c>
      <c r="P294" s="2" t="s">
        <v>64</v>
      </c>
      <c r="Q294" s="2" t="s">
        <v>41</v>
      </c>
      <c r="R294" s="2" t="n">
        <v>9</v>
      </c>
      <c r="S294" s="2" t="n">
        <v>3748.95</v>
      </c>
      <c r="T294" s="2" t="n">
        <v>0</v>
      </c>
      <c r="U294" s="2" t="str">
        <f aca="false">IF(ISBLANK(T294),"Yes","No")</f>
        <v>No</v>
      </c>
      <c r="V294" s="2" t="n">
        <f aca="false">IF(ISBLANK(T294),0,IF(ISNUMBER(T294),T294,VALUE(LEFT(T294,LEN(T294)-1))/100))</f>
        <v>0</v>
      </c>
      <c r="W294" s="2" t="str">
        <f aca="false">IF(AND(V294&gt;=0,V294&lt;=0.25),"Valid","Invalid")</f>
        <v>Valid</v>
      </c>
      <c r="X294" s="2" t="n">
        <v>33740.55</v>
      </c>
      <c r="Y294" s="2" t="n">
        <f aca="false">R294*S294*(1-V294)</f>
        <v>33740.55</v>
      </c>
      <c r="Z294" s="2" t="str">
        <f aca="false">IF(ABS(X294-Y294)&gt;1,"Mismatch","OK")</f>
        <v>OK</v>
      </c>
      <c r="AA294" s="2" t="n">
        <v>24621.89</v>
      </c>
      <c r="AB294" s="2" t="n">
        <v>9118.66</v>
      </c>
      <c r="AC294" s="2" t="n">
        <f aca="false">Y294-AA294</f>
        <v>9118.66</v>
      </c>
      <c r="AD294" s="2" t="str">
        <f aca="false">IF(ABS(AB294-AC294)&gt;1,"Mismatch","OK")</f>
        <v>OK</v>
      </c>
      <c r="AE294" s="4" t="n">
        <f aca="false">IF(Y294=0,0,AC294/Y294)</f>
        <v>0.270258190811946</v>
      </c>
      <c r="AF294" s="2" t="s">
        <v>131</v>
      </c>
      <c r="AG294" s="2" t="s">
        <v>88</v>
      </c>
      <c r="AH294" s="2" t="str">
        <f aca="false">IF(AND(AG294="Completed",AF294&lt;&gt;"Paid"),"Inconsistent","OK")</f>
        <v>OK</v>
      </c>
      <c r="AI294" s="2" t="n">
        <f aca="false">IF(OR(ISBLANK(B294),ISBLANK(C294)),"",C294-B294)</f>
        <v>3</v>
      </c>
      <c r="AJ294" s="2" t="str">
        <f aca="false">IF(AI294="","Unknown",IF(AI294&lt;0,"Invalid","OK"))</f>
        <v>OK</v>
      </c>
      <c r="AK294" s="2" t="str">
        <f aca="false">IF(ISBLANK(B294),"",TEXT(B294,"mmm"))</f>
        <v>Feb</v>
      </c>
      <c r="AL294" s="2" t="n">
        <f aca="false">IF(ISBLANK(B294),"",YEAR(B294))</f>
        <v>2025</v>
      </c>
      <c r="AM294" s="2" t="s">
        <v>41</v>
      </c>
      <c r="AN294" s="2" t="str">
        <f aca="false">IF(OR(W294="Invalid",AJ294="Invalid",AH294="Inconsistent",Z294="Mismatch",AD294="Mismatch",AM294="Yes",D294="Yes",E294="Yes"),"Invalid",IF(OR(J294="Yes",Q294="Yes",U294="Yes"),"Warning","Clean"))</f>
        <v>Clean</v>
      </c>
    </row>
    <row r="295" customFormat="false" ht="15" hidden="false" customHeight="false" outlineLevel="0" collapsed="false">
      <c r="A295" s="2" t="s">
        <v>1008</v>
      </c>
      <c r="B295" s="3" t="n">
        <v>45358</v>
      </c>
      <c r="C295" s="3" t="n">
        <v>45362</v>
      </c>
      <c r="D295" s="2" t="s">
        <v>41</v>
      </c>
      <c r="E295" s="2" t="s">
        <v>41</v>
      </c>
      <c r="F295" s="2" t="s">
        <v>1009</v>
      </c>
      <c r="G295" s="2" t="s">
        <v>73</v>
      </c>
      <c r="H295" s="2" t="s">
        <v>115</v>
      </c>
      <c r="I295" s="2" t="s">
        <v>74</v>
      </c>
      <c r="J295" s="2" t="s">
        <v>41</v>
      </c>
      <c r="K295" s="2" t="s">
        <v>75</v>
      </c>
      <c r="L295" s="2" t="s">
        <v>76</v>
      </c>
      <c r="M295" s="2" t="s">
        <v>94</v>
      </c>
      <c r="N295" s="2" t="s">
        <v>191</v>
      </c>
      <c r="O295" s="2" t="s">
        <v>1010</v>
      </c>
      <c r="P295" s="2" t="s">
        <v>70</v>
      </c>
      <c r="Q295" s="2" t="s">
        <v>41</v>
      </c>
      <c r="R295" s="2" t="n">
        <v>2</v>
      </c>
      <c r="S295" s="2" t="n">
        <v>4401.51</v>
      </c>
      <c r="T295" s="2" t="n">
        <v>0.65</v>
      </c>
      <c r="U295" s="2" t="str">
        <f aca="false">IF(ISBLANK(T295),"Yes","No")</f>
        <v>No</v>
      </c>
      <c r="V295" s="2" t="n">
        <f aca="false">IF(ISBLANK(T295),0,IF(ISNUMBER(T295),T295,VALUE(LEFT(T295,LEN(T295)-1))/100))</f>
        <v>0.65</v>
      </c>
      <c r="W295" s="2" t="str">
        <f aca="false">IF(AND(V295&gt;=0,V295&lt;=0.25),"Valid","Invalid")</f>
        <v>Invalid</v>
      </c>
      <c r="X295" s="2" t="n">
        <v>8362.87</v>
      </c>
      <c r="Y295" s="2" t="n">
        <f aca="false">R295*S295*(1-V295)</f>
        <v>3081.057</v>
      </c>
      <c r="Z295" s="2" t="str">
        <f aca="false">IF(ABS(X295-Y295)&gt;1,"Mismatch","OK")</f>
        <v>Mismatch</v>
      </c>
      <c r="AA295" s="2" t="n">
        <v>6541.04</v>
      </c>
      <c r="AB295" s="2" t="n">
        <v>1821.83</v>
      </c>
      <c r="AC295" s="2" t="n">
        <f aca="false">Y295-AA295</f>
        <v>-3459.983</v>
      </c>
      <c r="AD295" s="2" t="str">
        <f aca="false">IF(ABS(AB295-AC295)&gt;1,"Mismatch","OK")</f>
        <v>Mismatch</v>
      </c>
      <c r="AE295" s="4" t="n">
        <f aca="false">IF(Y295=0,0,AC295/Y295)</f>
        <v>-1.12298571561643</v>
      </c>
      <c r="AF295" s="2" t="s">
        <v>52</v>
      </c>
      <c r="AG295" s="2" t="s">
        <v>53</v>
      </c>
      <c r="AH295" s="2" t="str">
        <f aca="false">IF(AND(AG295="Completed",AF295&lt;&gt;"Paid"),"Inconsistent","OK")</f>
        <v>OK</v>
      </c>
      <c r="AI295" s="2" t="n">
        <f aca="false">IF(OR(ISBLANK(B295),ISBLANK(C295)),"",C295-B295)</f>
        <v>4</v>
      </c>
      <c r="AJ295" s="2" t="str">
        <f aca="false">IF(AI295="","Unknown",IF(AI295&lt;0,"Invalid","OK"))</f>
        <v>OK</v>
      </c>
      <c r="AK295" s="2" t="str">
        <f aca="false">IF(ISBLANK(B295),"",TEXT(B295,"mmm"))</f>
        <v>Mar</v>
      </c>
      <c r="AL295" s="2" t="n">
        <f aca="false">IF(ISBLANK(B295),"",YEAR(B295))</f>
        <v>2024</v>
      </c>
      <c r="AM295" s="2" t="s">
        <v>41</v>
      </c>
      <c r="AN295" s="2" t="str">
        <f aca="false">IF(OR(W295="Invalid",AJ295="Invalid",AH295="Inconsistent",Z295="Mismatch",AD295="Mismatch",AM295="Yes",D295="Yes",E295="Yes"),"Invalid",IF(OR(J295="Yes",Q295="Yes",U295="Yes"),"Warning","Clean"))</f>
        <v>Invalid</v>
      </c>
    </row>
    <row r="296" customFormat="false" ht="15" hidden="false" customHeight="false" outlineLevel="0" collapsed="false">
      <c r="A296" s="2" t="s">
        <v>1011</v>
      </c>
      <c r="B296" s="3" t="n">
        <v>45854</v>
      </c>
      <c r="C296" s="3" t="n">
        <v>45860</v>
      </c>
      <c r="D296" s="2" t="s">
        <v>41</v>
      </c>
      <c r="E296" s="2" t="s">
        <v>41</v>
      </c>
      <c r="F296" s="2" t="s">
        <v>1012</v>
      </c>
      <c r="G296" s="2" t="s">
        <v>134</v>
      </c>
      <c r="H296" s="2" t="s">
        <v>44</v>
      </c>
      <c r="I296" s="2" t="s">
        <v>58</v>
      </c>
      <c r="J296" s="2" t="s">
        <v>41</v>
      </c>
      <c r="K296" s="2" t="s">
        <v>59</v>
      </c>
      <c r="L296" s="2" t="s">
        <v>60</v>
      </c>
      <c r="M296" s="2" t="s">
        <v>94</v>
      </c>
      <c r="N296" s="2" t="s">
        <v>191</v>
      </c>
      <c r="O296" s="2" t="s">
        <v>1013</v>
      </c>
      <c r="P296" s="2" t="s">
        <v>51</v>
      </c>
      <c r="Q296" s="2" t="s">
        <v>41</v>
      </c>
      <c r="R296" s="2" t="n">
        <v>6</v>
      </c>
      <c r="S296" s="2" t="n">
        <v>4159.33</v>
      </c>
      <c r="T296" s="2" t="n">
        <v>0.25</v>
      </c>
      <c r="U296" s="2" t="str">
        <f aca="false">IF(ISBLANK(T296),"Yes","No")</f>
        <v>No</v>
      </c>
      <c r="V296" s="2" t="n">
        <f aca="false">IF(ISBLANK(T296),0,IF(ISNUMBER(T296),T296,VALUE(LEFT(T296,LEN(T296)-1))/100))</f>
        <v>0.25</v>
      </c>
      <c r="W296" s="2" t="str">
        <f aca="false">IF(AND(V296&gt;=0,V296&lt;=0.25),"Valid","Invalid")</f>
        <v>Valid</v>
      </c>
      <c r="X296" s="2" t="n">
        <v>18716.99</v>
      </c>
      <c r="Y296" s="2" t="n">
        <f aca="false">R296*S296*(1-V296)</f>
        <v>18716.985</v>
      </c>
      <c r="Z296" s="2" t="str">
        <f aca="false">IF(ABS(X296-Y296)&gt;1,"Mismatch","OK")</f>
        <v>OK</v>
      </c>
      <c r="AA296" s="2" t="n">
        <v>12282.43</v>
      </c>
      <c r="AB296" s="2" t="n">
        <v>6434.56</v>
      </c>
      <c r="AC296" s="2" t="n">
        <f aca="false">Y296-AA296</f>
        <v>6434.555</v>
      </c>
      <c r="AD296" s="2" t="str">
        <f aca="false">IF(ABS(AB296-AC296)&gt;1,"Mismatch","OK")</f>
        <v>OK</v>
      </c>
      <c r="AE296" s="4" t="n">
        <f aca="false">IF(Y296=0,0,AC296/Y296)</f>
        <v>0.343781597303198</v>
      </c>
      <c r="AF296" s="2" t="s">
        <v>52</v>
      </c>
      <c r="AG296" s="2" t="s">
        <v>123</v>
      </c>
      <c r="AH296" s="2" t="str">
        <f aca="false">IF(AND(AG296="Completed",AF296&lt;&gt;"Paid"),"Inconsistent","OK")</f>
        <v>OK</v>
      </c>
      <c r="AI296" s="2" t="n">
        <f aca="false">IF(OR(ISBLANK(B296),ISBLANK(C296)),"",C296-B296)</f>
        <v>6</v>
      </c>
      <c r="AJ296" s="2" t="str">
        <f aca="false">IF(AI296="","Unknown",IF(AI296&lt;0,"Invalid","OK"))</f>
        <v>OK</v>
      </c>
      <c r="AK296" s="2" t="str">
        <f aca="false">IF(ISBLANK(B296),"",TEXT(B296,"mmm"))</f>
        <v>Jul</v>
      </c>
      <c r="AL296" s="2" t="n">
        <f aca="false">IF(ISBLANK(B296),"",YEAR(B296))</f>
        <v>2025</v>
      </c>
      <c r="AM296" s="2" t="s">
        <v>41</v>
      </c>
      <c r="AN296" s="2" t="str">
        <f aca="false">IF(OR(W296="Invalid",AJ296="Invalid",AH296="Inconsistent",Z296="Mismatch",AD296="Mismatch",AM296="Yes",D296="Yes",E296="Yes"),"Invalid",IF(OR(J296="Yes",Q296="Yes",U296="Yes"),"Warning","Clean"))</f>
        <v>Clean</v>
      </c>
    </row>
    <row r="297" customFormat="false" ht="15" hidden="false" customHeight="false" outlineLevel="0" collapsed="false">
      <c r="A297" s="2" t="s">
        <v>1014</v>
      </c>
      <c r="B297" s="3" t="n">
        <v>45833</v>
      </c>
      <c r="C297" s="3" t="n">
        <v>45836</v>
      </c>
      <c r="D297" s="2" t="s">
        <v>41</v>
      </c>
      <c r="E297" s="2" t="s">
        <v>41</v>
      </c>
      <c r="F297" s="2" t="s">
        <v>1015</v>
      </c>
      <c r="G297" s="2" t="s">
        <v>109</v>
      </c>
      <c r="H297" s="2" t="s">
        <v>57</v>
      </c>
      <c r="I297" s="2" t="s">
        <v>58</v>
      </c>
      <c r="J297" s="2" t="s">
        <v>41</v>
      </c>
      <c r="K297" s="2" t="s">
        <v>186</v>
      </c>
      <c r="L297" s="2" t="s">
        <v>187</v>
      </c>
      <c r="M297" s="2" t="s">
        <v>48</v>
      </c>
      <c r="N297" s="2" t="s">
        <v>173</v>
      </c>
      <c r="O297" s="2" t="s">
        <v>1016</v>
      </c>
      <c r="P297" s="2" t="s">
        <v>79</v>
      </c>
      <c r="Q297" s="2" t="s">
        <v>41</v>
      </c>
      <c r="R297" s="2" t="n">
        <v>3</v>
      </c>
      <c r="S297" s="2" t="n">
        <v>3476.05</v>
      </c>
      <c r="T297" s="2" t="n">
        <v>0.1</v>
      </c>
      <c r="U297" s="2" t="str">
        <f aca="false">IF(ISBLANK(T297),"Yes","No")</f>
        <v>No</v>
      </c>
      <c r="V297" s="2" t="n">
        <f aca="false">IF(ISBLANK(T297),0,IF(ISNUMBER(T297),T297,VALUE(LEFT(T297,LEN(T297)-1))/100))</f>
        <v>0.1</v>
      </c>
      <c r="W297" s="2" t="str">
        <f aca="false">IF(AND(V297&gt;=0,V297&lt;=0.25),"Valid","Invalid")</f>
        <v>Valid</v>
      </c>
      <c r="X297" s="2" t="n">
        <v>9385.34</v>
      </c>
      <c r="Y297" s="2" t="n">
        <f aca="false">R297*S297*(1-V297)</f>
        <v>9385.335</v>
      </c>
      <c r="Z297" s="2" t="str">
        <f aca="false">IF(ABS(X297-Y297)&gt;1,"Mismatch","OK")</f>
        <v>OK</v>
      </c>
      <c r="AA297" s="2" t="n">
        <v>5828.54</v>
      </c>
      <c r="AB297" s="2" t="n">
        <v>3556.8</v>
      </c>
      <c r="AC297" s="2" t="n">
        <f aca="false">Y297-AA297</f>
        <v>3556.795</v>
      </c>
      <c r="AD297" s="2" t="str">
        <f aca="false">IF(ABS(AB297-AC297)&gt;1,"Mismatch","OK")</f>
        <v>OK</v>
      </c>
      <c r="AE297" s="4" t="n">
        <f aca="false">IF(Y297=0,0,AC297/Y297)</f>
        <v>0.378973686075138</v>
      </c>
      <c r="AF297" s="2" t="s">
        <v>52</v>
      </c>
      <c r="AG297" s="2" t="s">
        <v>53</v>
      </c>
      <c r="AH297" s="2" t="str">
        <f aca="false">IF(AND(AG297="Completed",AF297&lt;&gt;"Paid"),"Inconsistent","OK")</f>
        <v>OK</v>
      </c>
      <c r="AI297" s="2" t="n">
        <f aca="false">IF(OR(ISBLANK(B297),ISBLANK(C297)),"",C297-B297)</f>
        <v>3</v>
      </c>
      <c r="AJ297" s="2" t="str">
        <f aca="false">IF(AI297="","Unknown",IF(AI297&lt;0,"Invalid","OK"))</f>
        <v>OK</v>
      </c>
      <c r="AK297" s="2" t="str">
        <f aca="false">IF(ISBLANK(B297),"",TEXT(B297,"mmm"))</f>
        <v>Jun</v>
      </c>
      <c r="AL297" s="2" t="n">
        <f aca="false">IF(ISBLANK(B297),"",YEAR(B297))</f>
        <v>2025</v>
      </c>
      <c r="AM297" s="2" t="s">
        <v>41</v>
      </c>
      <c r="AN297" s="2" t="str">
        <f aca="false">IF(OR(W297="Invalid",AJ297="Invalid",AH297="Inconsistent",Z297="Mismatch",AD297="Mismatch",AM297="Yes",D297="Yes",E297="Yes"),"Invalid",IF(OR(J297="Yes",Q297="Yes",U297="Yes"),"Warning","Clean"))</f>
        <v>Clean</v>
      </c>
    </row>
    <row r="298" customFormat="false" ht="15" hidden="false" customHeight="false" outlineLevel="0" collapsed="false">
      <c r="A298" s="2" t="s">
        <v>1017</v>
      </c>
      <c r="B298" s="3" t="n">
        <v>45801</v>
      </c>
      <c r="C298" s="3" t="n">
        <v>45803</v>
      </c>
      <c r="D298" s="2" t="s">
        <v>41</v>
      </c>
      <c r="E298" s="2" t="s">
        <v>41</v>
      </c>
      <c r="F298" s="2" t="s">
        <v>1018</v>
      </c>
      <c r="G298" s="2" t="s">
        <v>109</v>
      </c>
      <c r="H298" s="2" t="s">
        <v>115</v>
      </c>
      <c r="I298" s="2" t="s">
        <v>45</v>
      </c>
      <c r="J298" s="2" t="s">
        <v>41</v>
      </c>
      <c r="K298" s="2" t="s">
        <v>258</v>
      </c>
      <c r="L298" s="2" t="s">
        <v>259</v>
      </c>
      <c r="M298" s="2" t="s">
        <v>61</v>
      </c>
      <c r="N298" s="2" t="s">
        <v>77</v>
      </c>
      <c r="O298" s="2" t="s">
        <v>1019</v>
      </c>
      <c r="P298" s="2" t="s">
        <v>64</v>
      </c>
      <c r="Q298" s="2" t="s">
        <v>41</v>
      </c>
      <c r="R298" s="2" t="n">
        <v>6</v>
      </c>
      <c r="S298" s="2" t="n">
        <v>3495.41</v>
      </c>
      <c r="T298" s="2" t="n">
        <v>0.15</v>
      </c>
      <c r="U298" s="2" t="str">
        <f aca="false">IF(ISBLANK(T298),"Yes","No")</f>
        <v>No</v>
      </c>
      <c r="V298" s="2" t="n">
        <f aca="false">IF(ISBLANK(T298),0,IF(ISNUMBER(T298),T298,VALUE(LEFT(T298,LEN(T298)-1))/100))</f>
        <v>0.15</v>
      </c>
      <c r="W298" s="2" t="str">
        <f aca="false">IF(AND(V298&gt;=0,V298&lt;=0.25),"Valid","Invalid")</f>
        <v>Valid</v>
      </c>
      <c r="X298" s="2" t="n">
        <v>17826.59</v>
      </c>
      <c r="Y298" s="2" t="n">
        <f aca="false">R298*S298*(1-V298)</f>
        <v>17826.591</v>
      </c>
      <c r="Z298" s="2" t="str">
        <f aca="false">IF(ABS(X298-Y298)&gt;1,"Mismatch","OK")</f>
        <v>OK</v>
      </c>
      <c r="AA298" s="2" t="n">
        <v>10855.35</v>
      </c>
      <c r="AB298" s="2" t="n">
        <v>6971.24</v>
      </c>
      <c r="AC298" s="2" t="n">
        <f aca="false">Y298-AA298</f>
        <v>6971.241</v>
      </c>
      <c r="AD298" s="2" t="str">
        <f aca="false">IF(ABS(AB298-AC298)&gt;1,"Mismatch","OK")</f>
        <v>OK</v>
      </c>
      <c r="AE298" s="4" t="n">
        <f aca="false">IF(Y298=0,0,AC298/Y298)</f>
        <v>0.391058559653946</v>
      </c>
      <c r="AF298" s="2" t="s">
        <v>52</v>
      </c>
      <c r="AG298" s="2" t="s">
        <v>53</v>
      </c>
      <c r="AH298" s="2" t="str">
        <f aca="false">IF(AND(AG298="Completed",AF298&lt;&gt;"Paid"),"Inconsistent","OK")</f>
        <v>OK</v>
      </c>
      <c r="AI298" s="2" t="n">
        <f aca="false">IF(OR(ISBLANK(B298),ISBLANK(C298)),"",C298-B298)</f>
        <v>2</v>
      </c>
      <c r="AJ298" s="2" t="str">
        <f aca="false">IF(AI298="","Unknown",IF(AI298&lt;0,"Invalid","OK"))</f>
        <v>OK</v>
      </c>
      <c r="AK298" s="2" t="str">
        <f aca="false">IF(ISBLANK(B298),"",TEXT(B298,"mmm"))</f>
        <v>May</v>
      </c>
      <c r="AL298" s="2" t="n">
        <f aca="false">IF(ISBLANK(B298),"",YEAR(B298))</f>
        <v>2025</v>
      </c>
      <c r="AM298" s="2" t="s">
        <v>41</v>
      </c>
      <c r="AN298" s="2" t="str">
        <f aca="false">IF(OR(W298="Invalid",AJ298="Invalid",AH298="Inconsistent",Z298="Mismatch",AD298="Mismatch",AM298="Yes",D298="Yes",E298="Yes"),"Invalid",IF(OR(J298="Yes",Q298="Yes",U298="Yes"),"Warning","Clean"))</f>
        <v>Clean</v>
      </c>
    </row>
    <row r="299" customFormat="false" ht="15" hidden="false" customHeight="false" outlineLevel="0" collapsed="false">
      <c r="A299" s="2" t="s">
        <v>1020</v>
      </c>
      <c r="B299" s="3" t="n">
        <v>45594</v>
      </c>
      <c r="C299" s="3" t="n">
        <v>45602</v>
      </c>
      <c r="D299" s="2" t="s">
        <v>41</v>
      </c>
      <c r="E299" s="2" t="s">
        <v>41</v>
      </c>
      <c r="F299" s="2" t="s">
        <v>1021</v>
      </c>
      <c r="G299" s="2" t="s">
        <v>152</v>
      </c>
      <c r="H299" s="2" t="s">
        <v>110</v>
      </c>
      <c r="I299" s="2" t="s">
        <v>74</v>
      </c>
      <c r="J299" s="2" t="s">
        <v>41</v>
      </c>
      <c r="K299" s="2" t="s">
        <v>269</v>
      </c>
      <c r="L299" s="2" t="s">
        <v>270</v>
      </c>
      <c r="M299" s="2" t="s">
        <v>94</v>
      </c>
      <c r="N299" s="2" t="s">
        <v>100</v>
      </c>
      <c r="O299" s="2" t="s">
        <v>1022</v>
      </c>
      <c r="P299" s="2" t="s">
        <v>64</v>
      </c>
      <c r="Q299" s="2" t="s">
        <v>41</v>
      </c>
      <c r="R299" s="2" t="n">
        <v>6</v>
      </c>
      <c r="S299" s="2" t="n">
        <v>1169.92</v>
      </c>
      <c r="T299" s="2" t="n">
        <v>0.15</v>
      </c>
      <c r="U299" s="2" t="str">
        <f aca="false">IF(ISBLANK(T299),"Yes","No")</f>
        <v>No</v>
      </c>
      <c r="V299" s="2" t="n">
        <f aca="false">IF(ISBLANK(T299),0,IF(ISNUMBER(T299),T299,VALUE(LEFT(T299,LEN(T299)-1))/100))</f>
        <v>0.15</v>
      </c>
      <c r="W299" s="2" t="str">
        <f aca="false">IF(AND(V299&gt;=0,V299&lt;=0.25),"Valid","Invalid")</f>
        <v>Valid</v>
      </c>
      <c r="X299" s="2" t="n">
        <v>5966.59</v>
      </c>
      <c r="Y299" s="2" t="n">
        <f aca="false">R299*S299*(1-V299)</f>
        <v>5966.592</v>
      </c>
      <c r="Z299" s="2" t="str">
        <f aca="false">IF(ABS(X299-Y299)&gt;1,"Mismatch","OK")</f>
        <v>OK</v>
      </c>
      <c r="AA299" s="2" t="n">
        <v>3994.72</v>
      </c>
      <c r="AB299" s="2" t="n">
        <v>1971.87</v>
      </c>
      <c r="AC299" s="2" t="n">
        <f aca="false">Y299-AA299</f>
        <v>1971.872</v>
      </c>
      <c r="AD299" s="2" t="str">
        <f aca="false">IF(ABS(AB299-AC299)&gt;1,"Mismatch","OK")</f>
        <v>OK</v>
      </c>
      <c r="AE299" s="4" t="n">
        <f aca="false">IF(Y299=0,0,AC299/Y299)</f>
        <v>0.330485476466298</v>
      </c>
      <c r="AF299" s="2" t="s">
        <v>52</v>
      </c>
      <c r="AG299" s="2" t="s">
        <v>53</v>
      </c>
      <c r="AH299" s="2" t="str">
        <f aca="false">IF(AND(AG299="Completed",AF299&lt;&gt;"Paid"),"Inconsistent","OK")</f>
        <v>OK</v>
      </c>
      <c r="AI299" s="2" t="n">
        <f aca="false">IF(OR(ISBLANK(B299),ISBLANK(C299)),"",C299-B299)</f>
        <v>8</v>
      </c>
      <c r="AJ299" s="2" t="str">
        <f aca="false">IF(AI299="","Unknown",IF(AI299&lt;0,"Invalid","OK"))</f>
        <v>OK</v>
      </c>
      <c r="AK299" s="2" t="str">
        <f aca="false">IF(ISBLANK(B299),"",TEXT(B299,"mmm"))</f>
        <v>Oct</v>
      </c>
      <c r="AL299" s="2" t="n">
        <f aca="false">IF(ISBLANK(B299),"",YEAR(B299))</f>
        <v>2024</v>
      </c>
      <c r="AM299" s="2" t="s">
        <v>41</v>
      </c>
      <c r="AN299" s="2" t="str">
        <f aca="false">IF(OR(W299="Invalid",AJ299="Invalid",AH299="Inconsistent",Z299="Mismatch",AD299="Mismatch",AM299="Yes",D299="Yes",E299="Yes"),"Invalid",IF(OR(J299="Yes",Q299="Yes",U299="Yes"),"Warning","Clean"))</f>
        <v>Clean</v>
      </c>
    </row>
    <row r="300" customFormat="false" ht="15" hidden="false" customHeight="false" outlineLevel="0" collapsed="false">
      <c r="A300" s="2" t="s">
        <v>1023</v>
      </c>
      <c r="B300" s="3" t="n">
        <v>45680</v>
      </c>
      <c r="C300" s="3" t="n">
        <v>45683</v>
      </c>
      <c r="D300" s="2" t="s">
        <v>41</v>
      </c>
      <c r="E300" s="2" t="s">
        <v>41</v>
      </c>
      <c r="F300" s="2" t="s">
        <v>1024</v>
      </c>
      <c r="G300" s="2" t="s">
        <v>67</v>
      </c>
      <c r="H300" s="2" t="s">
        <v>44</v>
      </c>
      <c r="I300" s="2" t="s">
        <v>74</v>
      </c>
      <c r="J300" s="2" t="s">
        <v>41</v>
      </c>
      <c r="K300" s="2" t="s">
        <v>205</v>
      </c>
      <c r="L300" s="2" t="s">
        <v>206</v>
      </c>
      <c r="M300" s="2" t="s">
        <v>94</v>
      </c>
      <c r="N300" s="2" t="s">
        <v>100</v>
      </c>
      <c r="O300" s="2" t="s">
        <v>1025</v>
      </c>
      <c r="P300" s="2" t="s">
        <v>70</v>
      </c>
      <c r="Q300" s="2" t="s">
        <v>41</v>
      </c>
      <c r="R300" s="2" t="n">
        <v>7</v>
      </c>
      <c r="S300" s="2" t="n">
        <v>348.49</v>
      </c>
      <c r="T300" s="2" t="n">
        <v>0.2</v>
      </c>
      <c r="U300" s="2" t="str">
        <f aca="false">IF(ISBLANK(T300),"Yes","No")</f>
        <v>No</v>
      </c>
      <c r="V300" s="2" t="n">
        <f aca="false">IF(ISBLANK(T300),0,IF(ISNUMBER(T300),T300,VALUE(LEFT(T300,LEN(T300)-1))/100))</f>
        <v>0.2</v>
      </c>
      <c r="W300" s="2" t="str">
        <f aca="false">IF(AND(V300&gt;=0,V300&lt;=0.25),"Valid","Invalid")</f>
        <v>Valid</v>
      </c>
      <c r="X300" s="2" t="n">
        <v>1951.54</v>
      </c>
      <c r="Y300" s="2" t="n">
        <f aca="false">R300*S300*(1-V300)</f>
        <v>1951.544</v>
      </c>
      <c r="Z300" s="2" t="str">
        <f aca="false">IF(ABS(X300-Y300)&gt;1,"Mismatch","OK")</f>
        <v>OK</v>
      </c>
      <c r="AA300" s="2" t="n">
        <v>1609.95</v>
      </c>
      <c r="AB300" s="2" t="n">
        <v>341.59</v>
      </c>
      <c r="AC300" s="2" t="n">
        <f aca="false">Y300-AA300</f>
        <v>341.594</v>
      </c>
      <c r="AD300" s="2" t="str">
        <f aca="false">IF(ABS(AB300-AC300)&gt;1,"Mismatch","OK")</f>
        <v>OK</v>
      </c>
      <c r="AE300" s="4" t="n">
        <f aca="false">IF(Y300=0,0,AC300/Y300)</f>
        <v>0.175037816211164</v>
      </c>
      <c r="AF300" s="2" t="s">
        <v>175</v>
      </c>
      <c r="AG300" s="2" t="s">
        <v>123</v>
      </c>
      <c r="AH300" s="2" t="str">
        <f aca="false">IF(AND(AG300="Completed",AF300&lt;&gt;"Paid"),"Inconsistent","OK")</f>
        <v>OK</v>
      </c>
      <c r="AI300" s="2" t="n">
        <f aca="false">IF(OR(ISBLANK(B300),ISBLANK(C300)),"",C300-B300)</f>
        <v>3</v>
      </c>
      <c r="AJ300" s="2" t="str">
        <f aca="false">IF(AI300="","Unknown",IF(AI300&lt;0,"Invalid","OK"))</f>
        <v>OK</v>
      </c>
      <c r="AK300" s="2" t="str">
        <f aca="false">IF(ISBLANK(B300),"",TEXT(B300,"mmm"))</f>
        <v>Jan</v>
      </c>
      <c r="AL300" s="2" t="n">
        <f aca="false">IF(ISBLANK(B300),"",YEAR(B300))</f>
        <v>2025</v>
      </c>
      <c r="AM300" s="2" t="s">
        <v>41</v>
      </c>
      <c r="AN300" s="2" t="str">
        <f aca="false">IF(OR(W300="Invalid",AJ300="Invalid",AH300="Inconsistent",Z300="Mismatch",AD300="Mismatch",AM300="Yes",D300="Yes",E300="Yes"),"Invalid",IF(OR(J300="Yes",Q300="Yes",U300="Yes"),"Warning","Clean"))</f>
        <v>Clean</v>
      </c>
    </row>
    <row r="301" customFormat="false" ht="15" hidden="false" customHeight="false" outlineLevel="0" collapsed="false">
      <c r="A301" s="2" t="s">
        <v>1026</v>
      </c>
      <c r="B301" s="3" t="n">
        <v>45602</v>
      </c>
      <c r="C301" s="3" t="n">
        <v>45608</v>
      </c>
      <c r="D301" s="2" t="s">
        <v>41</v>
      </c>
      <c r="E301" s="2" t="s">
        <v>41</v>
      </c>
      <c r="F301" s="2" t="s">
        <v>1027</v>
      </c>
      <c r="G301" s="2" t="s">
        <v>138</v>
      </c>
      <c r="H301" s="2" t="s">
        <v>57</v>
      </c>
      <c r="I301" s="2" t="s">
        <v>83</v>
      </c>
      <c r="J301" s="2" t="s">
        <v>41</v>
      </c>
      <c r="K301" s="2" t="s">
        <v>200</v>
      </c>
      <c r="L301" s="2" t="s">
        <v>201</v>
      </c>
      <c r="M301" s="2" t="s">
        <v>94</v>
      </c>
      <c r="N301" s="2" t="s">
        <v>95</v>
      </c>
      <c r="O301" s="2" t="s">
        <v>1028</v>
      </c>
      <c r="P301" s="2" t="s">
        <v>79</v>
      </c>
      <c r="Q301" s="2" t="s">
        <v>41</v>
      </c>
      <c r="R301" s="2" t="n">
        <v>7</v>
      </c>
      <c r="S301" s="2" t="n">
        <v>1719.05</v>
      </c>
      <c r="T301" s="2" t="n">
        <v>0.1</v>
      </c>
      <c r="U301" s="2" t="str">
        <f aca="false">IF(ISBLANK(T301),"Yes","No")</f>
        <v>No</v>
      </c>
      <c r="V301" s="2" t="n">
        <f aca="false">IF(ISBLANK(T301),0,IF(ISNUMBER(T301),T301,VALUE(LEFT(T301,LEN(T301)-1))/100))</f>
        <v>0.1</v>
      </c>
      <c r="W301" s="2" t="str">
        <f aca="false">IF(AND(V301&gt;=0,V301&lt;=0.25),"Valid","Invalid")</f>
        <v>Valid</v>
      </c>
      <c r="X301" s="2" t="n">
        <v>10830.02</v>
      </c>
      <c r="Y301" s="2" t="n">
        <f aca="false">R301*S301*(1-V301)</f>
        <v>10830.015</v>
      </c>
      <c r="Z301" s="2" t="str">
        <f aca="false">IF(ABS(X301-Y301)&gt;1,"Mismatch","OK")</f>
        <v>OK</v>
      </c>
      <c r="AA301" s="2" t="n">
        <v>7055.31</v>
      </c>
      <c r="AB301" s="2" t="n">
        <v>3774.71</v>
      </c>
      <c r="AC301" s="2" t="n">
        <f aca="false">Y301-AA301</f>
        <v>3774.705</v>
      </c>
      <c r="AD301" s="2" t="str">
        <f aca="false">IF(ABS(AB301-AC301)&gt;1,"Mismatch","OK")</f>
        <v>OK</v>
      </c>
      <c r="AE301" s="4" t="n">
        <f aca="false">IF(Y301=0,0,AC301/Y301)</f>
        <v>0.348541068502675</v>
      </c>
      <c r="AF301" s="2" t="s">
        <v>52</v>
      </c>
      <c r="AG301" s="2" t="s">
        <v>53</v>
      </c>
      <c r="AH301" s="2" t="str">
        <f aca="false">IF(AND(AG301="Completed",AF301&lt;&gt;"Paid"),"Inconsistent","OK")</f>
        <v>OK</v>
      </c>
      <c r="AI301" s="2" t="n">
        <f aca="false">IF(OR(ISBLANK(B301),ISBLANK(C301)),"",C301-B301)</f>
        <v>6</v>
      </c>
      <c r="AJ301" s="2" t="str">
        <f aca="false">IF(AI301="","Unknown",IF(AI301&lt;0,"Invalid","OK"))</f>
        <v>OK</v>
      </c>
      <c r="AK301" s="2" t="str">
        <f aca="false">IF(ISBLANK(B301),"",TEXT(B301,"mmm"))</f>
        <v>Nov</v>
      </c>
      <c r="AL301" s="2" t="n">
        <f aca="false">IF(ISBLANK(B301),"",YEAR(B301))</f>
        <v>2024</v>
      </c>
      <c r="AM301" s="2" t="s">
        <v>41</v>
      </c>
      <c r="AN301" s="2" t="str">
        <f aca="false">IF(OR(W301="Invalid",AJ301="Invalid",AH301="Inconsistent",Z301="Mismatch",AD301="Mismatch",AM301="Yes",D301="Yes",E301="Yes"),"Invalid",IF(OR(J301="Yes",Q301="Yes",U301="Yes"),"Warning","Clean"))</f>
        <v>Clean</v>
      </c>
    </row>
    <row r="302" customFormat="false" ht="15" hidden="false" customHeight="false" outlineLevel="0" collapsed="false">
      <c r="A302" s="2" t="s">
        <v>1029</v>
      </c>
      <c r="B302" s="3" t="n">
        <v>45397</v>
      </c>
      <c r="C302" s="3" t="n">
        <v>45405</v>
      </c>
      <c r="D302" s="2" t="s">
        <v>41</v>
      </c>
      <c r="E302" s="2" t="s">
        <v>41</v>
      </c>
      <c r="F302" s="2" t="s">
        <v>1030</v>
      </c>
      <c r="G302" s="2" t="s">
        <v>182</v>
      </c>
      <c r="H302" s="2" t="s">
        <v>57</v>
      </c>
      <c r="I302" s="2" t="s">
        <v>45</v>
      </c>
      <c r="J302" s="2" t="s">
        <v>41</v>
      </c>
      <c r="K302" s="2" t="s">
        <v>142</v>
      </c>
      <c r="L302" s="2" t="s">
        <v>143</v>
      </c>
      <c r="M302" s="2" t="s">
        <v>94</v>
      </c>
      <c r="N302" s="2" t="s">
        <v>95</v>
      </c>
      <c r="O302" s="2" t="s">
        <v>1031</v>
      </c>
      <c r="P302" s="2" t="s">
        <v>51</v>
      </c>
      <c r="Q302" s="2" t="s">
        <v>41</v>
      </c>
      <c r="R302" s="2" t="n">
        <v>9</v>
      </c>
      <c r="S302" s="2" t="n">
        <v>3893.74</v>
      </c>
      <c r="T302" s="2" t="n">
        <v>0.1</v>
      </c>
      <c r="U302" s="2" t="str">
        <f aca="false">IF(ISBLANK(T302),"Yes","No")</f>
        <v>No</v>
      </c>
      <c r="V302" s="2" t="n">
        <f aca="false">IF(ISBLANK(T302),0,IF(ISNUMBER(T302),T302,VALUE(LEFT(T302,LEN(T302)-1))/100))</f>
        <v>0.1</v>
      </c>
      <c r="W302" s="2" t="str">
        <f aca="false">IF(AND(V302&gt;=0,V302&lt;=0.25),"Valid","Invalid")</f>
        <v>Valid</v>
      </c>
      <c r="X302" s="2" t="n">
        <v>31539.29</v>
      </c>
      <c r="Y302" s="2" t="n">
        <f aca="false">R302*S302*(1-V302)</f>
        <v>31539.294</v>
      </c>
      <c r="Z302" s="2" t="str">
        <f aca="false">IF(ABS(X302-Y302)&gt;1,"Mismatch","OK")</f>
        <v>OK</v>
      </c>
      <c r="AA302" s="2" t="n">
        <v>22100.14</v>
      </c>
      <c r="AB302" s="2" t="n">
        <v>9439.15</v>
      </c>
      <c r="AC302" s="2" t="n">
        <f aca="false">Y302-AA302</f>
        <v>9439.154</v>
      </c>
      <c r="AD302" s="2" t="str">
        <f aca="false">IF(ABS(AB302-AC302)&gt;1,"Mismatch","OK")</f>
        <v>OK</v>
      </c>
      <c r="AE302" s="4" t="n">
        <f aca="false">IF(Y302=0,0,AC302/Y302)</f>
        <v>0.299282349186383</v>
      </c>
      <c r="AF302" s="2" t="s">
        <v>52</v>
      </c>
      <c r="AG302" s="2" t="s">
        <v>53</v>
      </c>
      <c r="AH302" s="2" t="str">
        <f aca="false">IF(AND(AG302="Completed",AF302&lt;&gt;"Paid"),"Inconsistent","OK")</f>
        <v>OK</v>
      </c>
      <c r="AI302" s="2" t="n">
        <f aca="false">IF(OR(ISBLANK(B302),ISBLANK(C302)),"",C302-B302)</f>
        <v>8</v>
      </c>
      <c r="AJ302" s="2" t="str">
        <f aca="false">IF(AI302="","Unknown",IF(AI302&lt;0,"Invalid","OK"))</f>
        <v>OK</v>
      </c>
      <c r="AK302" s="2" t="str">
        <f aca="false">IF(ISBLANK(B302),"",TEXT(B302,"mmm"))</f>
        <v>Apr</v>
      </c>
      <c r="AL302" s="2" t="n">
        <f aca="false">IF(ISBLANK(B302),"",YEAR(B302))</f>
        <v>2024</v>
      </c>
      <c r="AM302" s="2" t="s">
        <v>41</v>
      </c>
      <c r="AN302" s="2" t="str">
        <f aca="false">IF(OR(W302="Invalid",AJ302="Invalid",AH302="Inconsistent",Z302="Mismatch",AD302="Mismatch",AM302="Yes",D302="Yes",E302="Yes"),"Invalid",IF(OR(J302="Yes",Q302="Yes",U302="Yes"),"Warning","Clean"))</f>
        <v>Clean</v>
      </c>
    </row>
    <row r="303" customFormat="false" ht="15" hidden="false" customHeight="false" outlineLevel="0" collapsed="false">
      <c r="A303" s="2" t="s">
        <v>1032</v>
      </c>
      <c r="B303" s="3" t="n">
        <v>45805</v>
      </c>
      <c r="C303" s="3" t="n">
        <v>45809</v>
      </c>
      <c r="D303" s="2" t="s">
        <v>41</v>
      </c>
      <c r="E303" s="2" t="s">
        <v>41</v>
      </c>
      <c r="F303" s="2" t="s">
        <v>1033</v>
      </c>
      <c r="G303" s="2" t="s">
        <v>67</v>
      </c>
      <c r="H303" s="2" t="s">
        <v>115</v>
      </c>
      <c r="I303" s="2" t="s">
        <v>58</v>
      </c>
      <c r="J303" s="2" t="s">
        <v>41</v>
      </c>
      <c r="K303" s="2" t="s">
        <v>165</v>
      </c>
      <c r="L303" s="2" t="s">
        <v>166</v>
      </c>
      <c r="M303" s="2" t="s">
        <v>94</v>
      </c>
      <c r="N303" s="2" t="s">
        <v>191</v>
      </c>
      <c r="O303" s="2" t="s">
        <v>1034</v>
      </c>
      <c r="P303" s="2" t="s">
        <v>64</v>
      </c>
      <c r="Q303" s="2" t="s">
        <v>41</v>
      </c>
      <c r="R303" s="2" t="n">
        <v>4</v>
      </c>
      <c r="S303" s="2" t="n">
        <v>1654.11</v>
      </c>
      <c r="T303" s="2" t="n">
        <v>0.05</v>
      </c>
      <c r="U303" s="2" t="str">
        <f aca="false">IF(ISBLANK(T303),"Yes","No")</f>
        <v>No</v>
      </c>
      <c r="V303" s="2" t="n">
        <f aca="false">IF(ISBLANK(T303),0,IF(ISNUMBER(T303),T303,VALUE(LEFT(T303,LEN(T303)-1))/100))</f>
        <v>0.05</v>
      </c>
      <c r="W303" s="2" t="str">
        <f aca="false">IF(AND(V303&gt;=0,V303&lt;=0.25),"Valid","Invalid")</f>
        <v>Valid</v>
      </c>
      <c r="X303" s="2" t="n">
        <v>6285.62</v>
      </c>
      <c r="Y303" s="2" t="n">
        <f aca="false">R303*S303*(1-V303)</f>
        <v>6285.618</v>
      </c>
      <c r="Z303" s="2" t="str">
        <f aca="false">IF(ABS(X303-Y303)&gt;1,"Mismatch","OK")</f>
        <v>OK</v>
      </c>
      <c r="AA303" s="2" t="n">
        <v>3705.38</v>
      </c>
      <c r="AB303" s="2" t="n">
        <v>2580.24</v>
      </c>
      <c r="AC303" s="2" t="n">
        <f aca="false">Y303-AA303</f>
        <v>2580.238</v>
      </c>
      <c r="AD303" s="2" t="str">
        <f aca="false">IF(ABS(AB303-AC303)&gt;1,"Mismatch","OK")</f>
        <v>OK</v>
      </c>
      <c r="AE303" s="4" t="n">
        <f aca="false">IF(Y303=0,0,AC303/Y303)</f>
        <v>0.410498697184589</v>
      </c>
      <c r="AF303" s="2" t="s">
        <v>52</v>
      </c>
      <c r="AG303" s="2" t="s">
        <v>53</v>
      </c>
      <c r="AH303" s="2" t="str">
        <f aca="false">IF(AND(AG303="Completed",AF303&lt;&gt;"Paid"),"Inconsistent","OK")</f>
        <v>OK</v>
      </c>
      <c r="AI303" s="2" t="n">
        <f aca="false">IF(OR(ISBLANK(B303),ISBLANK(C303)),"",C303-B303)</f>
        <v>4</v>
      </c>
      <c r="AJ303" s="2" t="str">
        <f aca="false">IF(AI303="","Unknown",IF(AI303&lt;0,"Invalid","OK"))</f>
        <v>OK</v>
      </c>
      <c r="AK303" s="2" t="str">
        <f aca="false">IF(ISBLANK(B303),"",TEXT(B303,"mmm"))</f>
        <v>May</v>
      </c>
      <c r="AL303" s="2" t="n">
        <f aca="false">IF(ISBLANK(B303),"",YEAR(B303))</f>
        <v>2025</v>
      </c>
      <c r="AM303" s="2" t="s">
        <v>41</v>
      </c>
      <c r="AN303" s="2" t="str">
        <f aca="false">IF(OR(W303="Invalid",AJ303="Invalid",AH303="Inconsistent",Z303="Mismatch",AD303="Mismatch",AM303="Yes",D303="Yes",E303="Yes"),"Invalid",IF(OR(J303="Yes",Q303="Yes",U303="Yes"),"Warning","Clean"))</f>
        <v>Clean</v>
      </c>
    </row>
    <row r="304" customFormat="false" ht="15" hidden="false" customHeight="false" outlineLevel="0" collapsed="false">
      <c r="A304" s="2" t="s">
        <v>1035</v>
      </c>
      <c r="B304" s="3" t="n">
        <v>45812</v>
      </c>
      <c r="C304" s="3" t="n">
        <v>45820</v>
      </c>
      <c r="D304" s="2" t="s">
        <v>41</v>
      </c>
      <c r="E304" s="2" t="s">
        <v>41</v>
      </c>
      <c r="F304" s="2" t="s">
        <v>1036</v>
      </c>
      <c r="G304" s="2" t="s">
        <v>99</v>
      </c>
      <c r="H304" s="2" t="s">
        <v>44</v>
      </c>
      <c r="I304" s="2" t="s">
        <v>83</v>
      </c>
      <c r="J304" s="2" t="s">
        <v>41</v>
      </c>
      <c r="K304" s="2" t="s">
        <v>210</v>
      </c>
      <c r="L304" s="2" t="s">
        <v>211</v>
      </c>
      <c r="M304" s="2" t="s">
        <v>48</v>
      </c>
      <c r="N304" s="2" t="s">
        <v>144</v>
      </c>
      <c r="O304" s="2" t="s">
        <v>1037</v>
      </c>
      <c r="P304" s="2" t="s">
        <v>64</v>
      </c>
      <c r="Q304" s="2" t="s">
        <v>41</v>
      </c>
      <c r="R304" s="2" t="n">
        <v>2</v>
      </c>
      <c r="S304" s="2" t="n">
        <v>2703.28</v>
      </c>
      <c r="T304" s="2" t="n">
        <v>0.25</v>
      </c>
      <c r="U304" s="2" t="str">
        <f aca="false">IF(ISBLANK(T304),"Yes","No")</f>
        <v>No</v>
      </c>
      <c r="V304" s="2" t="n">
        <f aca="false">IF(ISBLANK(T304),0,IF(ISNUMBER(T304),T304,VALUE(LEFT(T304,LEN(T304)-1))/100))</f>
        <v>0.25</v>
      </c>
      <c r="W304" s="2" t="str">
        <f aca="false">IF(AND(V304&gt;=0,V304&lt;=0.25),"Valid","Invalid")</f>
        <v>Valid</v>
      </c>
      <c r="X304" s="2" t="n">
        <v>4054.92</v>
      </c>
      <c r="Y304" s="2" t="n">
        <f aca="false">R304*S304*(1-V304)</f>
        <v>4054.92</v>
      </c>
      <c r="Z304" s="2" t="str">
        <f aca="false">IF(ABS(X304-Y304)&gt;1,"Mismatch","OK")</f>
        <v>OK</v>
      </c>
      <c r="AA304" s="2" t="n">
        <v>2424.83</v>
      </c>
      <c r="AB304" s="2" t="n">
        <v>1630.09</v>
      </c>
      <c r="AC304" s="2" t="n">
        <f aca="false">Y304-AA304</f>
        <v>1630.09</v>
      </c>
      <c r="AD304" s="2" t="str">
        <f aca="false">IF(ABS(AB304-AC304)&gt;1,"Mismatch","OK")</f>
        <v>OK</v>
      </c>
      <c r="AE304" s="4" t="n">
        <f aca="false">IF(Y304=0,0,AC304/Y304)</f>
        <v>0.402002998826117</v>
      </c>
      <c r="AF304" s="2" t="s">
        <v>52</v>
      </c>
      <c r="AG304" s="2" t="s">
        <v>53</v>
      </c>
      <c r="AH304" s="2" t="str">
        <f aca="false">IF(AND(AG304="Completed",AF304&lt;&gt;"Paid"),"Inconsistent","OK")</f>
        <v>OK</v>
      </c>
      <c r="AI304" s="2" t="n">
        <f aca="false">IF(OR(ISBLANK(B304),ISBLANK(C304)),"",C304-B304)</f>
        <v>8</v>
      </c>
      <c r="AJ304" s="2" t="str">
        <f aca="false">IF(AI304="","Unknown",IF(AI304&lt;0,"Invalid","OK"))</f>
        <v>OK</v>
      </c>
      <c r="AK304" s="2" t="str">
        <f aca="false">IF(ISBLANK(B304),"",TEXT(B304,"mmm"))</f>
        <v>Jun</v>
      </c>
      <c r="AL304" s="2" t="n">
        <f aca="false">IF(ISBLANK(B304),"",YEAR(B304))</f>
        <v>2025</v>
      </c>
      <c r="AM304" s="2" t="s">
        <v>41</v>
      </c>
      <c r="AN304" s="2" t="str">
        <f aca="false">IF(OR(W304="Invalid",AJ304="Invalid",AH304="Inconsistent",Z304="Mismatch",AD304="Mismatch",AM304="Yes",D304="Yes",E304="Yes"),"Invalid",IF(OR(J304="Yes",Q304="Yes",U304="Yes"),"Warning","Clean"))</f>
        <v>Clean</v>
      </c>
    </row>
    <row r="305" customFormat="false" ht="15" hidden="false" customHeight="false" outlineLevel="0" collapsed="false">
      <c r="A305" s="2" t="s">
        <v>1038</v>
      </c>
      <c r="B305" s="3" t="n">
        <v>45466</v>
      </c>
      <c r="C305" s="3" t="n">
        <v>45471</v>
      </c>
      <c r="D305" s="2" t="s">
        <v>41</v>
      </c>
      <c r="E305" s="2" t="s">
        <v>41</v>
      </c>
      <c r="F305" s="2" t="s">
        <v>1039</v>
      </c>
      <c r="G305" s="2" t="s">
        <v>182</v>
      </c>
      <c r="H305" s="2" t="s">
        <v>115</v>
      </c>
      <c r="I305" s="2" t="s">
        <v>83</v>
      </c>
      <c r="J305" s="2" t="s">
        <v>41</v>
      </c>
      <c r="K305" s="2" t="s">
        <v>200</v>
      </c>
      <c r="L305" s="2" t="s">
        <v>201</v>
      </c>
      <c r="M305" s="2" t="s">
        <v>61</v>
      </c>
      <c r="N305" s="2" t="s">
        <v>86</v>
      </c>
      <c r="O305" s="2" t="s">
        <v>1040</v>
      </c>
      <c r="P305" s="2" t="s">
        <v>79</v>
      </c>
      <c r="Q305" s="2" t="s">
        <v>41</v>
      </c>
      <c r="R305" s="2" t="n">
        <v>2</v>
      </c>
      <c r="S305" s="2" t="n">
        <v>1313.14</v>
      </c>
      <c r="T305" s="2" t="n">
        <v>0.1</v>
      </c>
      <c r="U305" s="2" t="str">
        <f aca="false">IF(ISBLANK(T305),"Yes","No")</f>
        <v>No</v>
      </c>
      <c r="V305" s="2" t="n">
        <f aca="false">IF(ISBLANK(T305),0,IF(ISNUMBER(T305),T305,VALUE(LEFT(T305,LEN(T305)-1))/100))</f>
        <v>0.1</v>
      </c>
      <c r="W305" s="2" t="str">
        <f aca="false">IF(AND(V305&gt;=0,V305&lt;=0.25),"Valid","Invalid")</f>
        <v>Valid</v>
      </c>
      <c r="X305" s="2" t="n">
        <v>2363.65</v>
      </c>
      <c r="Y305" s="2" t="n">
        <f aca="false">R305*S305*(1-V305)</f>
        <v>2363.652</v>
      </c>
      <c r="Z305" s="2" t="str">
        <f aca="false">IF(ABS(X305-Y305)&gt;1,"Mismatch","OK")</f>
        <v>OK</v>
      </c>
      <c r="AA305" s="2" t="n">
        <v>1876.1</v>
      </c>
      <c r="AB305" s="2" t="n">
        <v>487.55</v>
      </c>
      <c r="AC305" s="2" t="n">
        <f aca="false">Y305-AA305</f>
        <v>487.552</v>
      </c>
      <c r="AD305" s="2" t="str">
        <f aca="false">IF(ABS(AB305-AC305)&gt;1,"Mismatch","OK")</f>
        <v>OK</v>
      </c>
      <c r="AE305" s="4" t="n">
        <f aca="false">IF(Y305=0,0,AC305/Y305)</f>
        <v>0.206270635440412</v>
      </c>
      <c r="AF305" s="2" t="s">
        <v>131</v>
      </c>
      <c r="AG305" s="2" t="s">
        <v>123</v>
      </c>
      <c r="AH305" s="2" t="str">
        <f aca="false">IF(AND(AG305="Completed",AF305&lt;&gt;"Paid"),"Inconsistent","OK")</f>
        <v>OK</v>
      </c>
      <c r="AI305" s="2" t="n">
        <f aca="false">IF(OR(ISBLANK(B305),ISBLANK(C305)),"",C305-B305)</f>
        <v>5</v>
      </c>
      <c r="AJ305" s="2" t="str">
        <f aca="false">IF(AI305="","Unknown",IF(AI305&lt;0,"Invalid","OK"))</f>
        <v>OK</v>
      </c>
      <c r="AK305" s="2" t="str">
        <f aca="false">IF(ISBLANK(B305),"",TEXT(B305,"mmm"))</f>
        <v>Jun</v>
      </c>
      <c r="AL305" s="2" t="n">
        <f aca="false">IF(ISBLANK(B305),"",YEAR(B305))</f>
        <v>2024</v>
      </c>
      <c r="AM305" s="2" t="s">
        <v>41</v>
      </c>
      <c r="AN305" s="2" t="str">
        <f aca="false">IF(OR(W305="Invalid",AJ305="Invalid",AH305="Inconsistent",Z305="Mismatch",AD305="Mismatch",AM305="Yes",D305="Yes",E305="Yes"),"Invalid",IF(OR(J305="Yes",Q305="Yes",U305="Yes"),"Warning","Clean"))</f>
        <v>Clean</v>
      </c>
    </row>
    <row r="306" customFormat="false" ht="15" hidden="false" customHeight="false" outlineLevel="0" collapsed="false">
      <c r="A306" s="2" t="s">
        <v>1041</v>
      </c>
      <c r="B306" s="3" t="n">
        <v>45357</v>
      </c>
      <c r="C306" s="3" t="n">
        <v>45364</v>
      </c>
      <c r="D306" s="2" t="s">
        <v>41</v>
      </c>
      <c r="E306" s="2" t="s">
        <v>41</v>
      </c>
      <c r="F306" s="2" t="s">
        <v>1042</v>
      </c>
      <c r="G306" s="2" t="s">
        <v>43</v>
      </c>
      <c r="H306" s="2" t="s">
        <v>44</v>
      </c>
      <c r="I306" s="2" t="s">
        <v>45</v>
      </c>
      <c r="J306" s="2" t="s">
        <v>41</v>
      </c>
      <c r="K306" s="2" t="s">
        <v>142</v>
      </c>
      <c r="L306" s="2" t="s">
        <v>143</v>
      </c>
      <c r="M306" s="2" t="s">
        <v>61</v>
      </c>
      <c r="N306" s="2" t="s">
        <v>77</v>
      </c>
      <c r="O306" s="2" t="s">
        <v>1043</v>
      </c>
      <c r="P306" s="2" t="s">
        <v>79</v>
      </c>
      <c r="Q306" s="2" t="s">
        <v>41</v>
      </c>
      <c r="R306" s="2" t="n">
        <v>6</v>
      </c>
      <c r="S306" s="2" t="n">
        <v>2403.05</v>
      </c>
      <c r="T306" s="2" t="n">
        <v>0.1</v>
      </c>
      <c r="U306" s="2" t="str">
        <f aca="false">IF(ISBLANK(T306),"Yes","No")</f>
        <v>No</v>
      </c>
      <c r="V306" s="2" t="n">
        <f aca="false">IF(ISBLANK(T306),0,IF(ISNUMBER(T306),T306,VALUE(LEFT(T306,LEN(T306)-1))/100))</f>
        <v>0.1</v>
      </c>
      <c r="W306" s="2" t="str">
        <f aca="false">IF(AND(V306&gt;=0,V306&lt;=0.25),"Valid","Invalid")</f>
        <v>Valid</v>
      </c>
      <c r="X306" s="2" t="n">
        <v>12976.47</v>
      </c>
      <c r="Y306" s="2" t="n">
        <f aca="false">R306*S306*(1-V306)</f>
        <v>12976.47</v>
      </c>
      <c r="Z306" s="2" t="str">
        <f aca="false">IF(ABS(X306-Y306)&gt;1,"Mismatch","OK")</f>
        <v>OK</v>
      </c>
      <c r="AA306" s="2" t="n">
        <v>10019.98</v>
      </c>
      <c r="AB306" s="2" t="n">
        <v>2956.49</v>
      </c>
      <c r="AC306" s="2" t="n">
        <f aca="false">Y306-AA306</f>
        <v>2956.49</v>
      </c>
      <c r="AD306" s="2" t="str">
        <f aca="false">IF(ABS(AB306-AC306)&gt;1,"Mismatch","OK")</f>
        <v>OK</v>
      </c>
      <c r="AE306" s="4" t="n">
        <f aca="false">IF(Y306=0,0,AC306/Y306)</f>
        <v>0.227834688478454</v>
      </c>
      <c r="AF306" s="2" t="s">
        <v>52</v>
      </c>
      <c r="AG306" s="2" t="s">
        <v>53</v>
      </c>
      <c r="AH306" s="2" t="str">
        <f aca="false">IF(AND(AG306="Completed",AF306&lt;&gt;"Paid"),"Inconsistent","OK")</f>
        <v>OK</v>
      </c>
      <c r="AI306" s="2" t="n">
        <f aca="false">IF(OR(ISBLANK(B306),ISBLANK(C306)),"",C306-B306)</f>
        <v>7</v>
      </c>
      <c r="AJ306" s="2" t="str">
        <f aca="false">IF(AI306="","Unknown",IF(AI306&lt;0,"Invalid","OK"))</f>
        <v>OK</v>
      </c>
      <c r="AK306" s="2" t="str">
        <f aca="false">IF(ISBLANK(B306),"",TEXT(B306,"mmm"))</f>
        <v>Mar</v>
      </c>
      <c r="AL306" s="2" t="n">
        <f aca="false">IF(ISBLANK(B306),"",YEAR(B306))</f>
        <v>2024</v>
      </c>
      <c r="AM306" s="2" t="s">
        <v>41</v>
      </c>
      <c r="AN306" s="2" t="str">
        <f aca="false">IF(OR(W306="Invalid",AJ306="Invalid",AH306="Inconsistent",Z306="Mismatch",AD306="Mismatch",AM306="Yes",D306="Yes",E306="Yes"),"Invalid",IF(OR(J306="Yes",Q306="Yes",U306="Yes"),"Warning","Clean"))</f>
        <v>Clean</v>
      </c>
    </row>
    <row r="307" customFormat="false" ht="15" hidden="false" customHeight="false" outlineLevel="0" collapsed="false">
      <c r="A307" s="2" t="s">
        <v>1044</v>
      </c>
      <c r="B307" s="3" t="n">
        <v>45413</v>
      </c>
      <c r="C307" s="3" t="n">
        <v>45414</v>
      </c>
      <c r="D307" s="2" t="s">
        <v>41</v>
      </c>
      <c r="E307" s="2" t="s">
        <v>41</v>
      </c>
      <c r="F307" s="2" t="s">
        <v>1045</v>
      </c>
      <c r="G307" s="2" t="s">
        <v>82</v>
      </c>
      <c r="H307" s="2" t="s">
        <v>44</v>
      </c>
      <c r="I307" s="2" t="s">
        <v>58</v>
      </c>
      <c r="J307" s="2" t="s">
        <v>41</v>
      </c>
      <c r="K307" s="2" t="s">
        <v>186</v>
      </c>
      <c r="L307" s="2" t="s">
        <v>187</v>
      </c>
      <c r="M307" s="2" t="s">
        <v>61</v>
      </c>
      <c r="N307" s="2" t="s">
        <v>86</v>
      </c>
      <c r="O307" s="2" t="s">
        <v>1046</v>
      </c>
      <c r="P307" s="2" t="s">
        <v>70</v>
      </c>
      <c r="Q307" s="2" t="s">
        <v>41</v>
      </c>
      <c r="R307" s="2" t="n">
        <v>4</v>
      </c>
      <c r="S307" s="2" t="n">
        <v>4156.06</v>
      </c>
      <c r="T307" s="2" t="n">
        <v>0.55</v>
      </c>
      <c r="U307" s="2" t="str">
        <f aca="false">IF(ISBLANK(T307),"Yes","No")</f>
        <v>No</v>
      </c>
      <c r="V307" s="2" t="n">
        <f aca="false">IF(ISBLANK(T307),0,IF(ISNUMBER(T307),T307,VALUE(LEFT(T307,LEN(T307)-1))/100))</f>
        <v>0.55</v>
      </c>
      <c r="W307" s="2" t="str">
        <f aca="false">IF(AND(V307&gt;=0,V307&lt;=0.25),"Valid","Invalid")</f>
        <v>Invalid</v>
      </c>
      <c r="X307" s="2" t="n">
        <v>13299.39</v>
      </c>
      <c r="Y307" s="2" t="n">
        <f aca="false">R307*S307*(1-V307)</f>
        <v>7480.908</v>
      </c>
      <c r="Z307" s="2" t="str">
        <f aca="false">IF(ABS(X307-Y307)&gt;1,"Mismatch","OK")</f>
        <v>Mismatch</v>
      </c>
      <c r="AA307" s="2" t="n">
        <v>9851.91</v>
      </c>
      <c r="AB307" s="2" t="n">
        <v>3447.48</v>
      </c>
      <c r="AC307" s="2" t="n">
        <f aca="false">Y307-AA307</f>
        <v>-2371.002</v>
      </c>
      <c r="AD307" s="2" t="str">
        <f aca="false">IF(ABS(AB307-AC307)&gt;1,"Mismatch","OK")</f>
        <v>Mismatch</v>
      </c>
      <c r="AE307" s="4" t="n">
        <f aca="false">IF(Y307=0,0,AC307/Y307)</f>
        <v>-0.316940403491127</v>
      </c>
      <c r="AF307" s="2" t="s">
        <v>52</v>
      </c>
      <c r="AG307" s="2" t="s">
        <v>88</v>
      </c>
      <c r="AH307" s="2" t="str">
        <f aca="false">IF(AND(AG307="Completed",AF307&lt;&gt;"Paid"),"Inconsistent","OK")</f>
        <v>OK</v>
      </c>
      <c r="AI307" s="2" t="n">
        <f aca="false">IF(OR(ISBLANK(B307),ISBLANK(C307)),"",C307-B307)</f>
        <v>1</v>
      </c>
      <c r="AJ307" s="2" t="str">
        <f aca="false">IF(AI307="","Unknown",IF(AI307&lt;0,"Invalid","OK"))</f>
        <v>OK</v>
      </c>
      <c r="AK307" s="2" t="str">
        <f aca="false">IF(ISBLANK(B307),"",TEXT(B307,"mmm"))</f>
        <v>May</v>
      </c>
      <c r="AL307" s="2" t="n">
        <f aca="false">IF(ISBLANK(B307),"",YEAR(B307))</f>
        <v>2024</v>
      </c>
      <c r="AM307" s="2" t="s">
        <v>41</v>
      </c>
      <c r="AN307" s="2" t="str">
        <f aca="false">IF(OR(W307="Invalid",AJ307="Invalid",AH307="Inconsistent",Z307="Mismatch",AD307="Mismatch",AM307="Yes",D307="Yes",E307="Yes"),"Invalid",IF(OR(J307="Yes",Q307="Yes",U307="Yes"),"Warning","Clean"))</f>
        <v>Invalid</v>
      </c>
    </row>
    <row r="308" customFormat="false" ht="15" hidden="false" customHeight="false" outlineLevel="0" collapsed="false">
      <c r="A308" s="2" t="s">
        <v>1047</v>
      </c>
      <c r="B308" s="3" t="n">
        <v>45708</v>
      </c>
      <c r="C308" s="3" t="n">
        <v>45711</v>
      </c>
      <c r="D308" s="2" t="s">
        <v>41</v>
      </c>
      <c r="E308" s="2" t="s">
        <v>41</v>
      </c>
      <c r="F308" s="2" t="s">
        <v>1048</v>
      </c>
      <c r="G308" s="2" t="s">
        <v>148</v>
      </c>
      <c r="H308" s="2" t="s">
        <v>44</v>
      </c>
      <c r="I308" s="2" t="s">
        <v>45</v>
      </c>
      <c r="J308" s="2" t="s">
        <v>41</v>
      </c>
      <c r="K308" s="2" t="s">
        <v>46</v>
      </c>
      <c r="L308" s="2" t="s">
        <v>47</v>
      </c>
      <c r="M308" s="2" t="s">
        <v>94</v>
      </c>
      <c r="N308" s="2" t="s">
        <v>191</v>
      </c>
      <c r="O308" s="2" t="s">
        <v>1049</v>
      </c>
      <c r="P308" s="2" t="s">
        <v>51</v>
      </c>
      <c r="Q308" s="2" t="s">
        <v>41</v>
      </c>
      <c r="R308" s="2" t="n">
        <v>4</v>
      </c>
      <c r="S308" s="2" t="n">
        <v>3673.11</v>
      </c>
      <c r="T308" s="2" t="n">
        <v>0</v>
      </c>
      <c r="U308" s="2" t="str">
        <f aca="false">IF(ISBLANK(T308),"Yes","No")</f>
        <v>No</v>
      </c>
      <c r="V308" s="2" t="n">
        <f aca="false">IF(ISBLANK(T308),0,IF(ISNUMBER(T308),T308,VALUE(LEFT(T308,LEN(T308)-1))/100))</f>
        <v>0</v>
      </c>
      <c r="W308" s="2" t="str">
        <f aca="false">IF(AND(V308&gt;=0,V308&lt;=0.25),"Valid","Invalid")</f>
        <v>Valid</v>
      </c>
      <c r="X308" s="2" t="n">
        <v>14692.44</v>
      </c>
      <c r="Y308" s="2" t="n">
        <f aca="false">R308*S308*(1-V308)</f>
        <v>14692.44</v>
      </c>
      <c r="Z308" s="2" t="str">
        <f aca="false">IF(ABS(X308-Y308)&gt;1,"Mismatch","OK")</f>
        <v>OK</v>
      </c>
      <c r="AA308" s="2" t="n">
        <v>10082.19</v>
      </c>
      <c r="AB308" s="2" t="n">
        <v>4610.25</v>
      </c>
      <c r="AC308" s="2" t="n">
        <f aca="false">Y308-AA308</f>
        <v>4610.25</v>
      </c>
      <c r="AD308" s="2" t="str">
        <f aca="false">IF(ABS(AB308-AC308)&gt;1,"Mismatch","OK")</f>
        <v>OK</v>
      </c>
      <c r="AE308" s="4" t="n">
        <f aca="false">IF(Y308=0,0,AC308/Y308)</f>
        <v>0.313783823517401</v>
      </c>
      <c r="AF308" s="2" t="s">
        <v>52</v>
      </c>
      <c r="AG308" s="2" t="s">
        <v>53</v>
      </c>
      <c r="AH308" s="2" t="str">
        <f aca="false">IF(AND(AG308="Completed",AF308&lt;&gt;"Paid"),"Inconsistent","OK")</f>
        <v>OK</v>
      </c>
      <c r="AI308" s="2" t="n">
        <f aca="false">IF(OR(ISBLANK(B308),ISBLANK(C308)),"",C308-B308)</f>
        <v>3</v>
      </c>
      <c r="AJ308" s="2" t="str">
        <f aca="false">IF(AI308="","Unknown",IF(AI308&lt;0,"Invalid","OK"))</f>
        <v>OK</v>
      </c>
      <c r="AK308" s="2" t="str">
        <f aca="false">IF(ISBLANK(B308),"",TEXT(B308,"mmm"))</f>
        <v>Feb</v>
      </c>
      <c r="AL308" s="2" t="n">
        <f aca="false">IF(ISBLANK(B308),"",YEAR(B308))</f>
        <v>2025</v>
      </c>
      <c r="AM308" s="2" t="s">
        <v>41</v>
      </c>
      <c r="AN308" s="2" t="str">
        <f aca="false">IF(OR(W308="Invalid",AJ308="Invalid",AH308="Inconsistent",Z308="Mismatch",AD308="Mismatch",AM308="Yes",D308="Yes",E308="Yes"),"Invalid",IF(OR(J308="Yes",Q308="Yes",U308="Yes"),"Warning","Clean"))</f>
        <v>Clean</v>
      </c>
    </row>
    <row r="309" customFormat="false" ht="15" hidden="false" customHeight="false" outlineLevel="0" collapsed="false">
      <c r="A309" s="2" t="s">
        <v>1050</v>
      </c>
      <c r="B309" s="3" t="n">
        <v>45850</v>
      </c>
      <c r="C309" s="3" t="n">
        <v>45857</v>
      </c>
      <c r="D309" s="2" t="s">
        <v>41</v>
      </c>
      <c r="E309" s="2" t="s">
        <v>41</v>
      </c>
      <c r="F309" s="2" t="s">
        <v>1051</v>
      </c>
      <c r="G309" s="2" t="s">
        <v>82</v>
      </c>
      <c r="H309" s="2" t="s">
        <v>110</v>
      </c>
      <c r="I309" s="2" t="s">
        <v>45</v>
      </c>
      <c r="J309" s="2" t="s">
        <v>41</v>
      </c>
      <c r="K309" s="2" t="s">
        <v>156</v>
      </c>
      <c r="L309" s="2" t="s">
        <v>157</v>
      </c>
      <c r="M309" s="2" t="s">
        <v>61</v>
      </c>
      <c r="N309" s="2" t="s">
        <v>62</v>
      </c>
      <c r="O309" s="2" t="s">
        <v>1052</v>
      </c>
      <c r="P309" s="2" t="s">
        <v>70</v>
      </c>
      <c r="Q309" s="2" t="s">
        <v>41</v>
      </c>
      <c r="R309" s="2" t="n">
        <v>9</v>
      </c>
      <c r="S309" s="2" t="n">
        <v>4093.04</v>
      </c>
      <c r="T309" s="2" t="n">
        <v>0.2</v>
      </c>
      <c r="U309" s="2" t="str">
        <f aca="false">IF(ISBLANK(T309),"Yes","No")</f>
        <v>No</v>
      </c>
      <c r="V309" s="2" t="n">
        <f aca="false">IF(ISBLANK(T309),0,IF(ISNUMBER(T309),T309,VALUE(LEFT(T309,LEN(T309)-1))/100))</f>
        <v>0.2</v>
      </c>
      <c r="W309" s="2" t="str">
        <f aca="false">IF(AND(V309&gt;=0,V309&lt;=0.25),"Valid","Invalid")</f>
        <v>Valid</v>
      </c>
      <c r="X309" s="2" t="n">
        <v>29469.89</v>
      </c>
      <c r="Y309" s="2" t="n">
        <f aca="false">R309*S309*(1-V309)</f>
        <v>29469.888</v>
      </c>
      <c r="Z309" s="2" t="str">
        <f aca="false">IF(ABS(X309-Y309)&gt;1,"Mismatch","OK")</f>
        <v>OK</v>
      </c>
      <c r="AA309" s="2" t="n">
        <v>18935.51</v>
      </c>
      <c r="AB309" s="2" t="n">
        <v>10534.38</v>
      </c>
      <c r="AC309" s="2" t="n">
        <f aca="false">Y309-AA309</f>
        <v>10534.378</v>
      </c>
      <c r="AD309" s="2" t="str">
        <f aca="false">IF(ABS(AB309-AC309)&gt;1,"Mismatch","OK")</f>
        <v>OK</v>
      </c>
      <c r="AE309" s="4" t="n">
        <f aca="false">IF(Y309=0,0,AC309/Y309)</f>
        <v>0.357462437590533</v>
      </c>
      <c r="AF309" s="2" t="s">
        <v>131</v>
      </c>
      <c r="AG309" s="2" t="s">
        <v>88</v>
      </c>
      <c r="AH309" s="2" t="str">
        <f aca="false">IF(AND(AG309="Completed",AF309&lt;&gt;"Paid"),"Inconsistent","OK")</f>
        <v>OK</v>
      </c>
      <c r="AI309" s="2" t="n">
        <f aca="false">IF(OR(ISBLANK(B309),ISBLANK(C309)),"",C309-B309)</f>
        <v>7</v>
      </c>
      <c r="AJ309" s="2" t="str">
        <f aca="false">IF(AI309="","Unknown",IF(AI309&lt;0,"Invalid","OK"))</f>
        <v>OK</v>
      </c>
      <c r="AK309" s="2" t="str">
        <f aca="false">IF(ISBLANK(B309),"",TEXT(B309,"mmm"))</f>
        <v>Jul</v>
      </c>
      <c r="AL309" s="2" t="n">
        <f aca="false">IF(ISBLANK(B309),"",YEAR(B309))</f>
        <v>2025</v>
      </c>
      <c r="AM309" s="2" t="s">
        <v>41</v>
      </c>
      <c r="AN309" s="2" t="str">
        <f aca="false">IF(OR(W309="Invalid",AJ309="Invalid",AH309="Inconsistent",Z309="Mismatch",AD309="Mismatch",AM309="Yes",D309="Yes",E309="Yes"),"Invalid",IF(OR(J309="Yes",Q309="Yes",U309="Yes"),"Warning","Clean"))</f>
        <v>Clean</v>
      </c>
    </row>
    <row r="310" customFormat="false" ht="15" hidden="false" customHeight="false" outlineLevel="0" collapsed="false">
      <c r="A310" s="2" t="s">
        <v>1053</v>
      </c>
      <c r="B310" s="3" t="n">
        <v>45821</v>
      </c>
      <c r="C310" s="3" t="n">
        <v>45827</v>
      </c>
      <c r="D310" s="2" t="s">
        <v>41</v>
      </c>
      <c r="E310" s="2" t="s">
        <v>41</v>
      </c>
      <c r="F310" s="2" t="s">
        <v>1054</v>
      </c>
      <c r="G310" s="2" t="s">
        <v>161</v>
      </c>
      <c r="H310" s="2" t="s">
        <v>44</v>
      </c>
      <c r="I310" s="2" t="s">
        <v>45</v>
      </c>
      <c r="J310" s="2" t="s">
        <v>41</v>
      </c>
      <c r="K310" s="2" t="s">
        <v>46</v>
      </c>
      <c r="L310" s="2" t="s">
        <v>47</v>
      </c>
      <c r="M310" s="2" t="s">
        <v>61</v>
      </c>
      <c r="N310" s="2" t="s">
        <v>62</v>
      </c>
      <c r="O310" s="2" t="s">
        <v>1055</v>
      </c>
      <c r="P310" s="2" t="s">
        <v>70</v>
      </c>
      <c r="Q310" s="2" t="s">
        <v>41</v>
      </c>
      <c r="R310" s="2" t="n">
        <v>4</v>
      </c>
      <c r="S310" s="2" t="n">
        <v>731.57</v>
      </c>
      <c r="T310" s="2" t="n">
        <v>0.2</v>
      </c>
      <c r="U310" s="2" t="str">
        <f aca="false">IF(ISBLANK(T310),"Yes","No")</f>
        <v>No</v>
      </c>
      <c r="V310" s="2" t="n">
        <f aca="false">IF(ISBLANK(T310),0,IF(ISNUMBER(T310),T310,VALUE(LEFT(T310,LEN(T310)-1))/100))</f>
        <v>0.2</v>
      </c>
      <c r="W310" s="2" t="str">
        <f aca="false">IF(AND(V310&gt;=0,V310&lt;=0.25),"Valid","Invalid")</f>
        <v>Valid</v>
      </c>
      <c r="X310" s="2" t="n">
        <v>2341.02</v>
      </c>
      <c r="Y310" s="2" t="n">
        <f aca="false">R310*S310*(1-V310)</f>
        <v>2341.024</v>
      </c>
      <c r="Z310" s="2" t="str">
        <f aca="false">IF(ABS(X310-Y310)&gt;1,"Mismatch","OK")</f>
        <v>OK</v>
      </c>
      <c r="AA310" s="2" t="n">
        <v>1565.49</v>
      </c>
      <c r="AB310" s="2" t="n">
        <v>775.53</v>
      </c>
      <c r="AC310" s="2" t="n">
        <f aca="false">Y310-AA310</f>
        <v>775.534</v>
      </c>
      <c r="AD310" s="2" t="str">
        <f aca="false">IF(ABS(AB310-AC310)&gt;1,"Mismatch","OK")</f>
        <v>OK</v>
      </c>
      <c r="AE310" s="4" t="n">
        <f aca="false">IF(Y310=0,0,AC310/Y310)</f>
        <v>0.331279816012138</v>
      </c>
      <c r="AF310" s="2" t="s">
        <v>52</v>
      </c>
      <c r="AG310" s="2" t="s">
        <v>53</v>
      </c>
      <c r="AH310" s="2" t="str">
        <f aca="false">IF(AND(AG310="Completed",AF310&lt;&gt;"Paid"),"Inconsistent","OK")</f>
        <v>OK</v>
      </c>
      <c r="AI310" s="2" t="n">
        <f aca="false">IF(OR(ISBLANK(B310),ISBLANK(C310)),"",C310-B310)</f>
        <v>6</v>
      </c>
      <c r="AJ310" s="2" t="str">
        <f aca="false">IF(AI310="","Unknown",IF(AI310&lt;0,"Invalid","OK"))</f>
        <v>OK</v>
      </c>
      <c r="AK310" s="2" t="str">
        <f aca="false">IF(ISBLANK(B310),"",TEXT(B310,"mmm"))</f>
        <v>Jun</v>
      </c>
      <c r="AL310" s="2" t="n">
        <f aca="false">IF(ISBLANK(B310),"",YEAR(B310))</f>
        <v>2025</v>
      </c>
      <c r="AM310" s="2" t="s">
        <v>41</v>
      </c>
      <c r="AN310" s="2" t="str">
        <f aca="false">IF(OR(W310="Invalid",AJ310="Invalid",AH310="Inconsistent",Z310="Mismatch",AD310="Mismatch",AM310="Yes",D310="Yes",E310="Yes"),"Invalid",IF(OR(J310="Yes",Q310="Yes",U310="Yes"),"Warning","Clean"))</f>
        <v>Clean</v>
      </c>
    </row>
    <row r="311" customFormat="false" ht="15" hidden="false" customHeight="false" outlineLevel="0" collapsed="false">
      <c r="A311" s="2" t="s">
        <v>1056</v>
      </c>
      <c r="B311" s="3" t="n">
        <v>45493</v>
      </c>
      <c r="C311" s="3" t="n">
        <v>45495</v>
      </c>
      <c r="D311" s="2" t="s">
        <v>41</v>
      </c>
      <c r="E311" s="2" t="s">
        <v>41</v>
      </c>
      <c r="F311" s="2" t="s">
        <v>1057</v>
      </c>
      <c r="G311" s="2" t="s">
        <v>82</v>
      </c>
      <c r="H311" s="2" t="s">
        <v>44</v>
      </c>
      <c r="I311" s="2" t="s">
        <v>74</v>
      </c>
      <c r="J311" s="2" t="s">
        <v>41</v>
      </c>
      <c r="K311" s="2" t="s">
        <v>269</v>
      </c>
      <c r="L311" s="2" t="s">
        <v>270</v>
      </c>
      <c r="M311" s="2" t="s">
        <v>61</v>
      </c>
      <c r="N311" s="2" t="s">
        <v>62</v>
      </c>
      <c r="O311" s="2" t="s">
        <v>1058</v>
      </c>
      <c r="P311" s="2" t="s">
        <v>70</v>
      </c>
      <c r="Q311" s="2" t="s">
        <v>41</v>
      </c>
      <c r="R311" s="2" t="n">
        <v>7</v>
      </c>
      <c r="S311" s="2" t="n">
        <v>2060.73</v>
      </c>
      <c r="T311" s="2" t="n">
        <v>0.1</v>
      </c>
      <c r="U311" s="2" t="str">
        <f aca="false">IF(ISBLANK(T311),"Yes","No")</f>
        <v>No</v>
      </c>
      <c r="V311" s="2" t="n">
        <f aca="false">IF(ISBLANK(T311),0,IF(ISNUMBER(T311),T311,VALUE(LEFT(T311,LEN(T311)-1))/100))</f>
        <v>0.1</v>
      </c>
      <c r="W311" s="2" t="str">
        <f aca="false">IF(AND(V311&gt;=0,V311&lt;=0.25),"Valid","Invalid")</f>
        <v>Valid</v>
      </c>
      <c r="X311" s="2" t="n">
        <v>12982.6</v>
      </c>
      <c r="Y311" s="2" t="n">
        <f aca="false">R311*S311*(1-V311)</f>
        <v>12982.599</v>
      </c>
      <c r="Z311" s="2" t="str">
        <f aca="false">IF(ABS(X311-Y311)&gt;1,"Mismatch","OK")</f>
        <v>OK</v>
      </c>
      <c r="AA311" s="2" t="n">
        <v>7246.36</v>
      </c>
      <c r="AB311" s="2" t="n">
        <v>5736.24</v>
      </c>
      <c r="AC311" s="2" t="n">
        <f aca="false">Y311-AA311</f>
        <v>5736.239</v>
      </c>
      <c r="AD311" s="2" t="str">
        <f aca="false">IF(ABS(AB311-AC311)&gt;1,"Mismatch","OK")</f>
        <v>OK</v>
      </c>
      <c r="AE311" s="4" t="n">
        <f aca="false">IF(Y311=0,0,AC311/Y311)</f>
        <v>0.441840574448922</v>
      </c>
      <c r="AF311" s="2" t="s">
        <v>52</v>
      </c>
      <c r="AG311" s="2" t="s">
        <v>88</v>
      </c>
      <c r="AH311" s="2" t="str">
        <f aca="false">IF(AND(AG311="Completed",AF311&lt;&gt;"Paid"),"Inconsistent","OK")</f>
        <v>OK</v>
      </c>
      <c r="AI311" s="2" t="n">
        <f aca="false">IF(OR(ISBLANK(B311),ISBLANK(C311)),"",C311-B311)</f>
        <v>2</v>
      </c>
      <c r="AJ311" s="2" t="str">
        <f aca="false">IF(AI311="","Unknown",IF(AI311&lt;0,"Invalid","OK"))</f>
        <v>OK</v>
      </c>
      <c r="AK311" s="2" t="str">
        <f aca="false">IF(ISBLANK(B311),"",TEXT(B311,"mmm"))</f>
        <v>Jul</v>
      </c>
      <c r="AL311" s="2" t="n">
        <f aca="false">IF(ISBLANK(B311),"",YEAR(B311))</f>
        <v>2024</v>
      </c>
      <c r="AM311" s="2" t="s">
        <v>41</v>
      </c>
      <c r="AN311" s="2" t="str">
        <f aca="false">IF(OR(W311="Invalid",AJ311="Invalid",AH311="Inconsistent",Z311="Mismatch",AD311="Mismatch",AM311="Yes",D311="Yes",E311="Yes"),"Invalid",IF(OR(J311="Yes",Q311="Yes",U311="Yes"),"Warning","Clean"))</f>
        <v>Clean</v>
      </c>
    </row>
    <row r="312" customFormat="false" ht="15" hidden="false" customHeight="false" outlineLevel="0" collapsed="false">
      <c r="A312" s="2" t="s">
        <v>1059</v>
      </c>
      <c r="B312" s="3" t="n">
        <v>45477</v>
      </c>
      <c r="C312" s="3" t="n">
        <v>45481</v>
      </c>
      <c r="D312" s="2" t="s">
        <v>41</v>
      </c>
      <c r="E312" s="2" t="s">
        <v>41</v>
      </c>
      <c r="F312" s="2" t="s">
        <v>1060</v>
      </c>
      <c r="G312" s="2" t="s">
        <v>161</v>
      </c>
      <c r="H312" s="2" t="s">
        <v>57</v>
      </c>
      <c r="I312" s="2" t="s">
        <v>74</v>
      </c>
      <c r="J312" s="2" t="s">
        <v>41</v>
      </c>
      <c r="K312" s="2" t="s">
        <v>269</v>
      </c>
      <c r="L312" s="2" t="s">
        <v>270</v>
      </c>
      <c r="M312" s="2" t="s">
        <v>94</v>
      </c>
      <c r="N312" s="2" t="s">
        <v>296</v>
      </c>
      <c r="O312" s="2" t="s">
        <v>1061</v>
      </c>
      <c r="P312" s="2" t="s">
        <v>70</v>
      </c>
      <c r="Q312" s="2" t="s">
        <v>41</v>
      </c>
      <c r="R312" s="2" t="n">
        <v>8</v>
      </c>
      <c r="S312" s="2" t="n">
        <v>2034.25</v>
      </c>
      <c r="T312" s="2" t="n">
        <v>0</v>
      </c>
      <c r="U312" s="2" t="str">
        <f aca="false">IF(ISBLANK(T312),"Yes","No")</f>
        <v>No</v>
      </c>
      <c r="V312" s="2" t="n">
        <f aca="false">IF(ISBLANK(T312),0,IF(ISNUMBER(T312),T312,VALUE(LEFT(T312,LEN(T312)-1))/100))</f>
        <v>0</v>
      </c>
      <c r="W312" s="2" t="str">
        <f aca="false">IF(AND(V312&gt;=0,V312&lt;=0.25),"Valid","Invalid")</f>
        <v>Valid</v>
      </c>
      <c r="X312" s="2" t="n">
        <v>16274</v>
      </c>
      <c r="Y312" s="2" t="n">
        <f aca="false">R312*S312*(1-V312)</f>
        <v>16274</v>
      </c>
      <c r="Z312" s="2" t="str">
        <f aca="false">IF(ABS(X312-Y312)&gt;1,"Mismatch","OK")</f>
        <v>OK</v>
      </c>
      <c r="AA312" s="2" t="n">
        <v>9424.25</v>
      </c>
      <c r="AB312" s="2" t="n">
        <v>6849.75</v>
      </c>
      <c r="AC312" s="2" t="n">
        <f aca="false">Y312-AA312</f>
        <v>6849.75</v>
      </c>
      <c r="AD312" s="2" t="str">
        <f aca="false">IF(ABS(AB312-AC312)&gt;1,"Mismatch","OK")</f>
        <v>OK</v>
      </c>
      <c r="AE312" s="4" t="n">
        <f aca="false">IF(Y312=0,0,AC312/Y312)</f>
        <v>0.420901437876367</v>
      </c>
      <c r="AF312" s="2" t="s">
        <v>52</v>
      </c>
      <c r="AG312" s="2" t="s">
        <v>53</v>
      </c>
      <c r="AH312" s="2" t="str">
        <f aca="false">IF(AND(AG312="Completed",AF312&lt;&gt;"Paid"),"Inconsistent","OK")</f>
        <v>OK</v>
      </c>
      <c r="AI312" s="2" t="n">
        <f aca="false">IF(OR(ISBLANK(B312),ISBLANK(C312)),"",C312-B312)</f>
        <v>4</v>
      </c>
      <c r="AJ312" s="2" t="str">
        <f aca="false">IF(AI312="","Unknown",IF(AI312&lt;0,"Invalid","OK"))</f>
        <v>OK</v>
      </c>
      <c r="AK312" s="2" t="str">
        <f aca="false">IF(ISBLANK(B312),"",TEXT(B312,"mmm"))</f>
        <v>Jul</v>
      </c>
      <c r="AL312" s="2" t="n">
        <f aca="false">IF(ISBLANK(B312),"",YEAR(B312))</f>
        <v>2024</v>
      </c>
      <c r="AM312" s="2" t="s">
        <v>41</v>
      </c>
      <c r="AN312" s="2" t="str">
        <f aca="false">IF(OR(W312="Invalid",AJ312="Invalid",AH312="Inconsistent",Z312="Mismatch",AD312="Mismatch",AM312="Yes",D312="Yes",E312="Yes"),"Invalid",IF(OR(J312="Yes",Q312="Yes",U312="Yes"),"Warning","Clean"))</f>
        <v>Clean</v>
      </c>
    </row>
    <row r="313" customFormat="false" ht="15" hidden="false" customHeight="false" outlineLevel="0" collapsed="false">
      <c r="A313" s="2" t="s">
        <v>1062</v>
      </c>
      <c r="B313" s="3" t="n">
        <v>45409</v>
      </c>
      <c r="C313" s="3" t="n">
        <v>45414</v>
      </c>
      <c r="D313" s="2" t="s">
        <v>41</v>
      </c>
      <c r="E313" s="2" t="s">
        <v>41</v>
      </c>
      <c r="F313" s="2" t="s">
        <v>1063</v>
      </c>
      <c r="G313" s="2" t="s">
        <v>56</v>
      </c>
      <c r="H313" s="2" t="s">
        <v>110</v>
      </c>
      <c r="I313" s="2" t="s">
        <v>74</v>
      </c>
      <c r="J313" s="2" t="s">
        <v>41</v>
      </c>
      <c r="K313" s="2" t="s">
        <v>195</v>
      </c>
      <c r="L313" s="2" t="s">
        <v>196</v>
      </c>
      <c r="M313" s="2" t="s">
        <v>48</v>
      </c>
      <c r="N313" s="2" t="s">
        <v>173</v>
      </c>
      <c r="O313" s="2" t="s">
        <v>1064</v>
      </c>
      <c r="P313" s="2" t="s">
        <v>51</v>
      </c>
      <c r="Q313" s="2" t="s">
        <v>41</v>
      </c>
      <c r="R313" s="2" t="n">
        <v>5</v>
      </c>
      <c r="S313" s="2" t="n">
        <v>554.04</v>
      </c>
      <c r="T313" s="2" t="n">
        <v>0.1</v>
      </c>
      <c r="U313" s="2" t="str">
        <f aca="false">IF(ISBLANK(T313),"Yes","No")</f>
        <v>No</v>
      </c>
      <c r="V313" s="2" t="n">
        <f aca="false">IF(ISBLANK(T313),0,IF(ISNUMBER(T313),T313,VALUE(LEFT(T313,LEN(T313)-1))/100))</f>
        <v>0.1</v>
      </c>
      <c r="W313" s="2" t="str">
        <f aca="false">IF(AND(V313&gt;=0,V313&lt;=0.25),"Valid","Invalid")</f>
        <v>Valid</v>
      </c>
      <c r="X313" s="2" t="n">
        <v>2493.18</v>
      </c>
      <c r="Y313" s="2" t="n">
        <f aca="false">R313*S313*(1-V313)</f>
        <v>2493.18</v>
      </c>
      <c r="Z313" s="2" t="str">
        <f aca="false">IF(ABS(X313-Y313)&gt;1,"Mismatch","OK")</f>
        <v>OK</v>
      </c>
      <c r="AA313" s="2" t="n">
        <v>1764</v>
      </c>
      <c r="AB313" s="2" t="n">
        <v>729.18</v>
      </c>
      <c r="AC313" s="2" t="n">
        <f aca="false">Y313-AA313</f>
        <v>729.18</v>
      </c>
      <c r="AD313" s="2" t="str">
        <f aca="false">IF(ABS(AB313-AC313)&gt;1,"Mismatch","OK")</f>
        <v>OK</v>
      </c>
      <c r="AE313" s="4" t="n">
        <f aca="false">IF(Y313=0,0,AC313/Y313)</f>
        <v>0.292469857772002</v>
      </c>
      <c r="AF313" s="2" t="s">
        <v>52</v>
      </c>
      <c r="AG313" s="2" t="s">
        <v>53</v>
      </c>
      <c r="AH313" s="2" t="str">
        <f aca="false">IF(AND(AG313="Completed",AF313&lt;&gt;"Paid"),"Inconsistent","OK")</f>
        <v>OK</v>
      </c>
      <c r="AI313" s="2" t="n">
        <f aca="false">IF(OR(ISBLANK(B313),ISBLANK(C313)),"",C313-B313)</f>
        <v>5</v>
      </c>
      <c r="AJ313" s="2" t="str">
        <f aca="false">IF(AI313="","Unknown",IF(AI313&lt;0,"Invalid","OK"))</f>
        <v>OK</v>
      </c>
      <c r="AK313" s="2" t="str">
        <f aca="false">IF(ISBLANK(B313),"",TEXT(B313,"mmm"))</f>
        <v>Apr</v>
      </c>
      <c r="AL313" s="2" t="n">
        <f aca="false">IF(ISBLANK(B313),"",YEAR(B313))</f>
        <v>2024</v>
      </c>
      <c r="AM313" s="2" t="s">
        <v>41</v>
      </c>
      <c r="AN313" s="2" t="str">
        <f aca="false">IF(OR(W313="Invalid",AJ313="Invalid",AH313="Inconsistent",Z313="Mismatch",AD313="Mismatch",AM313="Yes",D313="Yes",E313="Yes"),"Invalid",IF(OR(J313="Yes",Q313="Yes",U313="Yes"),"Warning","Clean"))</f>
        <v>Clean</v>
      </c>
    </row>
    <row r="314" customFormat="false" ht="15" hidden="false" customHeight="false" outlineLevel="0" collapsed="false">
      <c r="A314" s="2" t="s">
        <v>1065</v>
      </c>
      <c r="B314" s="3" t="n">
        <v>45504</v>
      </c>
      <c r="C314" s="3" t="n">
        <v>45508</v>
      </c>
      <c r="D314" s="2" t="s">
        <v>41</v>
      </c>
      <c r="E314" s="2" t="s">
        <v>41</v>
      </c>
      <c r="F314" s="2" t="s">
        <v>1066</v>
      </c>
      <c r="G314" s="2" t="s">
        <v>43</v>
      </c>
      <c r="H314" s="2" t="s">
        <v>57</v>
      </c>
      <c r="I314" s="2" t="s">
        <v>58</v>
      </c>
      <c r="J314" s="2" t="s">
        <v>41</v>
      </c>
      <c r="K314" s="2" t="s">
        <v>186</v>
      </c>
      <c r="L314" s="2" t="s">
        <v>187</v>
      </c>
      <c r="M314" s="2" t="s">
        <v>94</v>
      </c>
      <c r="N314" s="2" t="s">
        <v>191</v>
      </c>
      <c r="O314" s="2" t="s">
        <v>1067</v>
      </c>
      <c r="P314" s="2" t="s">
        <v>79</v>
      </c>
      <c r="Q314" s="2" t="s">
        <v>41</v>
      </c>
      <c r="R314" s="2" t="n">
        <v>8</v>
      </c>
      <c r="S314" s="2" t="n">
        <v>2614.74</v>
      </c>
      <c r="T314" s="2"/>
      <c r="U314" s="2" t="str">
        <f aca="false">IF(ISBLANK(T314),"Yes","No")</f>
        <v>Yes</v>
      </c>
      <c r="V314" s="2" t="n">
        <f aca="false">IF(ISBLANK(T314),0,IF(ISNUMBER(T314),T314,VALUE(LEFT(T314,LEN(T314)-1))/100))</f>
        <v>0</v>
      </c>
      <c r="W314" s="2" t="str">
        <f aca="false">IF(AND(V314&gt;=0,V314&lt;=0.25),"Valid","Invalid")</f>
        <v>Valid</v>
      </c>
      <c r="X314" s="2" t="n">
        <v>15688.44</v>
      </c>
      <c r="Y314" s="2" t="n">
        <f aca="false">R314*S314*(1-V314)</f>
        <v>20917.92</v>
      </c>
      <c r="Z314" s="2" t="str">
        <f aca="false">IF(ABS(X314-Y314)&gt;1,"Mismatch","OK")</f>
        <v>Mismatch</v>
      </c>
      <c r="AA314" s="2" t="n">
        <v>10047.33</v>
      </c>
      <c r="AB314" s="2" t="n">
        <v>5641.11</v>
      </c>
      <c r="AC314" s="2" t="n">
        <f aca="false">Y314-AA314</f>
        <v>10870.59</v>
      </c>
      <c r="AD314" s="2" t="str">
        <f aca="false">IF(ABS(AB314-AC314)&gt;1,"Mismatch","OK")</f>
        <v>Mismatch</v>
      </c>
      <c r="AE314" s="4" t="n">
        <f aca="false">IF(Y314=0,0,AC314/Y314)</f>
        <v>0.519678342779779</v>
      </c>
      <c r="AF314" s="2" t="s">
        <v>52</v>
      </c>
      <c r="AG314" s="2" t="s">
        <v>88</v>
      </c>
      <c r="AH314" s="2" t="str">
        <f aca="false">IF(AND(AG314="Completed",AF314&lt;&gt;"Paid"),"Inconsistent","OK")</f>
        <v>OK</v>
      </c>
      <c r="AI314" s="2" t="n">
        <f aca="false">IF(OR(ISBLANK(B314),ISBLANK(C314)),"",C314-B314)</f>
        <v>4</v>
      </c>
      <c r="AJ314" s="2" t="str">
        <f aca="false">IF(AI314="","Unknown",IF(AI314&lt;0,"Invalid","OK"))</f>
        <v>OK</v>
      </c>
      <c r="AK314" s="2" t="str">
        <f aca="false">IF(ISBLANK(B314),"",TEXT(B314,"mmm"))</f>
        <v>Jul</v>
      </c>
      <c r="AL314" s="2" t="n">
        <f aca="false">IF(ISBLANK(B314),"",YEAR(B314))</f>
        <v>2024</v>
      </c>
      <c r="AM314" s="2" t="s">
        <v>41</v>
      </c>
      <c r="AN314" s="2" t="str">
        <f aca="false">IF(OR(W314="Invalid",AJ314="Invalid",AH314="Inconsistent",Z314="Mismatch",AD314="Mismatch",AM314="Yes",D314="Yes",E314="Yes"),"Invalid",IF(OR(J314="Yes",Q314="Yes",U314="Yes"),"Warning","Clean"))</f>
        <v>Invalid</v>
      </c>
    </row>
    <row r="315" customFormat="false" ht="15" hidden="false" customHeight="false" outlineLevel="0" collapsed="false">
      <c r="A315" s="2" t="s">
        <v>1068</v>
      </c>
      <c r="B315" s="3" t="n">
        <v>45807</v>
      </c>
      <c r="C315" s="3" t="n">
        <v>45808</v>
      </c>
      <c r="D315" s="2" t="s">
        <v>41</v>
      </c>
      <c r="E315" s="2" t="s">
        <v>41</v>
      </c>
      <c r="F315" s="2" t="s">
        <v>1069</v>
      </c>
      <c r="G315" s="2" t="s">
        <v>138</v>
      </c>
      <c r="H315" s="2" t="s">
        <v>110</v>
      </c>
      <c r="I315" s="2" t="s">
        <v>45</v>
      </c>
      <c r="J315" s="2" t="s">
        <v>41</v>
      </c>
      <c r="K315" s="2" t="s">
        <v>156</v>
      </c>
      <c r="L315" s="2" t="s">
        <v>157</v>
      </c>
      <c r="M315" s="2" t="s">
        <v>94</v>
      </c>
      <c r="N315" s="2" t="s">
        <v>191</v>
      </c>
      <c r="O315" s="2" t="s">
        <v>1070</v>
      </c>
      <c r="P315" s="2" t="s">
        <v>70</v>
      </c>
      <c r="Q315" s="2" t="s">
        <v>41</v>
      </c>
      <c r="R315" s="2" t="n">
        <v>8</v>
      </c>
      <c r="S315" s="2" t="n">
        <v>2081.43</v>
      </c>
      <c r="T315" s="2" t="n">
        <v>0.25</v>
      </c>
      <c r="U315" s="2" t="str">
        <f aca="false">IF(ISBLANK(T315),"Yes","No")</f>
        <v>No</v>
      </c>
      <c r="V315" s="2" t="n">
        <f aca="false">IF(ISBLANK(T315),0,IF(ISNUMBER(T315),T315,VALUE(LEFT(T315,LEN(T315)-1))/100))</f>
        <v>0.25</v>
      </c>
      <c r="W315" s="2" t="str">
        <f aca="false">IF(AND(V315&gt;=0,V315&lt;=0.25),"Valid","Invalid")</f>
        <v>Valid</v>
      </c>
      <c r="X315" s="2" t="n">
        <v>12488.58</v>
      </c>
      <c r="Y315" s="2" t="n">
        <f aca="false">R315*S315*(1-V315)</f>
        <v>12488.58</v>
      </c>
      <c r="Z315" s="2" t="str">
        <f aca="false">IF(ABS(X315-Y315)&gt;1,"Mismatch","OK")</f>
        <v>OK</v>
      </c>
      <c r="AA315" s="2" t="n">
        <v>10717.4</v>
      </c>
      <c r="AB315" s="2" t="n">
        <v>1771.18</v>
      </c>
      <c r="AC315" s="2" t="n">
        <f aca="false">Y315-AA315</f>
        <v>1771.18</v>
      </c>
      <c r="AD315" s="2" t="str">
        <f aca="false">IF(ABS(AB315-AC315)&gt;1,"Mismatch","OK")</f>
        <v>OK</v>
      </c>
      <c r="AE315" s="4" t="n">
        <f aca="false">IF(Y315=0,0,AC315/Y315)</f>
        <v>0.141823970379338</v>
      </c>
      <c r="AF315" s="2" t="s">
        <v>122</v>
      </c>
      <c r="AG315" s="2" t="s">
        <v>88</v>
      </c>
      <c r="AH315" s="2" t="str">
        <f aca="false">IF(AND(AG315="Completed",AF315&lt;&gt;"Paid"),"Inconsistent","OK")</f>
        <v>OK</v>
      </c>
      <c r="AI315" s="2" t="n">
        <f aca="false">IF(OR(ISBLANK(B315),ISBLANK(C315)),"",C315-B315)</f>
        <v>1</v>
      </c>
      <c r="AJ315" s="2" t="str">
        <f aca="false">IF(AI315="","Unknown",IF(AI315&lt;0,"Invalid","OK"))</f>
        <v>OK</v>
      </c>
      <c r="AK315" s="2" t="str">
        <f aca="false">IF(ISBLANK(B315),"",TEXT(B315,"mmm"))</f>
        <v>May</v>
      </c>
      <c r="AL315" s="2" t="n">
        <f aca="false">IF(ISBLANK(B315),"",YEAR(B315))</f>
        <v>2025</v>
      </c>
      <c r="AM315" s="2" t="s">
        <v>41</v>
      </c>
      <c r="AN315" s="2" t="str">
        <f aca="false">IF(OR(W315="Invalid",AJ315="Invalid",AH315="Inconsistent",Z315="Mismatch",AD315="Mismatch",AM315="Yes",D315="Yes",E315="Yes"),"Invalid",IF(OR(J315="Yes",Q315="Yes",U315="Yes"),"Warning","Clean"))</f>
        <v>Clean</v>
      </c>
    </row>
    <row r="316" customFormat="false" ht="15" hidden="false" customHeight="false" outlineLevel="0" collapsed="false">
      <c r="A316" s="2" t="s">
        <v>1071</v>
      </c>
      <c r="B316" s="3" t="n">
        <v>45795</v>
      </c>
      <c r="C316" s="3" t="n">
        <v>45797</v>
      </c>
      <c r="D316" s="2" t="s">
        <v>41</v>
      </c>
      <c r="E316" s="2" t="s">
        <v>41</v>
      </c>
      <c r="F316" s="2" t="s">
        <v>1072</v>
      </c>
      <c r="G316" s="2" t="s">
        <v>67</v>
      </c>
      <c r="H316" s="2" t="s">
        <v>110</v>
      </c>
      <c r="I316" s="2" t="s">
        <v>83</v>
      </c>
      <c r="J316" s="2" t="s">
        <v>41</v>
      </c>
      <c r="K316" s="2" t="s">
        <v>92</v>
      </c>
      <c r="L316" s="2" t="s">
        <v>93</v>
      </c>
      <c r="M316" s="2" t="s">
        <v>48</v>
      </c>
      <c r="N316" s="2" t="s">
        <v>111</v>
      </c>
      <c r="O316" s="2" t="s">
        <v>1073</v>
      </c>
      <c r="P316" s="2" t="s">
        <v>79</v>
      </c>
      <c r="Q316" s="2" t="s">
        <v>41</v>
      </c>
      <c r="R316" s="2" t="n">
        <v>9</v>
      </c>
      <c r="S316" s="2" t="n">
        <v>847.76</v>
      </c>
      <c r="T316" s="2" t="n">
        <v>0.15</v>
      </c>
      <c r="U316" s="2" t="str">
        <f aca="false">IF(ISBLANK(T316),"Yes","No")</f>
        <v>No</v>
      </c>
      <c r="V316" s="2" t="n">
        <f aca="false">IF(ISBLANK(T316),0,IF(ISNUMBER(T316),T316,VALUE(LEFT(T316,LEN(T316)-1))/100))</f>
        <v>0.15</v>
      </c>
      <c r="W316" s="2" t="str">
        <f aca="false">IF(AND(V316&gt;=0,V316&lt;=0.25),"Valid","Invalid")</f>
        <v>Valid</v>
      </c>
      <c r="X316" s="2" t="n">
        <v>6485.36</v>
      </c>
      <c r="Y316" s="2" t="n">
        <f aca="false">R316*S316*(1-V316)</f>
        <v>6485.364</v>
      </c>
      <c r="Z316" s="2" t="str">
        <f aca="false">IF(ABS(X316-Y316)&gt;1,"Mismatch","OK")</f>
        <v>OK</v>
      </c>
      <c r="AA316" s="2" t="n">
        <v>5376.17</v>
      </c>
      <c r="AB316" s="2" t="n">
        <v>1109.19</v>
      </c>
      <c r="AC316" s="2" t="n">
        <f aca="false">Y316-AA316</f>
        <v>1109.194</v>
      </c>
      <c r="AD316" s="2" t="str">
        <f aca="false">IF(ABS(AB316-AC316)&gt;1,"Mismatch","OK")</f>
        <v>OK</v>
      </c>
      <c r="AE316" s="4" t="n">
        <f aca="false">IF(Y316=0,0,AC316/Y316)</f>
        <v>0.171030338466738</v>
      </c>
      <c r="AF316" s="2" t="s">
        <v>175</v>
      </c>
      <c r="AG316" s="2" t="s">
        <v>123</v>
      </c>
      <c r="AH316" s="2" t="str">
        <f aca="false">IF(AND(AG316="Completed",AF316&lt;&gt;"Paid"),"Inconsistent","OK")</f>
        <v>OK</v>
      </c>
      <c r="AI316" s="2" t="n">
        <f aca="false">IF(OR(ISBLANK(B316),ISBLANK(C316)),"",C316-B316)</f>
        <v>2</v>
      </c>
      <c r="AJ316" s="2" t="str">
        <f aca="false">IF(AI316="","Unknown",IF(AI316&lt;0,"Invalid","OK"))</f>
        <v>OK</v>
      </c>
      <c r="AK316" s="2" t="str">
        <f aca="false">IF(ISBLANK(B316),"",TEXT(B316,"mmm"))</f>
        <v>May</v>
      </c>
      <c r="AL316" s="2" t="n">
        <f aca="false">IF(ISBLANK(B316),"",YEAR(B316))</f>
        <v>2025</v>
      </c>
      <c r="AM316" s="2" t="s">
        <v>226</v>
      </c>
      <c r="AN316" s="2" t="str">
        <f aca="false">IF(OR(W316="Invalid",AJ316="Invalid",AH316="Inconsistent",Z316="Mismatch",AD316="Mismatch",AM316="Yes",D316="Yes",E316="Yes"),"Invalid",IF(OR(J316="Yes",Q316="Yes",U316="Yes"),"Warning","Clean"))</f>
        <v>Invalid</v>
      </c>
    </row>
    <row r="317" customFormat="false" ht="15" hidden="false" customHeight="false" outlineLevel="0" collapsed="false">
      <c r="A317" s="2" t="s">
        <v>1074</v>
      </c>
      <c r="B317" s="3" t="n">
        <v>45475</v>
      </c>
      <c r="C317" s="3" t="n">
        <v>45481</v>
      </c>
      <c r="D317" s="2" t="s">
        <v>41</v>
      </c>
      <c r="E317" s="2" t="s">
        <v>41</v>
      </c>
      <c r="F317" s="2" t="s">
        <v>1075</v>
      </c>
      <c r="G317" s="2" t="s">
        <v>161</v>
      </c>
      <c r="H317" s="2" t="s">
        <v>44</v>
      </c>
      <c r="I317" s="2" t="s">
        <v>45</v>
      </c>
      <c r="J317" s="2" t="s">
        <v>41</v>
      </c>
      <c r="K317" s="2" t="s">
        <v>372</v>
      </c>
      <c r="L317" s="2" t="s">
        <v>373</v>
      </c>
      <c r="M317" s="2" t="s">
        <v>48</v>
      </c>
      <c r="N317" s="2" t="s">
        <v>49</v>
      </c>
      <c r="O317" s="2" t="s">
        <v>1076</v>
      </c>
      <c r="P317" s="2" t="s">
        <v>79</v>
      </c>
      <c r="Q317" s="2" t="s">
        <v>41</v>
      </c>
      <c r="R317" s="2" t="n">
        <v>9</v>
      </c>
      <c r="S317" s="2" t="n">
        <v>3450.4</v>
      </c>
      <c r="T317" s="2" t="n">
        <v>0.05</v>
      </c>
      <c r="U317" s="2" t="str">
        <f aca="false">IF(ISBLANK(T317),"Yes","No")</f>
        <v>No</v>
      </c>
      <c r="V317" s="2" t="n">
        <f aca="false">IF(ISBLANK(T317),0,IF(ISNUMBER(T317),T317,VALUE(LEFT(T317,LEN(T317)-1))/100))</f>
        <v>0.05</v>
      </c>
      <c r="W317" s="2" t="str">
        <f aca="false">IF(AND(V317&gt;=0,V317&lt;=0.25),"Valid","Invalid")</f>
        <v>Valid</v>
      </c>
      <c r="X317" s="2" t="n">
        <v>29500.92</v>
      </c>
      <c r="Y317" s="2" t="n">
        <f aca="false">R317*S317*(1-V317)</f>
        <v>29500.92</v>
      </c>
      <c r="Z317" s="2" t="str">
        <f aca="false">IF(ABS(X317-Y317)&gt;1,"Mismatch","OK")</f>
        <v>OK</v>
      </c>
      <c r="AA317" s="2" t="n">
        <v>17989.68</v>
      </c>
      <c r="AB317" s="2" t="n">
        <v>11511.24</v>
      </c>
      <c r="AC317" s="2" t="n">
        <f aca="false">Y317-AA317</f>
        <v>11511.24</v>
      </c>
      <c r="AD317" s="2" t="str">
        <f aca="false">IF(ABS(AB317-AC317)&gt;1,"Mismatch","OK")</f>
        <v>OK</v>
      </c>
      <c r="AE317" s="4" t="n">
        <f aca="false">IF(Y317=0,0,AC317/Y317)</f>
        <v>0.390199356494645</v>
      </c>
      <c r="AF317" s="2" t="s">
        <v>131</v>
      </c>
      <c r="AG317" s="2" t="s">
        <v>123</v>
      </c>
      <c r="AH317" s="2" t="str">
        <f aca="false">IF(AND(AG317="Completed",AF317&lt;&gt;"Paid"),"Inconsistent","OK")</f>
        <v>OK</v>
      </c>
      <c r="AI317" s="2" t="n">
        <f aca="false">IF(OR(ISBLANK(B317),ISBLANK(C317)),"",C317-B317)</f>
        <v>6</v>
      </c>
      <c r="AJ317" s="2" t="str">
        <f aca="false">IF(AI317="","Unknown",IF(AI317&lt;0,"Invalid","OK"))</f>
        <v>OK</v>
      </c>
      <c r="AK317" s="2" t="str">
        <f aca="false">IF(ISBLANK(B317),"",TEXT(B317,"mmm"))</f>
        <v>Jul</v>
      </c>
      <c r="AL317" s="2" t="n">
        <f aca="false">IF(ISBLANK(B317),"",YEAR(B317))</f>
        <v>2024</v>
      </c>
      <c r="AM317" s="2" t="s">
        <v>41</v>
      </c>
      <c r="AN317" s="2" t="str">
        <f aca="false">IF(OR(W317="Invalid",AJ317="Invalid",AH317="Inconsistent",Z317="Mismatch",AD317="Mismatch",AM317="Yes",D317="Yes",E317="Yes"),"Invalid",IF(OR(J317="Yes",Q317="Yes",U317="Yes"),"Warning","Clean"))</f>
        <v>Clean</v>
      </c>
    </row>
    <row r="318" customFormat="false" ht="15" hidden="false" customHeight="false" outlineLevel="0" collapsed="false">
      <c r="A318" s="2" t="s">
        <v>1077</v>
      </c>
      <c r="B318" s="3" t="n">
        <v>45338</v>
      </c>
      <c r="C318" s="3" t="n">
        <v>45340</v>
      </c>
      <c r="D318" s="2" t="s">
        <v>41</v>
      </c>
      <c r="E318" s="2" t="s">
        <v>41</v>
      </c>
      <c r="F318" s="2" t="s">
        <v>1078</v>
      </c>
      <c r="G318" s="2" t="s">
        <v>43</v>
      </c>
      <c r="H318" s="2" t="s">
        <v>110</v>
      </c>
      <c r="I318" s="2" t="s">
        <v>45</v>
      </c>
      <c r="J318" s="2" t="s">
        <v>41</v>
      </c>
      <c r="K318" s="2" t="s">
        <v>142</v>
      </c>
      <c r="L318" s="2" t="s">
        <v>143</v>
      </c>
      <c r="M318" s="2" t="s">
        <v>48</v>
      </c>
      <c r="N318" s="2" t="s">
        <v>111</v>
      </c>
      <c r="O318" s="2" t="s">
        <v>1079</v>
      </c>
      <c r="P318" s="2" t="s">
        <v>79</v>
      </c>
      <c r="Q318" s="2" t="s">
        <v>41</v>
      </c>
      <c r="R318" s="2" t="n">
        <v>2</v>
      </c>
      <c r="S318" s="2" t="n">
        <v>1947.53</v>
      </c>
      <c r="T318" s="2" t="n">
        <v>0.2</v>
      </c>
      <c r="U318" s="2" t="str">
        <f aca="false">IF(ISBLANK(T318),"Yes","No")</f>
        <v>No</v>
      </c>
      <c r="V318" s="2" t="n">
        <f aca="false">IF(ISBLANK(T318),0,IF(ISNUMBER(T318),T318,VALUE(LEFT(T318,LEN(T318)-1))/100))</f>
        <v>0.2</v>
      </c>
      <c r="W318" s="2" t="str">
        <f aca="false">IF(AND(V318&gt;=0,V318&lt;=0.25),"Valid","Invalid")</f>
        <v>Valid</v>
      </c>
      <c r="X318" s="2" t="n">
        <v>3116.05</v>
      </c>
      <c r="Y318" s="2" t="n">
        <f aca="false">R318*S318*(1-V318)</f>
        <v>3116.048</v>
      </c>
      <c r="Z318" s="2" t="str">
        <f aca="false">IF(ABS(X318-Y318)&gt;1,"Mismatch","OK")</f>
        <v>OK</v>
      </c>
      <c r="AA318" s="2" t="n">
        <v>1956.63</v>
      </c>
      <c r="AB318" s="2" t="n">
        <v>1159.42</v>
      </c>
      <c r="AC318" s="2" t="n">
        <f aca="false">Y318-AA318</f>
        <v>1159.418</v>
      </c>
      <c r="AD318" s="2" t="str">
        <f aca="false">IF(ABS(AB318-AC318)&gt;1,"Mismatch","OK")</f>
        <v>OK</v>
      </c>
      <c r="AE318" s="4" t="n">
        <f aca="false">IF(Y318=0,0,AC318/Y318)</f>
        <v>0.372079634203324</v>
      </c>
      <c r="AF318" s="2" t="s">
        <v>52</v>
      </c>
      <c r="AG318" s="2" t="s">
        <v>88</v>
      </c>
      <c r="AH318" s="2" t="str">
        <f aca="false">IF(AND(AG318="Completed",AF318&lt;&gt;"Paid"),"Inconsistent","OK")</f>
        <v>OK</v>
      </c>
      <c r="AI318" s="2" t="n">
        <f aca="false">IF(OR(ISBLANK(B318),ISBLANK(C318)),"",C318-B318)</f>
        <v>2</v>
      </c>
      <c r="AJ318" s="2" t="str">
        <f aca="false">IF(AI318="","Unknown",IF(AI318&lt;0,"Invalid","OK"))</f>
        <v>OK</v>
      </c>
      <c r="AK318" s="2" t="str">
        <f aca="false">IF(ISBLANK(B318),"",TEXT(B318,"mmm"))</f>
        <v>Feb</v>
      </c>
      <c r="AL318" s="2" t="n">
        <f aca="false">IF(ISBLANK(B318),"",YEAR(B318))</f>
        <v>2024</v>
      </c>
      <c r="AM318" s="2" t="s">
        <v>41</v>
      </c>
      <c r="AN318" s="2" t="str">
        <f aca="false">IF(OR(W318="Invalid",AJ318="Invalid",AH318="Inconsistent",Z318="Mismatch",AD318="Mismatch",AM318="Yes",D318="Yes",E318="Yes"),"Invalid",IF(OR(J318="Yes",Q318="Yes",U318="Yes"),"Warning","Clean"))</f>
        <v>Clean</v>
      </c>
    </row>
    <row r="319" customFormat="false" ht="15" hidden="false" customHeight="false" outlineLevel="0" collapsed="false">
      <c r="A319" s="2" t="s">
        <v>1080</v>
      </c>
      <c r="B319" s="3" t="n">
        <v>45898</v>
      </c>
      <c r="C319" s="3" t="n">
        <v>45904</v>
      </c>
      <c r="D319" s="2" t="s">
        <v>41</v>
      </c>
      <c r="E319" s="2" t="s">
        <v>41</v>
      </c>
      <c r="F319" s="2" t="s">
        <v>1081</v>
      </c>
      <c r="G319" s="2" t="s">
        <v>99</v>
      </c>
      <c r="H319" s="2" t="s">
        <v>110</v>
      </c>
      <c r="I319" s="2" t="s">
        <v>74</v>
      </c>
      <c r="J319" s="2" t="s">
        <v>41</v>
      </c>
      <c r="K319" s="2" t="s">
        <v>205</v>
      </c>
      <c r="L319" s="2" t="s">
        <v>206</v>
      </c>
      <c r="M319" s="2" t="s">
        <v>61</v>
      </c>
      <c r="N319" s="2" t="s">
        <v>62</v>
      </c>
      <c r="O319" s="2" t="s">
        <v>1082</v>
      </c>
      <c r="P319" s="2" t="s">
        <v>70</v>
      </c>
      <c r="Q319" s="2" t="s">
        <v>41</v>
      </c>
      <c r="R319" s="2" t="n">
        <v>9</v>
      </c>
      <c r="S319" s="2" t="n">
        <v>2996.97</v>
      </c>
      <c r="T319" s="2" t="n">
        <v>0.15</v>
      </c>
      <c r="U319" s="2" t="str">
        <f aca="false">IF(ISBLANK(T319),"Yes","No")</f>
        <v>No</v>
      </c>
      <c r="V319" s="2" t="n">
        <f aca="false">IF(ISBLANK(T319),0,IF(ISNUMBER(T319),T319,VALUE(LEFT(T319,LEN(T319)-1))/100))</f>
        <v>0.15</v>
      </c>
      <c r="W319" s="2" t="str">
        <f aca="false">IF(AND(V319&gt;=0,V319&lt;=0.25),"Valid","Invalid")</f>
        <v>Valid</v>
      </c>
      <c r="X319" s="2" t="n">
        <v>22926.82</v>
      </c>
      <c r="Y319" s="2" t="n">
        <f aca="false">R319*S319*(1-V319)</f>
        <v>22926.8205</v>
      </c>
      <c r="Z319" s="2" t="str">
        <f aca="false">IF(ABS(X319-Y319)&gt;1,"Mismatch","OK")</f>
        <v>OK</v>
      </c>
      <c r="AA319" s="2" t="n">
        <v>14621.59</v>
      </c>
      <c r="AB319" s="2" t="n">
        <v>8305.23</v>
      </c>
      <c r="AC319" s="2" t="n">
        <f aca="false">Y319-AA319</f>
        <v>8305.2305</v>
      </c>
      <c r="AD319" s="2" t="str">
        <f aca="false">IF(ABS(AB319-AC319)&gt;1,"Mismatch","OK")</f>
        <v>OK</v>
      </c>
      <c r="AE319" s="4" t="n">
        <f aca="false">IF(Y319=0,0,AC319/Y319)</f>
        <v>0.362249553966718</v>
      </c>
      <c r="AF319" s="2" t="s">
        <v>52</v>
      </c>
      <c r="AG319" s="2" t="s">
        <v>53</v>
      </c>
      <c r="AH319" s="2" t="str">
        <f aca="false">IF(AND(AG319="Completed",AF319&lt;&gt;"Paid"),"Inconsistent","OK")</f>
        <v>OK</v>
      </c>
      <c r="AI319" s="2" t="n">
        <f aca="false">IF(OR(ISBLANK(B319),ISBLANK(C319)),"",C319-B319)</f>
        <v>6</v>
      </c>
      <c r="AJ319" s="2" t="str">
        <f aca="false">IF(AI319="","Unknown",IF(AI319&lt;0,"Invalid","OK"))</f>
        <v>OK</v>
      </c>
      <c r="AK319" s="2" t="str">
        <f aca="false">IF(ISBLANK(B319),"",TEXT(B319,"mmm"))</f>
        <v>Aug</v>
      </c>
      <c r="AL319" s="2" t="n">
        <f aca="false">IF(ISBLANK(B319),"",YEAR(B319))</f>
        <v>2025</v>
      </c>
      <c r="AM319" s="2" t="s">
        <v>41</v>
      </c>
      <c r="AN319" s="2" t="str">
        <f aca="false">IF(OR(W319="Invalid",AJ319="Invalid",AH319="Inconsistent",Z319="Mismatch",AD319="Mismatch",AM319="Yes",D319="Yes",E319="Yes"),"Invalid",IF(OR(J319="Yes",Q319="Yes",U319="Yes"),"Warning","Clean"))</f>
        <v>Clean</v>
      </c>
    </row>
    <row r="320" customFormat="false" ht="15" hidden="false" customHeight="false" outlineLevel="0" collapsed="false">
      <c r="A320" s="2" t="s">
        <v>1083</v>
      </c>
      <c r="B320" s="3" t="n">
        <v>45407</v>
      </c>
      <c r="C320" s="3" t="n">
        <v>45412</v>
      </c>
      <c r="D320" s="2" t="s">
        <v>41</v>
      </c>
      <c r="E320" s="2" t="s">
        <v>41</v>
      </c>
      <c r="F320" s="2" t="s">
        <v>1084</v>
      </c>
      <c r="G320" s="2" t="s">
        <v>56</v>
      </c>
      <c r="H320" s="2" t="s">
        <v>57</v>
      </c>
      <c r="I320" s="2" t="s">
        <v>74</v>
      </c>
      <c r="J320" s="2" t="s">
        <v>41</v>
      </c>
      <c r="K320" s="2" t="s">
        <v>195</v>
      </c>
      <c r="L320" s="2" t="s">
        <v>196</v>
      </c>
      <c r="M320" s="2" t="s">
        <v>94</v>
      </c>
      <c r="N320" s="2" t="s">
        <v>191</v>
      </c>
      <c r="O320" s="2" t="s">
        <v>1085</v>
      </c>
      <c r="P320" s="2" t="s">
        <v>79</v>
      </c>
      <c r="Q320" s="2" t="s">
        <v>41</v>
      </c>
      <c r="R320" s="2" t="n">
        <v>3</v>
      </c>
      <c r="S320" s="2" t="n">
        <v>4149.46</v>
      </c>
      <c r="T320" s="2" t="n">
        <v>0.1</v>
      </c>
      <c r="U320" s="2" t="str">
        <f aca="false">IF(ISBLANK(T320),"Yes","No")</f>
        <v>No</v>
      </c>
      <c r="V320" s="2" t="n">
        <f aca="false">IF(ISBLANK(T320),0,IF(ISNUMBER(T320),T320,VALUE(LEFT(T320,LEN(T320)-1))/100))</f>
        <v>0.1</v>
      </c>
      <c r="W320" s="2" t="str">
        <f aca="false">IF(AND(V320&gt;=0,V320&lt;=0.25),"Valid","Invalid")</f>
        <v>Valid</v>
      </c>
      <c r="X320" s="2" t="n">
        <v>11203.54</v>
      </c>
      <c r="Y320" s="2" t="n">
        <f aca="false">R320*S320*(1-V320)</f>
        <v>11203.542</v>
      </c>
      <c r="Z320" s="2" t="str">
        <f aca="false">IF(ABS(X320-Y320)&gt;1,"Mismatch","OK")</f>
        <v>OK</v>
      </c>
      <c r="AA320" s="2" t="n">
        <v>8452.93</v>
      </c>
      <c r="AB320" s="2" t="n">
        <v>2750.61</v>
      </c>
      <c r="AC320" s="2" t="n">
        <f aca="false">Y320-AA320</f>
        <v>2750.612</v>
      </c>
      <c r="AD320" s="2" t="str">
        <f aca="false">IF(ABS(AB320-AC320)&gt;1,"Mismatch","OK")</f>
        <v>OK</v>
      </c>
      <c r="AE320" s="4" t="n">
        <f aca="false">IF(Y320=0,0,AC320/Y320)</f>
        <v>0.245512713747135</v>
      </c>
      <c r="AF320" s="2" t="s">
        <v>52</v>
      </c>
      <c r="AG320" s="2" t="s">
        <v>53</v>
      </c>
      <c r="AH320" s="2" t="str">
        <f aca="false">IF(AND(AG320="Completed",AF320&lt;&gt;"Paid"),"Inconsistent","OK")</f>
        <v>OK</v>
      </c>
      <c r="AI320" s="2" t="n">
        <f aca="false">IF(OR(ISBLANK(B320),ISBLANK(C320)),"",C320-B320)</f>
        <v>5</v>
      </c>
      <c r="AJ320" s="2" t="str">
        <f aca="false">IF(AI320="","Unknown",IF(AI320&lt;0,"Invalid","OK"))</f>
        <v>OK</v>
      </c>
      <c r="AK320" s="2" t="str">
        <f aca="false">IF(ISBLANK(B320),"",TEXT(B320,"mmm"))</f>
        <v>Apr</v>
      </c>
      <c r="AL320" s="2" t="n">
        <f aca="false">IF(ISBLANK(B320),"",YEAR(B320))</f>
        <v>2024</v>
      </c>
      <c r="AM320" s="2" t="s">
        <v>41</v>
      </c>
      <c r="AN320" s="2" t="str">
        <f aca="false">IF(OR(W320="Invalid",AJ320="Invalid",AH320="Inconsistent",Z320="Mismatch",AD320="Mismatch",AM320="Yes",D320="Yes",E320="Yes"),"Invalid",IF(OR(J320="Yes",Q320="Yes",U320="Yes"),"Warning","Clean"))</f>
        <v>Clean</v>
      </c>
    </row>
    <row r="321" customFormat="false" ht="15" hidden="false" customHeight="false" outlineLevel="0" collapsed="false">
      <c r="A321" s="2" t="s">
        <v>1086</v>
      </c>
      <c r="B321" s="3" t="n">
        <v>45525</v>
      </c>
      <c r="C321" s="3" t="n">
        <v>45529</v>
      </c>
      <c r="D321" s="2" t="s">
        <v>41</v>
      </c>
      <c r="E321" s="2" t="s">
        <v>41</v>
      </c>
      <c r="F321" s="2" t="s">
        <v>1087</v>
      </c>
      <c r="G321" s="2" t="s">
        <v>182</v>
      </c>
      <c r="H321" s="2" t="s">
        <v>44</v>
      </c>
      <c r="I321" s="2" t="s">
        <v>83</v>
      </c>
      <c r="J321" s="2" t="s">
        <v>41</v>
      </c>
      <c r="K321" s="2" t="s">
        <v>200</v>
      </c>
      <c r="L321" s="2" t="s">
        <v>201</v>
      </c>
      <c r="M321" s="2" t="s">
        <v>48</v>
      </c>
      <c r="N321" s="2" t="s">
        <v>173</v>
      </c>
      <c r="O321" s="2" t="s">
        <v>1088</v>
      </c>
      <c r="P321" s="2" t="s">
        <v>70</v>
      </c>
      <c r="Q321" s="2" t="s">
        <v>41</v>
      </c>
      <c r="R321" s="2" t="n">
        <v>1</v>
      </c>
      <c r="S321" s="2" t="n">
        <v>270.28</v>
      </c>
      <c r="T321" s="2" t="n">
        <v>0</v>
      </c>
      <c r="U321" s="2" t="str">
        <f aca="false">IF(ISBLANK(T321),"Yes","No")</f>
        <v>No</v>
      </c>
      <c r="V321" s="2" t="n">
        <f aca="false">IF(ISBLANK(T321),0,IF(ISNUMBER(T321),T321,VALUE(LEFT(T321,LEN(T321)-1))/100))</f>
        <v>0</v>
      </c>
      <c r="W321" s="2" t="str">
        <f aca="false">IF(AND(V321&gt;=0,V321&lt;=0.25),"Valid","Invalid")</f>
        <v>Valid</v>
      </c>
      <c r="X321" s="2" t="n">
        <v>270.28</v>
      </c>
      <c r="Y321" s="2" t="n">
        <f aca="false">R321*S321*(1-V321)</f>
        <v>270.28</v>
      </c>
      <c r="Z321" s="2" t="str">
        <f aca="false">IF(ABS(X321-Y321)&gt;1,"Mismatch","OK")</f>
        <v>OK</v>
      </c>
      <c r="AA321" s="2" t="n">
        <v>156.34</v>
      </c>
      <c r="AB321" s="2" t="n">
        <v>113.94</v>
      </c>
      <c r="AC321" s="2" t="n">
        <f aca="false">Y321-AA321</f>
        <v>113.94</v>
      </c>
      <c r="AD321" s="2" t="str">
        <f aca="false">IF(ABS(AB321-AC321)&gt;1,"Mismatch","OK")</f>
        <v>OK</v>
      </c>
      <c r="AE321" s="4" t="n">
        <f aca="false">IF(Y321=0,0,AC321/Y321)</f>
        <v>0.421562823738345</v>
      </c>
      <c r="AF321" s="2" t="s">
        <v>52</v>
      </c>
      <c r="AG321" s="2" t="s">
        <v>53</v>
      </c>
      <c r="AH321" s="2" t="str">
        <f aca="false">IF(AND(AG321="Completed",AF321&lt;&gt;"Paid"),"Inconsistent","OK")</f>
        <v>OK</v>
      </c>
      <c r="AI321" s="2" t="n">
        <f aca="false">IF(OR(ISBLANK(B321),ISBLANK(C321)),"",C321-B321)</f>
        <v>4</v>
      </c>
      <c r="AJ321" s="2" t="str">
        <f aca="false">IF(AI321="","Unknown",IF(AI321&lt;0,"Invalid","OK"))</f>
        <v>OK</v>
      </c>
      <c r="AK321" s="2" t="str">
        <f aca="false">IF(ISBLANK(B321),"",TEXT(B321,"mmm"))</f>
        <v>Aug</v>
      </c>
      <c r="AL321" s="2" t="n">
        <f aca="false">IF(ISBLANK(B321),"",YEAR(B321))</f>
        <v>2024</v>
      </c>
      <c r="AM321" s="2" t="s">
        <v>41</v>
      </c>
      <c r="AN321" s="2" t="str">
        <f aca="false">IF(OR(W321="Invalid",AJ321="Invalid",AH321="Inconsistent",Z321="Mismatch",AD321="Mismatch",AM321="Yes",D321="Yes",E321="Yes"),"Invalid",IF(OR(J321="Yes",Q321="Yes",U321="Yes"),"Warning","Clean"))</f>
        <v>Clean</v>
      </c>
    </row>
    <row r="322" customFormat="false" ht="15" hidden="false" customHeight="false" outlineLevel="0" collapsed="false">
      <c r="A322" s="2" t="s">
        <v>1089</v>
      </c>
      <c r="B322" s="3" t="n">
        <v>45630</v>
      </c>
      <c r="C322" s="3" t="n">
        <v>45632</v>
      </c>
      <c r="D322" s="2" t="s">
        <v>41</v>
      </c>
      <c r="E322" s="2" t="s">
        <v>41</v>
      </c>
      <c r="F322" s="2" t="s">
        <v>1090</v>
      </c>
      <c r="G322" s="2" t="s">
        <v>148</v>
      </c>
      <c r="H322" s="2" t="s">
        <v>115</v>
      </c>
      <c r="I322" s="2" t="s">
        <v>58</v>
      </c>
      <c r="J322" s="2" t="s">
        <v>41</v>
      </c>
      <c r="K322" s="2" t="s">
        <v>119</v>
      </c>
      <c r="L322" s="2" t="s">
        <v>120</v>
      </c>
      <c r="M322" s="2" t="s">
        <v>48</v>
      </c>
      <c r="N322" s="2" t="s">
        <v>68</v>
      </c>
      <c r="O322" s="2" t="s">
        <v>1091</v>
      </c>
      <c r="P322" s="2" t="s">
        <v>51</v>
      </c>
      <c r="Q322" s="2" t="s">
        <v>41</v>
      </c>
      <c r="R322" s="2" t="n">
        <v>3</v>
      </c>
      <c r="S322" s="2" t="n">
        <v>876.14</v>
      </c>
      <c r="T322" s="2" t="s">
        <v>485</v>
      </c>
      <c r="U322" s="2" t="str">
        <f aca="false">IF(ISBLANK(T322),"Yes","No")</f>
        <v>No</v>
      </c>
      <c r="V322" s="2" t="n">
        <f aca="false">IF(ISBLANK(T322),0,IF(ISNUMBER(T322),T322,VALUE(LEFT(T322,LEN(T322)-1))/100))</f>
        <v>0.7</v>
      </c>
      <c r="W322" s="2" t="str">
        <f aca="false">IF(AND(V322&gt;=0,V322&lt;=0.25),"Valid","Invalid")</f>
        <v>Invalid</v>
      </c>
      <c r="X322" s="2" t="n">
        <v>2628.42</v>
      </c>
      <c r="Y322" s="2" t="n">
        <f aca="false">R322*S322*(1-V322)</f>
        <v>788.526</v>
      </c>
      <c r="Z322" s="2" t="str">
        <f aca="false">IF(ABS(X322-Y322)&gt;1,"Mismatch","OK")</f>
        <v>Mismatch</v>
      </c>
      <c r="AA322" s="2" t="n">
        <v>1541.54</v>
      </c>
      <c r="AB322" s="2" t="n">
        <v>1086.88</v>
      </c>
      <c r="AC322" s="2" t="n">
        <f aca="false">Y322-AA322</f>
        <v>-753.014</v>
      </c>
      <c r="AD322" s="2" t="str">
        <f aca="false">IF(ABS(AB322-AC322)&gt;1,"Mismatch","OK")</f>
        <v>Mismatch</v>
      </c>
      <c r="AE322" s="4" t="n">
        <f aca="false">IF(Y322=0,0,AC322/Y322)</f>
        <v>-0.954964072205608</v>
      </c>
      <c r="AF322" s="2" t="s">
        <v>131</v>
      </c>
      <c r="AG322" s="2" t="s">
        <v>123</v>
      </c>
      <c r="AH322" s="2" t="str">
        <f aca="false">IF(AND(AG322="Completed",AF322&lt;&gt;"Paid"),"Inconsistent","OK")</f>
        <v>OK</v>
      </c>
      <c r="AI322" s="2" t="n">
        <f aca="false">IF(OR(ISBLANK(B322),ISBLANK(C322)),"",C322-B322)</f>
        <v>2</v>
      </c>
      <c r="AJ322" s="2" t="str">
        <f aca="false">IF(AI322="","Unknown",IF(AI322&lt;0,"Invalid","OK"))</f>
        <v>OK</v>
      </c>
      <c r="AK322" s="2" t="str">
        <f aca="false">IF(ISBLANK(B322),"",TEXT(B322,"mmm"))</f>
        <v>Dec</v>
      </c>
      <c r="AL322" s="2" t="n">
        <f aca="false">IF(ISBLANK(B322),"",YEAR(B322))</f>
        <v>2024</v>
      </c>
      <c r="AM322" s="2" t="s">
        <v>41</v>
      </c>
      <c r="AN322" s="2" t="str">
        <f aca="false">IF(OR(W322="Invalid",AJ322="Invalid",AH322="Inconsistent",Z322="Mismatch",AD322="Mismatch",AM322="Yes",D322="Yes",E322="Yes"),"Invalid",IF(OR(J322="Yes",Q322="Yes",U322="Yes"),"Warning","Clean"))</f>
        <v>Invalid</v>
      </c>
    </row>
    <row r="323" customFormat="false" ht="15" hidden="false" customHeight="false" outlineLevel="0" collapsed="false">
      <c r="A323" s="2" t="s">
        <v>1092</v>
      </c>
      <c r="B323" s="3" t="n">
        <v>45466</v>
      </c>
      <c r="C323" s="3" t="n">
        <v>45473</v>
      </c>
      <c r="D323" s="2" t="s">
        <v>41</v>
      </c>
      <c r="E323" s="2" t="s">
        <v>41</v>
      </c>
      <c r="F323" s="2" t="s">
        <v>1093</v>
      </c>
      <c r="G323" s="2" t="s">
        <v>99</v>
      </c>
      <c r="H323" s="2" t="s">
        <v>57</v>
      </c>
      <c r="I323" s="2" t="s">
        <v>83</v>
      </c>
      <c r="J323" s="2" t="s">
        <v>41</v>
      </c>
      <c r="K323" s="2" t="s">
        <v>210</v>
      </c>
      <c r="L323" s="2" t="s">
        <v>211</v>
      </c>
      <c r="M323" s="2" t="s">
        <v>94</v>
      </c>
      <c r="N323" s="2" t="s">
        <v>95</v>
      </c>
      <c r="O323" s="2" t="s">
        <v>1094</v>
      </c>
      <c r="P323" s="2" t="s">
        <v>64</v>
      </c>
      <c r="Q323" s="2" t="s">
        <v>41</v>
      </c>
      <c r="R323" s="2" t="n">
        <v>4</v>
      </c>
      <c r="S323" s="2" t="n">
        <v>674.82</v>
      </c>
      <c r="T323" s="2" t="n">
        <v>0</v>
      </c>
      <c r="U323" s="2" t="str">
        <f aca="false">IF(ISBLANK(T323),"Yes","No")</f>
        <v>No</v>
      </c>
      <c r="V323" s="2" t="n">
        <f aca="false">IF(ISBLANK(T323),0,IF(ISNUMBER(T323),T323,VALUE(LEFT(T323,LEN(T323)-1))/100))</f>
        <v>0</v>
      </c>
      <c r="W323" s="2" t="str">
        <f aca="false">IF(AND(V323&gt;=0,V323&lt;=0.25),"Valid","Invalid")</f>
        <v>Valid</v>
      </c>
      <c r="X323" s="2" t="n">
        <v>2699.28</v>
      </c>
      <c r="Y323" s="2" t="n">
        <f aca="false">R323*S323*(1-V323)</f>
        <v>2699.28</v>
      </c>
      <c r="Z323" s="2" t="str">
        <f aca="false">IF(ABS(X323-Y323)&gt;1,"Mismatch","OK")</f>
        <v>OK</v>
      </c>
      <c r="AA323" s="2" t="n">
        <v>1759.76</v>
      </c>
      <c r="AB323" s="2" t="n">
        <v>939.52</v>
      </c>
      <c r="AC323" s="2" t="n">
        <f aca="false">Y323-AA323</f>
        <v>939.52</v>
      </c>
      <c r="AD323" s="2" t="str">
        <f aca="false">IF(ABS(AB323-AC323)&gt;1,"Mismatch","OK")</f>
        <v>OK</v>
      </c>
      <c r="AE323" s="4" t="n">
        <f aca="false">IF(Y323=0,0,AC323/Y323)</f>
        <v>0.348063187220296</v>
      </c>
      <c r="AF323" s="2" t="s">
        <v>175</v>
      </c>
      <c r="AG323" s="2" t="s">
        <v>88</v>
      </c>
      <c r="AH323" s="2" t="str">
        <f aca="false">IF(AND(AG323="Completed",AF323&lt;&gt;"Paid"),"Inconsistent","OK")</f>
        <v>OK</v>
      </c>
      <c r="AI323" s="2" t="n">
        <f aca="false">IF(OR(ISBLANK(B323),ISBLANK(C323)),"",C323-B323)</f>
        <v>7</v>
      </c>
      <c r="AJ323" s="2" t="str">
        <f aca="false">IF(AI323="","Unknown",IF(AI323&lt;0,"Invalid","OK"))</f>
        <v>OK</v>
      </c>
      <c r="AK323" s="2" t="str">
        <f aca="false">IF(ISBLANK(B323),"",TEXT(B323,"mmm"))</f>
        <v>Jun</v>
      </c>
      <c r="AL323" s="2" t="n">
        <f aca="false">IF(ISBLANK(B323),"",YEAR(B323))</f>
        <v>2024</v>
      </c>
      <c r="AM323" s="2" t="s">
        <v>41</v>
      </c>
      <c r="AN323" s="2" t="str">
        <f aca="false">IF(OR(W323="Invalid",AJ323="Invalid",AH323="Inconsistent",Z323="Mismatch",AD323="Mismatch",AM323="Yes",D323="Yes",E323="Yes"),"Invalid",IF(OR(J323="Yes",Q323="Yes",U323="Yes"),"Warning","Clean"))</f>
        <v>Clean</v>
      </c>
    </row>
    <row r="324" customFormat="false" ht="15" hidden="false" customHeight="false" outlineLevel="0" collapsed="false">
      <c r="A324" s="2" t="s">
        <v>1095</v>
      </c>
      <c r="B324" s="3" t="n">
        <v>45608</v>
      </c>
      <c r="C324" s="3" t="n">
        <v>45608</v>
      </c>
      <c r="D324" s="2" t="s">
        <v>41</v>
      </c>
      <c r="E324" s="2" t="s">
        <v>41</v>
      </c>
      <c r="F324" s="2" t="s">
        <v>1096</v>
      </c>
      <c r="G324" s="2" t="s">
        <v>67</v>
      </c>
      <c r="H324" s="2" t="s">
        <v>44</v>
      </c>
      <c r="I324" s="2" t="s">
        <v>45</v>
      </c>
      <c r="J324" s="2" t="s">
        <v>41</v>
      </c>
      <c r="K324" s="2" t="s">
        <v>156</v>
      </c>
      <c r="L324" s="2" t="s">
        <v>157</v>
      </c>
      <c r="M324" s="2" t="s">
        <v>94</v>
      </c>
      <c r="N324" s="2" t="s">
        <v>191</v>
      </c>
      <c r="O324" s="2" t="s">
        <v>1097</v>
      </c>
      <c r="P324" s="2" t="s">
        <v>51</v>
      </c>
      <c r="Q324" s="2" t="s">
        <v>41</v>
      </c>
      <c r="R324" s="2" t="n">
        <v>6</v>
      </c>
      <c r="S324" s="2" t="n">
        <v>1369.48</v>
      </c>
      <c r="T324" s="2" t="n">
        <v>0.15</v>
      </c>
      <c r="U324" s="2" t="str">
        <f aca="false">IF(ISBLANK(T324),"Yes","No")</f>
        <v>No</v>
      </c>
      <c r="V324" s="2" t="n">
        <f aca="false">IF(ISBLANK(T324),0,IF(ISNUMBER(T324),T324,VALUE(LEFT(T324,LEN(T324)-1))/100))</f>
        <v>0.15</v>
      </c>
      <c r="W324" s="2" t="str">
        <f aca="false">IF(AND(V324&gt;=0,V324&lt;=0.25),"Valid","Invalid")</f>
        <v>Valid</v>
      </c>
      <c r="X324" s="2" t="n">
        <v>6984.35</v>
      </c>
      <c r="Y324" s="2" t="n">
        <f aca="false">R324*S324*(1-V324)</f>
        <v>6984.348</v>
      </c>
      <c r="Z324" s="2" t="str">
        <f aca="false">IF(ABS(X324-Y324)&gt;1,"Mismatch","OK")</f>
        <v>OK</v>
      </c>
      <c r="AA324" s="2" t="n">
        <v>4023.63</v>
      </c>
      <c r="AB324" s="2" t="n">
        <v>2960.72</v>
      </c>
      <c r="AC324" s="2" t="n">
        <f aca="false">Y324-AA324</f>
        <v>2960.718</v>
      </c>
      <c r="AD324" s="2" t="str">
        <f aca="false">IF(ABS(AB324-AC324)&gt;1,"Mismatch","OK")</f>
        <v>OK</v>
      </c>
      <c r="AE324" s="4" t="n">
        <f aca="false">IF(Y324=0,0,AC324/Y324)</f>
        <v>0.423907571615847</v>
      </c>
      <c r="AF324" s="2" t="s">
        <v>52</v>
      </c>
      <c r="AG324" s="2" t="s">
        <v>53</v>
      </c>
      <c r="AH324" s="2" t="str">
        <f aca="false">IF(AND(AG324="Completed",AF324&lt;&gt;"Paid"),"Inconsistent","OK")</f>
        <v>OK</v>
      </c>
      <c r="AI324" s="2" t="n">
        <f aca="false">IF(OR(ISBLANK(B324),ISBLANK(C324)),"",C324-B324)</f>
        <v>0</v>
      </c>
      <c r="AJ324" s="2" t="str">
        <f aca="false">IF(AI324="","Unknown",IF(AI324&lt;0,"Invalid","OK"))</f>
        <v>OK</v>
      </c>
      <c r="AK324" s="2" t="str">
        <f aca="false">IF(ISBLANK(B324),"",TEXT(B324,"mmm"))</f>
        <v>Nov</v>
      </c>
      <c r="AL324" s="2" t="n">
        <f aca="false">IF(ISBLANK(B324),"",YEAR(B324))</f>
        <v>2024</v>
      </c>
      <c r="AM324" s="2" t="s">
        <v>41</v>
      </c>
      <c r="AN324" s="2" t="str">
        <f aca="false">IF(OR(W324="Invalid",AJ324="Invalid",AH324="Inconsistent",Z324="Mismatch",AD324="Mismatch",AM324="Yes",D324="Yes",E324="Yes"),"Invalid",IF(OR(J324="Yes",Q324="Yes",U324="Yes"),"Warning","Clean"))</f>
        <v>Clean</v>
      </c>
    </row>
    <row r="325" customFormat="false" ht="15" hidden="false" customHeight="false" outlineLevel="0" collapsed="false">
      <c r="A325" s="2" t="s">
        <v>1098</v>
      </c>
      <c r="B325" s="3" t="n">
        <v>45347</v>
      </c>
      <c r="C325" s="3" t="n">
        <v>45351</v>
      </c>
      <c r="D325" s="2" t="s">
        <v>41</v>
      </c>
      <c r="E325" s="2" t="s">
        <v>41</v>
      </c>
      <c r="F325" s="2" t="s">
        <v>1099</v>
      </c>
      <c r="G325" s="2" t="s">
        <v>67</v>
      </c>
      <c r="H325" s="2" t="s">
        <v>57</v>
      </c>
      <c r="I325" s="2" t="s">
        <v>83</v>
      </c>
      <c r="J325" s="2" t="s">
        <v>41</v>
      </c>
      <c r="K325" s="2" t="s">
        <v>210</v>
      </c>
      <c r="L325" s="2" t="s">
        <v>211</v>
      </c>
      <c r="M325" s="2" t="s">
        <v>61</v>
      </c>
      <c r="N325" s="2" t="s">
        <v>77</v>
      </c>
      <c r="O325" s="2" t="s">
        <v>170</v>
      </c>
      <c r="P325" s="2" t="s">
        <v>79</v>
      </c>
      <c r="Q325" s="2" t="s">
        <v>41</v>
      </c>
      <c r="R325" s="2" t="n">
        <v>9</v>
      </c>
      <c r="S325" s="2" t="n">
        <v>1331.46</v>
      </c>
      <c r="T325" s="2" t="n">
        <v>0.15</v>
      </c>
      <c r="U325" s="2" t="str">
        <f aca="false">IF(ISBLANK(T325),"Yes","No")</f>
        <v>No</v>
      </c>
      <c r="V325" s="2" t="n">
        <f aca="false">IF(ISBLANK(T325),0,IF(ISNUMBER(T325),T325,VALUE(LEFT(T325,LEN(T325)-1))/100))</f>
        <v>0.15</v>
      </c>
      <c r="W325" s="2" t="str">
        <f aca="false">IF(AND(V325&gt;=0,V325&lt;=0.25),"Valid","Invalid")</f>
        <v>Valid</v>
      </c>
      <c r="X325" s="2" t="n">
        <v>10185.67</v>
      </c>
      <c r="Y325" s="2" t="n">
        <f aca="false">R325*S325*(1-V325)</f>
        <v>10185.669</v>
      </c>
      <c r="Z325" s="2" t="str">
        <f aca="false">IF(ABS(X325-Y325)&gt;1,"Mismatch","OK")</f>
        <v>OK</v>
      </c>
      <c r="AA325" s="2" t="n">
        <v>6479.31</v>
      </c>
      <c r="AB325" s="2" t="n">
        <v>3706.36</v>
      </c>
      <c r="AC325" s="2" t="n">
        <f aca="false">Y325-AA325</f>
        <v>3706.359</v>
      </c>
      <c r="AD325" s="2" t="str">
        <f aca="false">IF(ABS(AB325-AC325)&gt;1,"Mismatch","OK")</f>
        <v>OK</v>
      </c>
      <c r="AE325" s="4" t="n">
        <f aca="false">IF(Y325=0,0,AC325/Y325)</f>
        <v>0.363879780503372</v>
      </c>
      <c r="AF325" s="2" t="s">
        <v>52</v>
      </c>
      <c r="AG325" s="2" t="s">
        <v>53</v>
      </c>
      <c r="AH325" s="2" t="str">
        <f aca="false">IF(AND(AG325="Completed",AF325&lt;&gt;"Paid"),"Inconsistent","OK")</f>
        <v>OK</v>
      </c>
      <c r="AI325" s="2" t="n">
        <f aca="false">IF(OR(ISBLANK(B325),ISBLANK(C325)),"",C325-B325)</f>
        <v>4</v>
      </c>
      <c r="AJ325" s="2" t="str">
        <f aca="false">IF(AI325="","Unknown",IF(AI325&lt;0,"Invalid","OK"))</f>
        <v>OK</v>
      </c>
      <c r="AK325" s="2" t="str">
        <f aca="false">IF(ISBLANK(B325),"",TEXT(B325,"mmm"))</f>
        <v>Feb</v>
      </c>
      <c r="AL325" s="2" t="n">
        <f aca="false">IF(ISBLANK(B325),"",YEAR(B325))</f>
        <v>2024</v>
      </c>
      <c r="AM325" s="2" t="s">
        <v>41</v>
      </c>
      <c r="AN325" s="2" t="str">
        <f aca="false">IF(OR(W325="Invalid",AJ325="Invalid",AH325="Inconsistent",Z325="Mismatch",AD325="Mismatch",AM325="Yes",D325="Yes",E325="Yes"),"Invalid",IF(OR(J325="Yes",Q325="Yes",U325="Yes"),"Warning","Clean"))</f>
        <v>Clean</v>
      </c>
    </row>
    <row r="326" customFormat="false" ht="15" hidden="false" customHeight="false" outlineLevel="0" collapsed="false">
      <c r="A326" s="2" t="s">
        <v>1100</v>
      </c>
      <c r="B326" s="3" t="n">
        <v>45869</v>
      </c>
      <c r="C326" s="3" t="n">
        <v>45871</v>
      </c>
      <c r="D326" s="2" t="s">
        <v>41</v>
      </c>
      <c r="E326" s="2" t="s">
        <v>41</v>
      </c>
      <c r="F326" s="2" t="s">
        <v>1101</v>
      </c>
      <c r="G326" s="2" t="s">
        <v>161</v>
      </c>
      <c r="H326" s="2" t="s">
        <v>115</v>
      </c>
      <c r="I326" s="2" t="s">
        <v>74</v>
      </c>
      <c r="J326" s="2" t="s">
        <v>41</v>
      </c>
      <c r="K326" s="2" t="s">
        <v>104</v>
      </c>
      <c r="L326" s="2" t="s">
        <v>105</v>
      </c>
      <c r="M326" s="2" t="s">
        <v>48</v>
      </c>
      <c r="N326" s="2" t="s">
        <v>111</v>
      </c>
      <c r="O326" s="2" t="s">
        <v>1102</v>
      </c>
      <c r="P326" s="2" t="s">
        <v>64</v>
      </c>
      <c r="Q326" s="2" t="s">
        <v>41</v>
      </c>
      <c r="R326" s="2" t="n">
        <v>1</v>
      </c>
      <c r="S326" s="2" t="n">
        <v>1947.88</v>
      </c>
      <c r="T326" s="2" t="n">
        <v>0.15</v>
      </c>
      <c r="U326" s="2" t="str">
        <f aca="false">IF(ISBLANK(T326),"Yes","No")</f>
        <v>No</v>
      </c>
      <c r="V326" s="2" t="n">
        <f aca="false">IF(ISBLANK(T326),0,IF(ISNUMBER(T326),T326,VALUE(LEFT(T326,LEN(T326)-1))/100))</f>
        <v>0.15</v>
      </c>
      <c r="W326" s="2" t="str">
        <f aca="false">IF(AND(V326&gt;=0,V326&lt;=0.25),"Valid","Invalid")</f>
        <v>Valid</v>
      </c>
      <c r="X326" s="2" t="n">
        <v>1655.7</v>
      </c>
      <c r="Y326" s="2" t="n">
        <f aca="false">R326*S326*(1-V326)</f>
        <v>1655.698</v>
      </c>
      <c r="Z326" s="2" t="str">
        <f aca="false">IF(ABS(X326-Y326)&gt;1,"Mismatch","OK")</f>
        <v>OK</v>
      </c>
      <c r="AA326" s="2" t="n">
        <v>1354.8</v>
      </c>
      <c r="AB326" s="2" t="n">
        <v>300.9</v>
      </c>
      <c r="AC326" s="2" t="n">
        <f aca="false">Y326-AA326</f>
        <v>300.898</v>
      </c>
      <c r="AD326" s="2" t="str">
        <f aca="false">IF(ABS(AB326-AC326)&gt;1,"Mismatch","OK")</f>
        <v>OK</v>
      </c>
      <c r="AE326" s="4" t="n">
        <f aca="false">IF(Y326=0,0,AC326/Y326)</f>
        <v>0.181734833284814</v>
      </c>
      <c r="AF326" s="2" t="s">
        <v>52</v>
      </c>
      <c r="AG326" s="2" t="s">
        <v>123</v>
      </c>
      <c r="AH326" s="2" t="str">
        <f aca="false">IF(AND(AG326="Completed",AF326&lt;&gt;"Paid"),"Inconsistent","OK")</f>
        <v>OK</v>
      </c>
      <c r="AI326" s="2" t="n">
        <f aca="false">IF(OR(ISBLANK(B326),ISBLANK(C326)),"",C326-B326)</f>
        <v>2</v>
      </c>
      <c r="AJ326" s="2" t="str">
        <f aca="false">IF(AI326="","Unknown",IF(AI326&lt;0,"Invalid","OK"))</f>
        <v>OK</v>
      </c>
      <c r="AK326" s="2" t="str">
        <f aca="false">IF(ISBLANK(B326),"",TEXT(B326,"mmm"))</f>
        <v>Jul</v>
      </c>
      <c r="AL326" s="2" t="n">
        <f aca="false">IF(ISBLANK(B326),"",YEAR(B326))</f>
        <v>2025</v>
      </c>
      <c r="AM326" s="2" t="s">
        <v>41</v>
      </c>
      <c r="AN326" s="2" t="str">
        <f aca="false">IF(OR(W326="Invalid",AJ326="Invalid",AH326="Inconsistent",Z326="Mismatch",AD326="Mismatch",AM326="Yes",D326="Yes",E326="Yes"),"Invalid",IF(OR(J326="Yes",Q326="Yes",U326="Yes"),"Warning","Clean"))</f>
        <v>Clean</v>
      </c>
    </row>
    <row r="327" customFormat="false" ht="15" hidden="false" customHeight="false" outlineLevel="0" collapsed="false">
      <c r="A327" s="2" t="s">
        <v>1103</v>
      </c>
      <c r="B327" s="3" t="n">
        <v>45916</v>
      </c>
      <c r="C327" s="3" t="n">
        <v>45922</v>
      </c>
      <c r="D327" s="2" t="s">
        <v>41</v>
      </c>
      <c r="E327" s="2" t="s">
        <v>41</v>
      </c>
      <c r="F327" s="2" t="s">
        <v>1104</v>
      </c>
      <c r="G327" s="2" t="s">
        <v>152</v>
      </c>
      <c r="H327" s="2" t="s">
        <v>115</v>
      </c>
      <c r="I327" s="2" t="s">
        <v>58</v>
      </c>
      <c r="J327" s="2" t="s">
        <v>41</v>
      </c>
      <c r="K327" s="2" t="s">
        <v>119</v>
      </c>
      <c r="L327" s="2" t="s">
        <v>120</v>
      </c>
      <c r="M327" s="2" t="s">
        <v>94</v>
      </c>
      <c r="N327" s="2" t="s">
        <v>100</v>
      </c>
      <c r="O327" s="2" t="s">
        <v>1105</v>
      </c>
      <c r="P327" s="2" t="s">
        <v>51</v>
      </c>
      <c r="Q327" s="2" t="s">
        <v>41</v>
      </c>
      <c r="R327" s="2" t="n">
        <v>5</v>
      </c>
      <c r="S327" s="2" t="n">
        <v>3671.2</v>
      </c>
      <c r="T327" s="2" t="n">
        <v>0.15</v>
      </c>
      <c r="U327" s="2" t="str">
        <f aca="false">IF(ISBLANK(T327),"Yes","No")</f>
        <v>No</v>
      </c>
      <c r="V327" s="2" t="n">
        <f aca="false">IF(ISBLANK(T327),0,IF(ISNUMBER(T327),T327,VALUE(LEFT(T327,LEN(T327)-1))/100))</f>
        <v>0.15</v>
      </c>
      <c r="W327" s="2" t="str">
        <f aca="false">IF(AND(V327&gt;=0,V327&lt;=0.25),"Valid","Invalid")</f>
        <v>Valid</v>
      </c>
      <c r="X327" s="2" t="n">
        <v>15602.6</v>
      </c>
      <c r="Y327" s="2" t="n">
        <f aca="false">R327*S327*(1-V327)</f>
        <v>15602.6</v>
      </c>
      <c r="Z327" s="2" t="str">
        <f aca="false">IF(ABS(X327-Y327)&gt;1,"Mismatch","OK")</f>
        <v>OK</v>
      </c>
      <c r="AA327" s="2" t="n">
        <v>11908.52</v>
      </c>
      <c r="AB327" s="2" t="n">
        <v>3694.08</v>
      </c>
      <c r="AC327" s="2" t="n">
        <f aca="false">Y327-AA327</f>
        <v>3694.08</v>
      </c>
      <c r="AD327" s="2" t="str">
        <f aca="false">IF(ABS(AB327-AC327)&gt;1,"Mismatch","OK")</f>
        <v>OK</v>
      </c>
      <c r="AE327" s="4" t="n">
        <f aca="false">IF(Y327=0,0,AC327/Y327)</f>
        <v>0.236760539910015</v>
      </c>
      <c r="AF327" s="2" t="s">
        <v>52</v>
      </c>
      <c r="AG327" s="2" t="s">
        <v>53</v>
      </c>
      <c r="AH327" s="2" t="str">
        <f aca="false">IF(AND(AG327="Completed",AF327&lt;&gt;"Paid"),"Inconsistent","OK")</f>
        <v>OK</v>
      </c>
      <c r="AI327" s="2" t="n">
        <f aca="false">IF(OR(ISBLANK(B327),ISBLANK(C327)),"",C327-B327)</f>
        <v>6</v>
      </c>
      <c r="AJ327" s="2" t="str">
        <f aca="false">IF(AI327="","Unknown",IF(AI327&lt;0,"Invalid","OK"))</f>
        <v>OK</v>
      </c>
      <c r="AK327" s="2" t="str">
        <f aca="false">IF(ISBLANK(B327),"",TEXT(B327,"mmm"))</f>
        <v>Sep</v>
      </c>
      <c r="AL327" s="2" t="n">
        <f aca="false">IF(ISBLANK(B327),"",YEAR(B327))</f>
        <v>2025</v>
      </c>
      <c r="AM327" s="2" t="s">
        <v>41</v>
      </c>
      <c r="AN327" s="2" t="str">
        <f aca="false">IF(OR(W327="Invalid",AJ327="Invalid",AH327="Inconsistent",Z327="Mismatch",AD327="Mismatch",AM327="Yes",D327="Yes",E327="Yes"),"Invalid",IF(OR(J327="Yes",Q327="Yes",U327="Yes"),"Warning","Clean"))</f>
        <v>Clean</v>
      </c>
    </row>
    <row r="328" customFormat="false" ht="15" hidden="false" customHeight="false" outlineLevel="0" collapsed="false">
      <c r="A328" s="2" t="s">
        <v>1106</v>
      </c>
      <c r="B328" s="3" t="n">
        <v>45860</v>
      </c>
      <c r="C328" s="3" t="n">
        <v>45860</v>
      </c>
      <c r="D328" s="2" t="s">
        <v>41</v>
      </c>
      <c r="E328" s="2" t="s">
        <v>41</v>
      </c>
      <c r="F328" s="2" t="s">
        <v>1107</v>
      </c>
      <c r="G328" s="2" t="s">
        <v>152</v>
      </c>
      <c r="H328" s="2" t="s">
        <v>110</v>
      </c>
      <c r="I328" s="2" t="s">
        <v>58</v>
      </c>
      <c r="J328" s="2" t="s">
        <v>41</v>
      </c>
      <c r="K328" s="2" t="s">
        <v>250</v>
      </c>
      <c r="L328" s="2" t="s">
        <v>251</v>
      </c>
      <c r="M328" s="2" t="s">
        <v>61</v>
      </c>
      <c r="N328" s="2" t="s">
        <v>77</v>
      </c>
      <c r="O328" s="2" t="s">
        <v>1108</v>
      </c>
      <c r="P328" s="2" t="s">
        <v>64</v>
      </c>
      <c r="Q328" s="2" t="s">
        <v>41</v>
      </c>
      <c r="R328" s="2" t="n">
        <v>5</v>
      </c>
      <c r="S328" s="2" t="n">
        <v>3187.05</v>
      </c>
      <c r="T328" s="2" t="n">
        <v>0.05</v>
      </c>
      <c r="U328" s="2" t="str">
        <f aca="false">IF(ISBLANK(T328),"Yes","No")</f>
        <v>No</v>
      </c>
      <c r="V328" s="2" t="n">
        <f aca="false">IF(ISBLANK(T328),0,IF(ISNUMBER(T328),T328,VALUE(LEFT(T328,LEN(T328)-1))/100))</f>
        <v>0.05</v>
      </c>
      <c r="W328" s="2" t="str">
        <f aca="false">IF(AND(V328&gt;=0,V328&lt;=0.25),"Valid","Invalid")</f>
        <v>Valid</v>
      </c>
      <c r="X328" s="2" t="n">
        <v>15138.49</v>
      </c>
      <c r="Y328" s="2" t="n">
        <f aca="false">R328*S328*(1-V328)</f>
        <v>15138.4875</v>
      </c>
      <c r="Z328" s="2" t="str">
        <f aca="false">IF(ABS(X328-Y328)&gt;1,"Mismatch","OK")</f>
        <v>OK</v>
      </c>
      <c r="AA328" s="2" t="n">
        <v>11235.72</v>
      </c>
      <c r="AB328" s="2" t="n">
        <v>3902.77</v>
      </c>
      <c r="AC328" s="2" t="n">
        <f aca="false">Y328-AA328</f>
        <v>3902.7675</v>
      </c>
      <c r="AD328" s="2" t="str">
        <f aca="false">IF(ABS(AB328-AC328)&gt;1,"Mismatch","OK")</f>
        <v>OK</v>
      </c>
      <c r="AE328" s="4" t="n">
        <f aca="false">IF(Y328=0,0,AC328/Y328)</f>
        <v>0.25780432160082</v>
      </c>
      <c r="AF328" s="2" t="s">
        <v>52</v>
      </c>
      <c r="AG328" s="2" t="s">
        <v>53</v>
      </c>
      <c r="AH328" s="2" t="str">
        <f aca="false">IF(AND(AG328="Completed",AF328&lt;&gt;"Paid"),"Inconsistent","OK")</f>
        <v>OK</v>
      </c>
      <c r="AI328" s="2" t="n">
        <f aca="false">IF(OR(ISBLANK(B328),ISBLANK(C328)),"",C328-B328)</f>
        <v>0</v>
      </c>
      <c r="AJ328" s="2" t="str">
        <f aca="false">IF(AI328="","Unknown",IF(AI328&lt;0,"Invalid","OK"))</f>
        <v>OK</v>
      </c>
      <c r="AK328" s="2" t="str">
        <f aca="false">IF(ISBLANK(B328),"",TEXT(B328,"mmm"))</f>
        <v>Jul</v>
      </c>
      <c r="AL328" s="2" t="n">
        <f aca="false">IF(ISBLANK(B328),"",YEAR(B328))</f>
        <v>2025</v>
      </c>
      <c r="AM328" s="2" t="s">
        <v>41</v>
      </c>
      <c r="AN328" s="2" t="str">
        <f aca="false">IF(OR(W328="Invalid",AJ328="Invalid",AH328="Inconsistent",Z328="Mismatch",AD328="Mismatch",AM328="Yes",D328="Yes",E328="Yes"),"Invalid",IF(OR(J328="Yes",Q328="Yes",U328="Yes"),"Warning","Clean"))</f>
        <v>Clean</v>
      </c>
    </row>
    <row r="329" customFormat="false" ht="15" hidden="false" customHeight="false" outlineLevel="0" collapsed="false">
      <c r="A329" s="2" t="s">
        <v>1109</v>
      </c>
      <c r="B329" s="3" t="n">
        <v>45497</v>
      </c>
      <c r="C329" s="3" t="n">
        <v>45500</v>
      </c>
      <c r="D329" s="2" t="s">
        <v>41</v>
      </c>
      <c r="E329" s="2" t="s">
        <v>41</v>
      </c>
      <c r="F329" s="2" t="s">
        <v>1110</v>
      </c>
      <c r="G329" s="2" t="s">
        <v>67</v>
      </c>
      <c r="H329" s="2" t="s">
        <v>44</v>
      </c>
      <c r="I329" s="2" t="s">
        <v>83</v>
      </c>
      <c r="J329" s="2" t="s">
        <v>41</v>
      </c>
      <c r="K329" s="2" t="s">
        <v>46</v>
      </c>
      <c r="L329" s="2" t="s">
        <v>129</v>
      </c>
      <c r="M329" s="2" t="s">
        <v>94</v>
      </c>
      <c r="N329" s="2" t="s">
        <v>95</v>
      </c>
      <c r="O329" s="2" t="s">
        <v>1111</v>
      </c>
      <c r="P329" s="2" t="s">
        <v>51</v>
      </c>
      <c r="Q329" s="2" t="s">
        <v>41</v>
      </c>
      <c r="R329" s="2" t="n">
        <v>3</v>
      </c>
      <c r="S329" s="2" t="n">
        <v>1834.55</v>
      </c>
      <c r="T329" s="2" t="n">
        <v>0.2</v>
      </c>
      <c r="U329" s="2" t="str">
        <f aca="false">IF(ISBLANK(T329),"Yes","No")</f>
        <v>No</v>
      </c>
      <c r="V329" s="2" t="n">
        <f aca="false">IF(ISBLANK(T329),0,IF(ISNUMBER(T329),T329,VALUE(LEFT(T329,LEN(T329)-1))/100))</f>
        <v>0.2</v>
      </c>
      <c r="W329" s="2" t="str">
        <f aca="false">IF(AND(V329&gt;=0,V329&lt;=0.25),"Valid","Invalid")</f>
        <v>Valid</v>
      </c>
      <c r="X329" s="2" t="n">
        <v>4402.92</v>
      </c>
      <c r="Y329" s="2" t="n">
        <f aca="false">R329*S329*(1-V329)</f>
        <v>4402.92</v>
      </c>
      <c r="Z329" s="2" t="str">
        <f aca="false">IF(ABS(X329-Y329)&gt;1,"Mismatch","OK")</f>
        <v>OK</v>
      </c>
      <c r="AA329" s="2" t="n">
        <v>2993.94</v>
      </c>
      <c r="AB329" s="2" t="n">
        <v>1408.98</v>
      </c>
      <c r="AC329" s="2" t="n">
        <f aca="false">Y329-AA329</f>
        <v>1408.98</v>
      </c>
      <c r="AD329" s="2" t="str">
        <f aca="false">IF(ABS(AB329-AC329)&gt;1,"Mismatch","OK")</f>
        <v>OK</v>
      </c>
      <c r="AE329" s="4" t="n">
        <f aca="false">IF(Y329=0,0,AC329/Y329)</f>
        <v>0.320010356763239</v>
      </c>
      <c r="AF329" s="2" t="s">
        <v>131</v>
      </c>
      <c r="AG329" s="2" t="s">
        <v>88</v>
      </c>
      <c r="AH329" s="2" t="str">
        <f aca="false">IF(AND(AG329="Completed",AF329&lt;&gt;"Paid"),"Inconsistent","OK")</f>
        <v>OK</v>
      </c>
      <c r="AI329" s="2" t="n">
        <f aca="false">IF(OR(ISBLANK(B329),ISBLANK(C329)),"",C329-B329)</f>
        <v>3</v>
      </c>
      <c r="AJ329" s="2" t="str">
        <f aca="false">IF(AI329="","Unknown",IF(AI329&lt;0,"Invalid","OK"))</f>
        <v>OK</v>
      </c>
      <c r="AK329" s="2" t="str">
        <f aca="false">IF(ISBLANK(B329),"",TEXT(B329,"mmm"))</f>
        <v>Jul</v>
      </c>
      <c r="AL329" s="2" t="n">
        <f aca="false">IF(ISBLANK(B329),"",YEAR(B329))</f>
        <v>2024</v>
      </c>
      <c r="AM329" s="2" t="s">
        <v>41</v>
      </c>
      <c r="AN329" s="2" t="str">
        <f aca="false">IF(OR(W329="Invalid",AJ329="Invalid",AH329="Inconsistent",Z329="Mismatch",AD329="Mismatch",AM329="Yes",D329="Yes",E329="Yes"),"Invalid",IF(OR(J329="Yes",Q329="Yes",U329="Yes"),"Warning","Clean"))</f>
        <v>Clean</v>
      </c>
    </row>
    <row r="330" customFormat="false" ht="15" hidden="false" customHeight="false" outlineLevel="0" collapsed="false">
      <c r="A330" s="2" t="s">
        <v>1112</v>
      </c>
      <c r="B330" s="3" t="n">
        <v>45806</v>
      </c>
      <c r="C330" s="3" t="n">
        <v>45812</v>
      </c>
      <c r="D330" s="2" t="s">
        <v>41</v>
      </c>
      <c r="E330" s="2" t="s">
        <v>41</v>
      </c>
      <c r="F330" s="2" t="s">
        <v>1113</v>
      </c>
      <c r="G330" s="2" t="s">
        <v>182</v>
      </c>
      <c r="H330" s="2" t="s">
        <v>44</v>
      </c>
      <c r="I330" s="2" t="s">
        <v>83</v>
      </c>
      <c r="J330" s="2" t="s">
        <v>41</v>
      </c>
      <c r="K330" s="2" t="s">
        <v>84</v>
      </c>
      <c r="L330" s="2" t="s">
        <v>85</v>
      </c>
      <c r="M330" s="2" t="s">
        <v>48</v>
      </c>
      <c r="N330" s="2" t="s">
        <v>144</v>
      </c>
      <c r="O330" s="2" t="s">
        <v>1114</v>
      </c>
      <c r="P330" s="2" t="s">
        <v>70</v>
      </c>
      <c r="Q330" s="2" t="s">
        <v>41</v>
      </c>
      <c r="R330" s="2" t="n">
        <v>6</v>
      </c>
      <c r="S330" s="2" t="n">
        <v>3100.68</v>
      </c>
      <c r="T330" s="2" t="n">
        <v>0</v>
      </c>
      <c r="U330" s="2" t="str">
        <f aca="false">IF(ISBLANK(T330),"Yes","No")</f>
        <v>No</v>
      </c>
      <c r="V330" s="2" t="n">
        <f aca="false">IF(ISBLANK(T330),0,IF(ISNUMBER(T330),T330,VALUE(LEFT(T330,LEN(T330)-1))/100))</f>
        <v>0</v>
      </c>
      <c r="W330" s="2" t="str">
        <f aca="false">IF(AND(V330&gt;=0,V330&lt;=0.25),"Valid","Invalid")</f>
        <v>Valid</v>
      </c>
      <c r="X330" s="2" t="n">
        <v>18604.08</v>
      </c>
      <c r="Y330" s="2" t="n">
        <f aca="false">R330*S330*(1-V330)</f>
        <v>18604.08</v>
      </c>
      <c r="Z330" s="2" t="str">
        <f aca="false">IF(ABS(X330-Y330)&gt;1,"Mismatch","OK")</f>
        <v>OK</v>
      </c>
      <c r="AA330" s="2" t="n">
        <v>15834.3</v>
      </c>
      <c r="AB330" s="2" t="n">
        <v>2769.78</v>
      </c>
      <c r="AC330" s="2" t="n">
        <f aca="false">Y330-AA330</f>
        <v>2769.78</v>
      </c>
      <c r="AD330" s="2" t="str">
        <f aca="false">IF(ABS(AB330-AC330)&gt;1,"Mismatch","OK")</f>
        <v>OK</v>
      </c>
      <c r="AE330" s="4" t="n">
        <f aca="false">IF(Y330=0,0,AC330/Y330)</f>
        <v>0.148880245623541</v>
      </c>
      <c r="AF330" s="2" t="s">
        <v>52</v>
      </c>
      <c r="AG330" s="2" t="s">
        <v>53</v>
      </c>
      <c r="AH330" s="2" t="str">
        <f aca="false">IF(AND(AG330="Completed",AF330&lt;&gt;"Paid"),"Inconsistent","OK")</f>
        <v>OK</v>
      </c>
      <c r="AI330" s="2" t="n">
        <f aca="false">IF(OR(ISBLANK(B330),ISBLANK(C330)),"",C330-B330)</f>
        <v>6</v>
      </c>
      <c r="AJ330" s="2" t="str">
        <f aca="false">IF(AI330="","Unknown",IF(AI330&lt;0,"Invalid","OK"))</f>
        <v>OK</v>
      </c>
      <c r="AK330" s="2" t="str">
        <f aca="false">IF(ISBLANK(B330),"",TEXT(B330,"mmm"))</f>
        <v>May</v>
      </c>
      <c r="AL330" s="2" t="n">
        <f aca="false">IF(ISBLANK(B330),"",YEAR(B330))</f>
        <v>2025</v>
      </c>
      <c r="AM330" s="2" t="s">
        <v>41</v>
      </c>
      <c r="AN330" s="2" t="str">
        <f aca="false">IF(OR(W330="Invalid",AJ330="Invalid",AH330="Inconsistent",Z330="Mismatch",AD330="Mismatch",AM330="Yes",D330="Yes",E330="Yes"),"Invalid",IF(OR(J330="Yes",Q330="Yes",U330="Yes"),"Warning","Clean"))</f>
        <v>Clean</v>
      </c>
    </row>
    <row r="331" customFormat="false" ht="15" hidden="false" customHeight="false" outlineLevel="0" collapsed="false">
      <c r="A331" s="2" t="s">
        <v>1115</v>
      </c>
      <c r="B331" s="3" t="n">
        <v>45789</v>
      </c>
      <c r="C331" s="3" t="n">
        <v>45795</v>
      </c>
      <c r="D331" s="2" t="s">
        <v>41</v>
      </c>
      <c r="E331" s="2" t="s">
        <v>41</v>
      </c>
      <c r="F331" s="2" t="s">
        <v>1116</v>
      </c>
      <c r="G331" s="2" t="s">
        <v>99</v>
      </c>
      <c r="H331" s="2" t="s">
        <v>57</v>
      </c>
      <c r="I331" s="2" t="s">
        <v>83</v>
      </c>
      <c r="J331" s="2" t="s">
        <v>41</v>
      </c>
      <c r="K331" s="2" t="s">
        <v>84</v>
      </c>
      <c r="L331" s="2" t="s">
        <v>85</v>
      </c>
      <c r="M331" s="2" t="s">
        <v>48</v>
      </c>
      <c r="N331" s="2" t="s">
        <v>144</v>
      </c>
      <c r="O331" s="2" t="s">
        <v>1117</v>
      </c>
      <c r="P331" s="2" t="s">
        <v>79</v>
      </c>
      <c r="Q331" s="2" t="s">
        <v>41</v>
      </c>
      <c r="R331" s="2" t="n">
        <v>4</v>
      </c>
      <c r="S331" s="2" t="n">
        <v>4053.03</v>
      </c>
      <c r="T331" s="2" t="n">
        <v>0.05</v>
      </c>
      <c r="U331" s="2" t="str">
        <f aca="false">IF(ISBLANK(T331),"Yes","No")</f>
        <v>No</v>
      </c>
      <c r="V331" s="2" t="n">
        <f aca="false">IF(ISBLANK(T331),0,IF(ISNUMBER(T331),T331,VALUE(LEFT(T331,LEN(T331)-1))/100))</f>
        <v>0.05</v>
      </c>
      <c r="W331" s="2" t="str">
        <f aca="false">IF(AND(V331&gt;=0,V331&lt;=0.25),"Valid","Invalid")</f>
        <v>Valid</v>
      </c>
      <c r="X331" s="2" t="n">
        <v>15401.51</v>
      </c>
      <c r="Y331" s="2" t="n">
        <f aca="false">R331*S331*(1-V331)</f>
        <v>15401.514</v>
      </c>
      <c r="Z331" s="2" t="str">
        <f aca="false">IF(ABS(X331-Y331)&gt;1,"Mismatch","OK")</f>
        <v>OK</v>
      </c>
      <c r="AA331" s="2" t="n">
        <v>8650.42</v>
      </c>
      <c r="AB331" s="2" t="n">
        <v>6751.09</v>
      </c>
      <c r="AC331" s="2" t="n">
        <f aca="false">Y331-AA331</f>
        <v>6751.094</v>
      </c>
      <c r="AD331" s="2" t="str">
        <f aca="false">IF(ABS(AB331-AC331)&gt;1,"Mismatch","OK")</f>
        <v>OK</v>
      </c>
      <c r="AE331" s="4" t="n">
        <f aca="false">IF(Y331=0,0,AC331/Y331)</f>
        <v>0.438339633363317</v>
      </c>
      <c r="AF331" s="2" t="s">
        <v>52</v>
      </c>
      <c r="AG331" s="2" t="s">
        <v>53</v>
      </c>
      <c r="AH331" s="2" t="str">
        <f aca="false">IF(AND(AG331="Completed",AF331&lt;&gt;"Paid"),"Inconsistent","OK")</f>
        <v>OK</v>
      </c>
      <c r="AI331" s="2" t="n">
        <f aca="false">IF(OR(ISBLANK(B331),ISBLANK(C331)),"",C331-B331)</f>
        <v>6</v>
      </c>
      <c r="AJ331" s="2" t="str">
        <f aca="false">IF(AI331="","Unknown",IF(AI331&lt;0,"Invalid","OK"))</f>
        <v>OK</v>
      </c>
      <c r="AK331" s="2" t="str">
        <f aca="false">IF(ISBLANK(B331),"",TEXT(B331,"mmm"))</f>
        <v>May</v>
      </c>
      <c r="AL331" s="2" t="n">
        <f aca="false">IF(ISBLANK(B331),"",YEAR(B331))</f>
        <v>2025</v>
      </c>
      <c r="AM331" s="2" t="s">
        <v>41</v>
      </c>
      <c r="AN331" s="2" t="str">
        <f aca="false">IF(OR(W331="Invalid",AJ331="Invalid",AH331="Inconsistent",Z331="Mismatch",AD331="Mismatch",AM331="Yes",D331="Yes",E331="Yes"),"Invalid",IF(OR(J331="Yes",Q331="Yes",U331="Yes"),"Warning","Clean"))</f>
        <v>Clean</v>
      </c>
    </row>
    <row r="332" customFormat="false" ht="15" hidden="false" customHeight="false" outlineLevel="0" collapsed="false">
      <c r="A332" s="2" t="s">
        <v>1118</v>
      </c>
      <c r="B332" s="3" t="n">
        <v>45428</v>
      </c>
      <c r="C332" s="3" t="n">
        <v>45436</v>
      </c>
      <c r="D332" s="2" t="s">
        <v>41</v>
      </c>
      <c r="E332" s="2" t="s">
        <v>41</v>
      </c>
      <c r="F332" s="2" t="s">
        <v>1119</v>
      </c>
      <c r="G332" s="2" t="s">
        <v>73</v>
      </c>
      <c r="H332" s="2" t="s">
        <v>115</v>
      </c>
      <c r="I332" s="2" t="s">
        <v>45</v>
      </c>
      <c r="J332" s="2" t="s">
        <v>41</v>
      </c>
      <c r="K332" s="2" t="s">
        <v>142</v>
      </c>
      <c r="L332" s="2" t="s">
        <v>143</v>
      </c>
      <c r="M332" s="2" t="s">
        <v>94</v>
      </c>
      <c r="N332" s="2" t="s">
        <v>95</v>
      </c>
      <c r="O332" s="2" t="s">
        <v>1120</v>
      </c>
      <c r="P332" s="2" t="s">
        <v>64</v>
      </c>
      <c r="Q332" s="2" t="s">
        <v>41</v>
      </c>
      <c r="R332" s="2" t="n">
        <v>1</v>
      </c>
      <c r="S332" s="2" t="n">
        <v>783.09</v>
      </c>
      <c r="T332" s="2" t="n">
        <v>0</v>
      </c>
      <c r="U332" s="2" t="str">
        <f aca="false">IF(ISBLANK(T332),"Yes","No")</f>
        <v>No</v>
      </c>
      <c r="V332" s="2" t="n">
        <f aca="false">IF(ISBLANK(T332),0,IF(ISNUMBER(T332),T332,VALUE(LEFT(T332,LEN(T332)-1))/100))</f>
        <v>0</v>
      </c>
      <c r="W332" s="2" t="str">
        <f aca="false">IF(AND(V332&gt;=0,V332&lt;=0.25),"Valid","Invalid")</f>
        <v>Valid</v>
      </c>
      <c r="X332" s="2" t="n">
        <v>783.09</v>
      </c>
      <c r="Y332" s="2" t="n">
        <f aca="false">R332*S332*(1-V332)</f>
        <v>783.09</v>
      </c>
      <c r="Z332" s="2" t="str">
        <f aca="false">IF(ABS(X332-Y332)&gt;1,"Mismatch","OK")</f>
        <v>OK</v>
      </c>
      <c r="AA332" s="2" t="n">
        <v>503.89</v>
      </c>
      <c r="AB332" s="2" t="n">
        <v>279.2</v>
      </c>
      <c r="AC332" s="2" t="n">
        <f aca="false">Y332-AA332</f>
        <v>279.2</v>
      </c>
      <c r="AD332" s="2" t="str">
        <f aca="false">IF(ABS(AB332-AC332)&gt;1,"Mismatch","OK")</f>
        <v>OK</v>
      </c>
      <c r="AE332" s="4" t="n">
        <f aca="false">IF(Y332=0,0,AC332/Y332)</f>
        <v>0.356536285739826</v>
      </c>
      <c r="AF332" s="2" t="s">
        <v>175</v>
      </c>
      <c r="AG332" s="2" t="s">
        <v>88</v>
      </c>
      <c r="AH332" s="2" t="str">
        <f aca="false">IF(AND(AG332="Completed",AF332&lt;&gt;"Paid"),"Inconsistent","OK")</f>
        <v>OK</v>
      </c>
      <c r="AI332" s="2" t="n">
        <f aca="false">IF(OR(ISBLANK(B332),ISBLANK(C332)),"",C332-B332)</f>
        <v>8</v>
      </c>
      <c r="AJ332" s="2" t="str">
        <f aca="false">IF(AI332="","Unknown",IF(AI332&lt;0,"Invalid","OK"))</f>
        <v>OK</v>
      </c>
      <c r="AK332" s="2" t="str">
        <f aca="false">IF(ISBLANK(B332),"",TEXT(B332,"mmm"))</f>
        <v>May</v>
      </c>
      <c r="AL332" s="2" t="n">
        <f aca="false">IF(ISBLANK(B332),"",YEAR(B332))</f>
        <v>2024</v>
      </c>
      <c r="AM332" s="2" t="s">
        <v>41</v>
      </c>
      <c r="AN332" s="2" t="str">
        <f aca="false">IF(OR(W332="Invalid",AJ332="Invalid",AH332="Inconsistent",Z332="Mismatch",AD332="Mismatch",AM332="Yes",D332="Yes",E332="Yes"),"Invalid",IF(OR(J332="Yes",Q332="Yes",U332="Yes"),"Warning","Clean"))</f>
        <v>Clean</v>
      </c>
    </row>
    <row r="333" customFormat="false" ht="15" hidden="false" customHeight="false" outlineLevel="0" collapsed="false">
      <c r="A333" s="2" t="s">
        <v>1121</v>
      </c>
      <c r="B333" s="3" t="n">
        <v>45630</v>
      </c>
      <c r="C333" s="3" t="n">
        <v>45632</v>
      </c>
      <c r="D333" s="2" t="s">
        <v>41</v>
      </c>
      <c r="E333" s="2" t="s">
        <v>41</v>
      </c>
      <c r="F333" s="2" t="s">
        <v>1122</v>
      </c>
      <c r="G333" s="2" t="s">
        <v>152</v>
      </c>
      <c r="H333" s="2" t="s">
        <v>115</v>
      </c>
      <c r="I333" s="2" t="s">
        <v>58</v>
      </c>
      <c r="J333" s="2" t="s">
        <v>41</v>
      </c>
      <c r="K333" s="2" t="s">
        <v>59</v>
      </c>
      <c r="L333" s="2" t="s">
        <v>60</v>
      </c>
      <c r="M333" s="2" t="s">
        <v>48</v>
      </c>
      <c r="N333" s="2" t="s">
        <v>173</v>
      </c>
      <c r="O333" s="2" t="s">
        <v>1123</v>
      </c>
      <c r="P333" s="2" t="s">
        <v>51</v>
      </c>
      <c r="Q333" s="2" t="s">
        <v>41</v>
      </c>
      <c r="R333" s="2" t="n">
        <v>4</v>
      </c>
      <c r="S333" s="2" t="n">
        <v>2685.66</v>
      </c>
      <c r="T333" s="2" t="n">
        <v>0</v>
      </c>
      <c r="U333" s="2" t="str">
        <f aca="false">IF(ISBLANK(T333),"Yes","No")</f>
        <v>No</v>
      </c>
      <c r="V333" s="2" t="n">
        <f aca="false">IF(ISBLANK(T333),0,IF(ISNUMBER(T333),T333,VALUE(LEFT(T333,LEN(T333)-1))/100))</f>
        <v>0</v>
      </c>
      <c r="W333" s="2" t="str">
        <f aca="false">IF(AND(V333&gt;=0,V333&lt;=0.25),"Valid","Invalid")</f>
        <v>Valid</v>
      </c>
      <c r="X333" s="2" t="n">
        <v>10742.64</v>
      </c>
      <c r="Y333" s="2" t="n">
        <f aca="false">R333*S333*(1-V333)</f>
        <v>10742.64</v>
      </c>
      <c r="Z333" s="2" t="str">
        <f aca="false">IF(ABS(X333-Y333)&gt;1,"Mismatch","OK")</f>
        <v>OK</v>
      </c>
      <c r="AA333" s="2" t="n">
        <v>6477.37</v>
      </c>
      <c r="AB333" s="2" t="n">
        <v>4265.27</v>
      </c>
      <c r="AC333" s="2" t="n">
        <f aca="false">Y333-AA333</f>
        <v>4265.27</v>
      </c>
      <c r="AD333" s="2" t="str">
        <f aca="false">IF(ABS(AB333-AC333)&gt;1,"Mismatch","OK")</f>
        <v>OK</v>
      </c>
      <c r="AE333" s="4" t="n">
        <f aca="false">IF(Y333=0,0,AC333/Y333)</f>
        <v>0.397041137001705</v>
      </c>
      <c r="AF333" s="2" t="s">
        <v>52</v>
      </c>
      <c r="AG333" s="2" t="s">
        <v>123</v>
      </c>
      <c r="AH333" s="2" t="str">
        <f aca="false">IF(AND(AG333="Completed",AF333&lt;&gt;"Paid"),"Inconsistent","OK")</f>
        <v>OK</v>
      </c>
      <c r="AI333" s="2" t="n">
        <f aca="false">IF(OR(ISBLANK(B333),ISBLANK(C333)),"",C333-B333)</f>
        <v>2</v>
      </c>
      <c r="AJ333" s="2" t="str">
        <f aca="false">IF(AI333="","Unknown",IF(AI333&lt;0,"Invalid","OK"))</f>
        <v>OK</v>
      </c>
      <c r="AK333" s="2" t="str">
        <f aca="false">IF(ISBLANK(B333),"",TEXT(B333,"mmm"))</f>
        <v>Dec</v>
      </c>
      <c r="AL333" s="2" t="n">
        <f aca="false">IF(ISBLANK(B333),"",YEAR(B333))</f>
        <v>2024</v>
      </c>
      <c r="AM333" s="2" t="s">
        <v>226</v>
      </c>
      <c r="AN333" s="2" t="str">
        <f aca="false">IF(OR(W333="Invalid",AJ333="Invalid",AH333="Inconsistent",Z333="Mismatch",AD333="Mismatch",AM333="Yes",D333="Yes",E333="Yes"),"Invalid",IF(OR(J333="Yes",Q333="Yes",U333="Yes"),"Warning","Clean"))</f>
        <v>Invalid</v>
      </c>
    </row>
    <row r="334" customFormat="false" ht="15" hidden="false" customHeight="false" outlineLevel="0" collapsed="false">
      <c r="A334" s="2" t="s">
        <v>1124</v>
      </c>
      <c r="B334" s="3" t="n">
        <v>45804</v>
      </c>
      <c r="C334" s="3" t="n">
        <v>45805</v>
      </c>
      <c r="D334" s="2" t="s">
        <v>41</v>
      </c>
      <c r="E334" s="2" t="s">
        <v>41</v>
      </c>
      <c r="F334" s="2" t="s">
        <v>1125</v>
      </c>
      <c r="G334" s="2" t="s">
        <v>148</v>
      </c>
      <c r="H334" s="2" t="s">
        <v>44</v>
      </c>
      <c r="I334" s="2" t="s">
        <v>74</v>
      </c>
      <c r="J334" s="2" t="s">
        <v>41</v>
      </c>
      <c r="K334" s="2" t="s">
        <v>104</v>
      </c>
      <c r="L334" s="2" t="s">
        <v>105</v>
      </c>
      <c r="M334" s="2" t="s">
        <v>94</v>
      </c>
      <c r="N334" s="2" t="s">
        <v>296</v>
      </c>
      <c r="O334" s="2" t="s">
        <v>1126</v>
      </c>
      <c r="P334" s="2" t="s">
        <v>51</v>
      </c>
      <c r="Q334" s="2" t="s">
        <v>41</v>
      </c>
      <c r="R334" s="2" t="n">
        <v>2</v>
      </c>
      <c r="S334" s="2" t="n">
        <v>3911.96</v>
      </c>
      <c r="T334" s="2" t="n">
        <v>0</v>
      </c>
      <c r="U334" s="2" t="str">
        <f aca="false">IF(ISBLANK(T334),"Yes","No")</f>
        <v>No</v>
      </c>
      <c r="V334" s="2" t="n">
        <f aca="false">IF(ISBLANK(T334),0,IF(ISNUMBER(T334),T334,VALUE(LEFT(T334,LEN(T334)-1))/100))</f>
        <v>0</v>
      </c>
      <c r="W334" s="2" t="str">
        <f aca="false">IF(AND(V334&gt;=0,V334&lt;=0.25),"Valid","Invalid")</f>
        <v>Valid</v>
      </c>
      <c r="X334" s="2" t="n">
        <v>7823.92</v>
      </c>
      <c r="Y334" s="2" t="n">
        <f aca="false">R334*S334*(1-V334)</f>
        <v>7823.92</v>
      </c>
      <c r="Z334" s="2" t="str">
        <f aca="false">IF(ABS(X334-Y334)&gt;1,"Mismatch","OK")</f>
        <v>OK</v>
      </c>
      <c r="AA334" s="2" t="n">
        <v>6034.63</v>
      </c>
      <c r="AB334" s="2" t="n">
        <v>1789.29</v>
      </c>
      <c r="AC334" s="2" t="n">
        <f aca="false">Y334-AA334</f>
        <v>1789.29</v>
      </c>
      <c r="AD334" s="2" t="str">
        <f aca="false">IF(ABS(AB334-AC334)&gt;1,"Mismatch","OK")</f>
        <v>OK</v>
      </c>
      <c r="AE334" s="4" t="n">
        <f aca="false">IF(Y334=0,0,AC334/Y334)</f>
        <v>0.22869482305545</v>
      </c>
      <c r="AF334" s="2" t="s">
        <v>52</v>
      </c>
      <c r="AG334" s="2" t="s">
        <v>53</v>
      </c>
      <c r="AH334" s="2" t="str">
        <f aca="false">IF(AND(AG334="Completed",AF334&lt;&gt;"Paid"),"Inconsistent","OK")</f>
        <v>OK</v>
      </c>
      <c r="AI334" s="2" t="n">
        <f aca="false">IF(OR(ISBLANK(B334),ISBLANK(C334)),"",C334-B334)</f>
        <v>1</v>
      </c>
      <c r="AJ334" s="2" t="str">
        <f aca="false">IF(AI334="","Unknown",IF(AI334&lt;0,"Invalid","OK"))</f>
        <v>OK</v>
      </c>
      <c r="AK334" s="2" t="str">
        <f aca="false">IF(ISBLANK(B334),"",TEXT(B334,"mmm"))</f>
        <v>May</v>
      </c>
      <c r="AL334" s="2" t="n">
        <f aca="false">IF(ISBLANK(B334),"",YEAR(B334))</f>
        <v>2025</v>
      </c>
      <c r="AM334" s="2" t="s">
        <v>41</v>
      </c>
      <c r="AN334" s="2" t="str">
        <f aca="false">IF(OR(W334="Invalid",AJ334="Invalid",AH334="Inconsistent",Z334="Mismatch",AD334="Mismatch",AM334="Yes",D334="Yes",E334="Yes"),"Invalid",IF(OR(J334="Yes",Q334="Yes",U334="Yes"),"Warning","Clean"))</f>
        <v>Clean</v>
      </c>
    </row>
    <row r="335" customFormat="false" ht="15" hidden="false" customHeight="false" outlineLevel="0" collapsed="false">
      <c r="A335" s="2" t="s">
        <v>1127</v>
      </c>
      <c r="B335" s="3" t="n">
        <v>45830</v>
      </c>
      <c r="C335" s="3" t="n">
        <v>45835</v>
      </c>
      <c r="D335" s="2" t="s">
        <v>41</v>
      </c>
      <c r="E335" s="2" t="s">
        <v>41</v>
      </c>
      <c r="F335" s="2" t="s">
        <v>1128</v>
      </c>
      <c r="G335" s="2" t="s">
        <v>161</v>
      </c>
      <c r="H335" s="2" t="s">
        <v>115</v>
      </c>
      <c r="I335" s="2" t="s">
        <v>225</v>
      </c>
      <c r="J335" s="2" t="s">
        <v>226</v>
      </c>
      <c r="K335" s="2" t="s">
        <v>372</v>
      </c>
      <c r="L335" s="2" t="s">
        <v>373</v>
      </c>
      <c r="M335" s="2" t="s">
        <v>94</v>
      </c>
      <c r="N335" s="2" t="s">
        <v>191</v>
      </c>
      <c r="O335" s="2" t="s">
        <v>1129</v>
      </c>
      <c r="P335" s="2" t="s">
        <v>70</v>
      </c>
      <c r="Q335" s="2" t="s">
        <v>41</v>
      </c>
      <c r="R335" s="2" t="n">
        <v>2</v>
      </c>
      <c r="S335" s="2" t="n">
        <v>1468.05</v>
      </c>
      <c r="T335" s="2" t="n">
        <v>0</v>
      </c>
      <c r="U335" s="2" t="str">
        <f aca="false">IF(ISBLANK(T335),"Yes","No")</f>
        <v>No</v>
      </c>
      <c r="V335" s="2" t="n">
        <f aca="false">IF(ISBLANK(T335),0,IF(ISNUMBER(T335),T335,VALUE(LEFT(T335,LEN(T335)-1))/100))</f>
        <v>0</v>
      </c>
      <c r="W335" s="2" t="str">
        <f aca="false">IF(AND(V335&gt;=0,V335&lt;=0.25),"Valid","Invalid")</f>
        <v>Valid</v>
      </c>
      <c r="X335" s="2" t="n">
        <v>2936.1</v>
      </c>
      <c r="Y335" s="2" t="n">
        <f aca="false">R335*S335*(1-V335)</f>
        <v>2936.1</v>
      </c>
      <c r="Z335" s="2" t="str">
        <f aca="false">IF(ABS(X335-Y335)&gt;1,"Mismatch","OK")</f>
        <v>OK</v>
      </c>
      <c r="AA335" s="2" t="n">
        <v>1923.1</v>
      </c>
      <c r="AB335" s="2" t="n">
        <v>1013</v>
      </c>
      <c r="AC335" s="2" t="n">
        <f aca="false">Y335-AA335</f>
        <v>1013</v>
      </c>
      <c r="AD335" s="2" t="str">
        <f aca="false">IF(ABS(AB335-AC335)&gt;1,"Mismatch","OK")</f>
        <v>OK</v>
      </c>
      <c r="AE335" s="4" t="n">
        <f aca="false">IF(Y335=0,0,AC335/Y335)</f>
        <v>0.345015496747386</v>
      </c>
      <c r="AF335" s="2" t="s">
        <v>52</v>
      </c>
      <c r="AG335" s="2" t="s">
        <v>53</v>
      </c>
      <c r="AH335" s="2" t="str">
        <f aca="false">IF(AND(AG335="Completed",AF335&lt;&gt;"Paid"),"Inconsistent","OK")</f>
        <v>OK</v>
      </c>
      <c r="AI335" s="2" t="n">
        <f aca="false">IF(OR(ISBLANK(B335),ISBLANK(C335)),"",C335-B335)</f>
        <v>5</v>
      </c>
      <c r="AJ335" s="2" t="str">
        <f aca="false">IF(AI335="","Unknown",IF(AI335&lt;0,"Invalid","OK"))</f>
        <v>OK</v>
      </c>
      <c r="AK335" s="2" t="str">
        <f aca="false">IF(ISBLANK(B335),"",TEXT(B335,"mmm"))</f>
        <v>Jun</v>
      </c>
      <c r="AL335" s="2" t="n">
        <f aca="false">IF(ISBLANK(B335),"",YEAR(B335))</f>
        <v>2025</v>
      </c>
      <c r="AM335" s="2" t="s">
        <v>41</v>
      </c>
      <c r="AN335" s="2" t="str">
        <f aca="false">IF(OR(W335="Invalid",AJ335="Invalid",AH335="Inconsistent",Z335="Mismatch",AD335="Mismatch",AM335="Yes",D335="Yes",E335="Yes"),"Invalid",IF(OR(J335="Yes",Q335="Yes",U335="Yes"),"Warning","Clean"))</f>
        <v>Warning</v>
      </c>
    </row>
    <row r="336" customFormat="false" ht="15" hidden="false" customHeight="false" outlineLevel="0" collapsed="false">
      <c r="A336" s="2" t="s">
        <v>1130</v>
      </c>
      <c r="B336" s="3" t="n">
        <v>45547</v>
      </c>
      <c r="C336" s="3" t="n">
        <v>45552</v>
      </c>
      <c r="D336" s="2" t="s">
        <v>41</v>
      </c>
      <c r="E336" s="2" t="s">
        <v>41</v>
      </c>
      <c r="F336" s="2" t="s">
        <v>1131</v>
      </c>
      <c r="G336" s="2" t="s">
        <v>82</v>
      </c>
      <c r="H336" s="2" t="s">
        <v>44</v>
      </c>
      <c r="I336" s="2" t="s">
        <v>58</v>
      </c>
      <c r="J336" s="2" t="s">
        <v>41</v>
      </c>
      <c r="K336" s="2" t="s">
        <v>250</v>
      </c>
      <c r="L336" s="2" t="s">
        <v>251</v>
      </c>
      <c r="M336" s="2" t="s">
        <v>48</v>
      </c>
      <c r="N336" s="2" t="s">
        <v>144</v>
      </c>
      <c r="O336" s="2" t="s">
        <v>1132</v>
      </c>
      <c r="P336" s="2" t="s">
        <v>70</v>
      </c>
      <c r="Q336" s="2" t="s">
        <v>41</v>
      </c>
      <c r="R336" s="2" t="n">
        <v>9</v>
      </c>
      <c r="S336" s="2" t="n">
        <v>1921.47</v>
      </c>
      <c r="T336" s="2" t="n">
        <v>0.25</v>
      </c>
      <c r="U336" s="2" t="str">
        <f aca="false">IF(ISBLANK(T336),"Yes","No")</f>
        <v>No</v>
      </c>
      <c r="V336" s="2" t="n">
        <f aca="false">IF(ISBLANK(T336),0,IF(ISNUMBER(T336),T336,VALUE(LEFT(T336,LEN(T336)-1))/100))</f>
        <v>0.25</v>
      </c>
      <c r="W336" s="2" t="str">
        <f aca="false">IF(AND(V336&gt;=0,V336&lt;=0.25),"Valid","Invalid")</f>
        <v>Valid</v>
      </c>
      <c r="X336" s="2" t="n">
        <v>12969.92</v>
      </c>
      <c r="Y336" s="2" t="n">
        <f aca="false">R336*S336*(1-V336)</f>
        <v>12969.9225</v>
      </c>
      <c r="Z336" s="2" t="str">
        <f aca="false">IF(ABS(X336-Y336)&gt;1,"Mismatch","OK")</f>
        <v>OK</v>
      </c>
      <c r="AA336" s="2" t="n">
        <v>9398.46</v>
      </c>
      <c r="AB336" s="2" t="n">
        <v>3571.46</v>
      </c>
      <c r="AC336" s="2" t="n">
        <f aca="false">Y336-AA336</f>
        <v>3571.4625</v>
      </c>
      <c r="AD336" s="2" t="str">
        <f aca="false">IF(ABS(AB336-AC336)&gt;1,"Mismatch","OK")</f>
        <v>OK</v>
      </c>
      <c r="AE336" s="4" t="n">
        <f aca="false">IF(Y336=0,0,AC336/Y336)</f>
        <v>0.27536498386941</v>
      </c>
      <c r="AF336" s="2" t="s">
        <v>52</v>
      </c>
      <c r="AG336" s="2" t="s">
        <v>53</v>
      </c>
      <c r="AH336" s="2" t="str">
        <f aca="false">IF(AND(AG336="Completed",AF336&lt;&gt;"Paid"),"Inconsistent","OK")</f>
        <v>OK</v>
      </c>
      <c r="AI336" s="2" t="n">
        <f aca="false">IF(OR(ISBLANK(B336),ISBLANK(C336)),"",C336-B336)</f>
        <v>5</v>
      </c>
      <c r="AJ336" s="2" t="str">
        <f aca="false">IF(AI336="","Unknown",IF(AI336&lt;0,"Invalid","OK"))</f>
        <v>OK</v>
      </c>
      <c r="AK336" s="2" t="str">
        <f aca="false">IF(ISBLANK(B336),"",TEXT(B336,"mmm"))</f>
        <v>Sep</v>
      </c>
      <c r="AL336" s="2" t="n">
        <f aca="false">IF(ISBLANK(B336),"",YEAR(B336))</f>
        <v>2024</v>
      </c>
      <c r="AM336" s="2" t="s">
        <v>41</v>
      </c>
      <c r="AN336" s="2" t="str">
        <f aca="false">IF(OR(W336="Invalid",AJ336="Invalid",AH336="Inconsistent",Z336="Mismatch",AD336="Mismatch",AM336="Yes",D336="Yes",E336="Yes"),"Invalid",IF(OR(J336="Yes",Q336="Yes",U336="Yes"),"Warning","Clean"))</f>
        <v>Clean</v>
      </c>
    </row>
    <row r="337" customFormat="false" ht="15" hidden="false" customHeight="false" outlineLevel="0" collapsed="false">
      <c r="A337" s="2" t="s">
        <v>1133</v>
      </c>
      <c r="B337" s="3" t="n">
        <v>45824</v>
      </c>
      <c r="C337" s="3" t="n">
        <v>45826</v>
      </c>
      <c r="D337" s="2" t="s">
        <v>41</v>
      </c>
      <c r="E337" s="2" t="s">
        <v>41</v>
      </c>
      <c r="F337" s="2" t="s">
        <v>1134</v>
      </c>
      <c r="G337" s="2" t="s">
        <v>138</v>
      </c>
      <c r="H337" s="2" t="s">
        <v>115</v>
      </c>
      <c r="I337" s="2" t="s">
        <v>83</v>
      </c>
      <c r="J337" s="2" t="s">
        <v>41</v>
      </c>
      <c r="K337" s="2" t="s">
        <v>92</v>
      </c>
      <c r="L337" s="2" t="s">
        <v>93</v>
      </c>
      <c r="M337" s="2" t="s">
        <v>48</v>
      </c>
      <c r="N337" s="2" t="s">
        <v>49</v>
      </c>
      <c r="O337" s="2" t="s">
        <v>1135</v>
      </c>
      <c r="P337" s="2" t="s">
        <v>70</v>
      </c>
      <c r="Q337" s="2" t="s">
        <v>41</v>
      </c>
      <c r="R337" s="2" t="n">
        <v>3</v>
      </c>
      <c r="S337" s="2" t="n">
        <v>4289.37</v>
      </c>
      <c r="T337" s="2" t="n">
        <v>0.1</v>
      </c>
      <c r="U337" s="2" t="str">
        <f aca="false">IF(ISBLANK(T337),"Yes","No")</f>
        <v>No</v>
      </c>
      <c r="V337" s="2" t="n">
        <f aca="false">IF(ISBLANK(T337),0,IF(ISNUMBER(T337),T337,VALUE(LEFT(T337,LEN(T337)-1))/100))</f>
        <v>0.1</v>
      </c>
      <c r="W337" s="2" t="str">
        <f aca="false">IF(AND(V337&gt;=0,V337&lt;=0.25),"Valid","Invalid")</f>
        <v>Valid</v>
      </c>
      <c r="X337" s="2" t="n">
        <v>11581.3</v>
      </c>
      <c r="Y337" s="2" t="n">
        <f aca="false">R337*S337*(1-V337)</f>
        <v>11581.299</v>
      </c>
      <c r="Z337" s="2" t="str">
        <f aca="false">IF(ABS(X337-Y337)&gt;1,"Mismatch","OK")</f>
        <v>OK</v>
      </c>
      <c r="AA337" s="2" t="n">
        <v>6829.43</v>
      </c>
      <c r="AB337" s="2" t="n">
        <v>4751.87</v>
      </c>
      <c r="AC337" s="2" t="n">
        <f aca="false">Y337-AA337</f>
        <v>4751.869</v>
      </c>
      <c r="AD337" s="2" t="str">
        <f aca="false">IF(ABS(AB337-AC337)&gt;1,"Mismatch","OK")</f>
        <v>OK</v>
      </c>
      <c r="AE337" s="4" t="n">
        <f aca="false">IF(Y337=0,0,AC337/Y337)</f>
        <v>0.410305355211017</v>
      </c>
      <c r="AF337" s="2" t="s">
        <v>52</v>
      </c>
      <c r="AG337" s="2" t="s">
        <v>53</v>
      </c>
      <c r="AH337" s="2" t="str">
        <f aca="false">IF(AND(AG337="Completed",AF337&lt;&gt;"Paid"),"Inconsistent","OK")</f>
        <v>OK</v>
      </c>
      <c r="AI337" s="2" t="n">
        <f aca="false">IF(OR(ISBLANK(B337),ISBLANK(C337)),"",C337-B337)</f>
        <v>2</v>
      </c>
      <c r="AJ337" s="2" t="str">
        <f aca="false">IF(AI337="","Unknown",IF(AI337&lt;0,"Invalid","OK"))</f>
        <v>OK</v>
      </c>
      <c r="AK337" s="2" t="str">
        <f aca="false">IF(ISBLANK(B337),"",TEXT(B337,"mmm"))</f>
        <v>Jun</v>
      </c>
      <c r="AL337" s="2" t="n">
        <f aca="false">IF(ISBLANK(B337),"",YEAR(B337))</f>
        <v>2025</v>
      </c>
      <c r="AM337" s="2" t="s">
        <v>226</v>
      </c>
      <c r="AN337" s="2" t="str">
        <f aca="false">IF(OR(W337="Invalid",AJ337="Invalid",AH337="Inconsistent",Z337="Mismatch",AD337="Mismatch",AM337="Yes",D337="Yes",E337="Yes"),"Invalid",IF(OR(J337="Yes",Q337="Yes",U337="Yes"),"Warning","Clean"))</f>
        <v>Invalid</v>
      </c>
    </row>
    <row r="338" customFormat="false" ht="15" hidden="false" customHeight="false" outlineLevel="0" collapsed="false">
      <c r="A338" s="2" t="s">
        <v>1136</v>
      </c>
      <c r="B338" s="3" t="n">
        <v>45368</v>
      </c>
      <c r="C338" s="3" t="n">
        <v>45372</v>
      </c>
      <c r="D338" s="2" t="s">
        <v>41</v>
      </c>
      <c r="E338" s="2" t="s">
        <v>41</v>
      </c>
      <c r="F338" s="2" t="s">
        <v>888</v>
      </c>
      <c r="G338" s="2" t="s">
        <v>148</v>
      </c>
      <c r="H338" s="2" t="s">
        <v>44</v>
      </c>
      <c r="I338" s="2" t="s">
        <v>45</v>
      </c>
      <c r="J338" s="2" t="s">
        <v>41</v>
      </c>
      <c r="K338" s="2" t="s">
        <v>46</v>
      </c>
      <c r="L338" s="2" t="s">
        <v>47</v>
      </c>
      <c r="M338" s="2" t="s">
        <v>94</v>
      </c>
      <c r="N338" s="2" t="s">
        <v>100</v>
      </c>
      <c r="O338" s="2" t="s">
        <v>1137</v>
      </c>
      <c r="P338" s="2" t="s">
        <v>70</v>
      </c>
      <c r="Q338" s="2" t="s">
        <v>41</v>
      </c>
      <c r="R338" s="2" t="n">
        <v>8</v>
      </c>
      <c r="S338" s="2" t="n">
        <v>1992.57</v>
      </c>
      <c r="T338" s="2" t="n">
        <v>0</v>
      </c>
      <c r="U338" s="2" t="str">
        <f aca="false">IF(ISBLANK(T338),"Yes","No")</f>
        <v>No</v>
      </c>
      <c r="V338" s="2" t="n">
        <f aca="false">IF(ISBLANK(T338),0,IF(ISNUMBER(T338),T338,VALUE(LEFT(T338,LEN(T338)-1))/100))</f>
        <v>0</v>
      </c>
      <c r="W338" s="2" t="str">
        <f aca="false">IF(AND(V338&gt;=0,V338&lt;=0.25),"Valid","Invalid")</f>
        <v>Valid</v>
      </c>
      <c r="X338" s="2" t="n">
        <v>15940.56</v>
      </c>
      <c r="Y338" s="2" t="n">
        <f aca="false">R338*S338*(1-V338)</f>
        <v>15940.56</v>
      </c>
      <c r="Z338" s="2" t="str">
        <f aca="false">IF(ABS(X338-Y338)&gt;1,"Mismatch","OK")</f>
        <v>OK</v>
      </c>
      <c r="AA338" s="2" t="n">
        <v>12347.15</v>
      </c>
      <c r="AB338" s="2" t="n">
        <v>3593.41</v>
      </c>
      <c r="AC338" s="2" t="n">
        <f aca="false">Y338-AA338</f>
        <v>3593.41</v>
      </c>
      <c r="AD338" s="2" t="str">
        <f aca="false">IF(ABS(AB338-AC338)&gt;1,"Mismatch","OK")</f>
        <v>OK</v>
      </c>
      <c r="AE338" s="4" t="n">
        <f aca="false">IF(Y338=0,0,AC338/Y338)</f>
        <v>0.22542558103354</v>
      </c>
      <c r="AF338" s="2" t="s">
        <v>52</v>
      </c>
      <c r="AG338" s="2" t="s">
        <v>53</v>
      </c>
      <c r="AH338" s="2" t="str">
        <f aca="false">IF(AND(AG338="Completed",AF338&lt;&gt;"Paid"),"Inconsistent","OK")</f>
        <v>OK</v>
      </c>
      <c r="AI338" s="2" t="n">
        <f aca="false">IF(OR(ISBLANK(B338),ISBLANK(C338)),"",C338-B338)</f>
        <v>4</v>
      </c>
      <c r="AJ338" s="2" t="str">
        <f aca="false">IF(AI338="","Unknown",IF(AI338&lt;0,"Invalid","OK"))</f>
        <v>OK</v>
      </c>
      <c r="AK338" s="2" t="str">
        <f aca="false">IF(ISBLANK(B338),"",TEXT(B338,"mmm"))</f>
        <v>Mar</v>
      </c>
      <c r="AL338" s="2" t="n">
        <f aca="false">IF(ISBLANK(B338),"",YEAR(B338))</f>
        <v>2024</v>
      </c>
      <c r="AM338" s="2" t="s">
        <v>41</v>
      </c>
      <c r="AN338" s="2" t="str">
        <f aca="false">IF(OR(W338="Invalid",AJ338="Invalid",AH338="Inconsistent",Z338="Mismatch",AD338="Mismatch",AM338="Yes",D338="Yes",E338="Yes"),"Invalid",IF(OR(J338="Yes",Q338="Yes",U338="Yes"),"Warning","Clean"))</f>
        <v>Clean</v>
      </c>
    </row>
    <row r="339" customFormat="false" ht="15" hidden="false" customHeight="false" outlineLevel="0" collapsed="false">
      <c r="A339" s="2" t="s">
        <v>1138</v>
      </c>
      <c r="B339" s="3" t="n">
        <v>45516</v>
      </c>
      <c r="C339" s="3" t="n">
        <v>45522</v>
      </c>
      <c r="D339" s="2" t="s">
        <v>41</v>
      </c>
      <c r="E339" s="2" t="s">
        <v>41</v>
      </c>
      <c r="F339" s="2" t="s">
        <v>1139</v>
      </c>
      <c r="G339" s="2" t="s">
        <v>82</v>
      </c>
      <c r="H339" s="2" t="s">
        <v>44</v>
      </c>
      <c r="I339" s="2" t="s">
        <v>58</v>
      </c>
      <c r="J339" s="2" t="s">
        <v>41</v>
      </c>
      <c r="K339" s="2" t="s">
        <v>186</v>
      </c>
      <c r="L339" s="2" t="s">
        <v>187</v>
      </c>
      <c r="M339" s="2" t="s">
        <v>48</v>
      </c>
      <c r="N339" s="2" t="s">
        <v>111</v>
      </c>
      <c r="O339" s="2" t="s">
        <v>1140</v>
      </c>
      <c r="P339" s="2" t="s">
        <v>64</v>
      </c>
      <c r="Q339" s="2" t="s">
        <v>41</v>
      </c>
      <c r="R339" s="2" t="n">
        <v>6</v>
      </c>
      <c r="S339" s="2" t="n">
        <v>1181.74</v>
      </c>
      <c r="T339" s="2" t="n">
        <v>0</v>
      </c>
      <c r="U339" s="2" t="str">
        <f aca="false">IF(ISBLANK(T339),"Yes","No")</f>
        <v>No</v>
      </c>
      <c r="V339" s="2" t="n">
        <f aca="false">IF(ISBLANK(T339),0,IF(ISNUMBER(T339),T339,VALUE(LEFT(T339,LEN(T339)-1))/100))</f>
        <v>0</v>
      </c>
      <c r="W339" s="2" t="str">
        <f aca="false">IF(AND(V339&gt;=0,V339&lt;=0.25),"Valid","Invalid")</f>
        <v>Valid</v>
      </c>
      <c r="X339" s="2" t="n">
        <v>7090.44</v>
      </c>
      <c r="Y339" s="2" t="n">
        <f aca="false">R339*S339*(1-V339)</f>
        <v>7090.44</v>
      </c>
      <c r="Z339" s="2" t="str">
        <f aca="false">IF(ABS(X339-Y339)&gt;1,"Mismatch","OK")</f>
        <v>OK</v>
      </c>
      <c r="AA339" s="2" t="n">
        <v>5672.27</v>
      </c>
      <c r="AB339" s="2" t="n">
        <v>1262.87</v>
      </c>
      <c r="AC339" s="2" t="n">
        <f aca="false">Y339-AA339</f>
        <v>1418.17</v>
      </c>
      <c r="AD339" s="2" t="str">
        <f aca="false">IF(ABS(AB339-AC339)&gt;1,"Mismatch","OK")</f>
        <v>Mismatch</v>
      </c>
      <c r="AE339" s="4" t="n">
        <f aca="false">IF(Y339=0,0,AC339/Y339)</f>
        <v>0.200011564867625</v>
      </c>
      <c r="AF339" s="2" t="s">
        <v>52</v>
      </c>
      <c r="AG339" s="2" t="s">
        <v>53</v>
      </c>
      <c r="AH339" s="2" t="str">
        <f aca="false">IF(AND(AG339="Completed",AF339&lt;&gt;"Paid"),"Inconsistent","OK")</f>
        <v>OK</v>
      </c>
      <c r="AI339" s="2" t="n">
        <f aca="false">IF(OR(ISBLANK(B339),ISBLANK(C339)),"",C339-B339)</f>
        <v>6</v>
      </c>
      <c r="AJ339" s="2" t="str">
        <f aca="false">IF(AI339="","Unknown",IF(AI339&lt;0,"Invalid","OK"))</f>
        <v>OK</v>
      </c>
      <c r="AK339" s="2" t="str">
        <f aca="false">IF(ISBLANK(B339),"",TEXT(B339,"mmm"))</f>
        <v>Aug</v>
      </c>
      <c r="AL339" s="2" t="n">
        <f aca="false">IF(ISBLANK(B339),"",YEAR(B339))</f>
        <v>2024</v>
      </c>
      <c r="AM339" s="2" t="s">
        <v>41</v>
      </c>
      <c r="AN339" s="2" t="str">
        <f aca="false">IF(OR(W339="Invalid",AJ339="Invalid",AH339="Inconsistent",Z339="Mismatch",AD339="Mismatch",AM339="Yes",D339="Yes",E339="Yes"),"Invalid",IF(OR(J339="Yes",Q339="Yes",U339="Yes"),"Warning","Clean"))</f>
        <v>Invalid</v>
      </c>
    </row>
    <row r="340" customFormat="false" ht="15" hidden="false" customHeight="false" outlineLevel="0" collapsed="false">
      <c r="A340" s="2" t="s">
        <v>1141</v>
      </c>
      <c r="B340" s="3" t="n">
        <v>45634</v>
      </c>
      <c r="C340" s="3" t="n">
        <v>45634</v>
      </c>
      <c r="D340" s="2" t="s">
        <v>41</v>
      </c>
      <c r="E340" s="2" t="s">
        <v>41</v>
      </c>
      <c r="F340" s="2" t="s">
        <v>1142</v>
      </c>
      <c r="G340" s="2" t="s">
        <v>73</v>
      </c>
      <c r="H340" s="2" t="s">
        <v>57</v>
      </c>
      <c r="I340" s="2" t="s">
        <v>74</v>
      </c>
      <c r="J340" s="2" t="s">
        <v>41</v>
      </c>
      <c r="K340" s="2" t="s">
        <v>104</v>
      </c>
      <c r="L340" s="2" t="s">
        <v>105</v>
      </c>
      <c r="M340" s="2" t="s">
        <v>94</v>
      </c>
      <c r="N340" s="2" t="s">
        <v>95</v>
      </c>
      <c r="O340" s="2" t="s">
        <v>1143</v>
      </c>
      <c r="P340" s="2" t="s">
        <v>70</v>
      </c>
      <c r="Q340" s="2" t="s">
        <v>41</v>
      </c>
      <c r="R340" s="2" t="n">
        <v>8</v>
      </c>
      <c r="S340" s="2" t="n">
        <v>4402.36</v>
      </c>
      <c r="T340" s="2" t="n">
        <v>0.25</v>
      </c>
      <c r="U340" s="2" t="str">
        <f aca="false">IF(ISBLANK(T340),"Yes","No")</f>
        <v>No</v>
      </c>
      <c r="V340" s="2" t="n">
        <f aca="false">IF(ISBLANK(T340),0,IF(ISNUMBER(T340),T340,VALUE(LEFT(T340,LEN(T340)-1))/100))</f>
        <v>0.25</v>
      </c>
      <c r="W340" s="2" t="str">
        <f aca="false">IF(AND(V340&gt;=0,V340&lt;=0.25),"Valid","Invalid")</f>
        <v>Valid</v>
      </c>
      <c r="X340" s="2" t="n">
        <v>26414.16</v>
      </c>
      <c r="Y340" s="2" t="n">
        <f aca="false">R340*S340*(1-V340)</f>
        <v>26414.16</v>
      </c>
      <c r="Z340" s="2" t="str">
        <f aca="false">IF(ABS(X340-Y340)&gt;1,"Mismatch","OK")</f>
        <v>OK</v>
      </c>
      <c r="AA340" s="2" t="n">
        <v>21822.53</v>
      </c>
      <c r="AB340" s="2" t="n">
        <v>4591.63</v>
      </c>
      <c r="AC340" s="2" t="n">
        <f aca="false">Y340-AA340</f>
        <v>4591.63</v>
      </c>
      <c r="AD340" s="2" t="str">
        <f aca="false">IF(ABS(AB340-AC340)&gt;1,"Mismatch","OK")</f>
        <v>OK</v>
      </c>
      <c r="AE340" s="4" t="n">
        <f aca="false">IF(Y340=0,0,AC340/Y340)</f>
        <v>0.173832141548321</v>
      </c>
      <c r="AF340" s="2" t="s">
        <v>52</v>
      </c>
      <c r="AG340" s="2" t="s">
        <v>53</v>
      </c>
      <c r="AH340" s="2" t="str">
        <f aca="false">IF(AND(AG340="Completed",AF340&lt;&gt;"Paid"),"Inconsistent","OK")</f>
        <v>OK</v>
      </c>
      <c r="AI340" s="2" t="n">
        <f aca="false">IF(OR(ISBLANK(B340),ISBLANK(C340)),"",C340-B340)</f>
        <v>0</v>
      </c>
      <c r="AJ340" s="2" t="str">
        <f aca="false">IF(AI340="","Unknown",IF(AI340&lt;0,"Invalid","OK"))</f>
        <v>OK</v>
      </c>
      <c r="AK340" s="2" t="str">
        <f aca="false">IF(ISBLANK(B340),"",TEXT(B340,"mmm"))</f>
        <v>Dec</v>
      </c>
      <c r="AL340" s="2" t="n">
        <f aca="false">IF(ISBLANK(B340),"",YEAR(B340))</f>
        <v>2024</v>
      </c>
      <c r="AM340" s="2" t="s">
        <v>41</v>
      </c>
      <c r="AN340" s="2" t="str">
        <f aca="false">IF(OR(W340="Invalid",AJ340="Invalid",AH340="Inconsistent",Z340="Mismatch",AD340="Mismatch",AM340="Yes",D340="Yes",E340="Yes"),"Invalid",IF(OR(J340="Yes",Q340="Yes",U340="Yes"),"Warning","Clean"))</f>
        <v>Clean</v>
      </c>
    </row>
    <row r="341" customFormat="false" ht="15" hidden="false" customHeight="false" outlineLevel="0" collapsed="false">
      <c r="A341" s="2" t="s">
        <v>1144</v>
      </c>
      <c r="B341" s="3" t="n">
        <v>45708</v>
      </c>
      <c r="C341" s="3" t="n">
        <v>45710</v>
      </c>
      <c r="D341" s="2" t="s">
        <v>41</v>
      </c>
      <c r="E341" s="2" t="s">
        <v>41</v>
      </c>
      <c r="F341" s="2" t="s">
        <v>1145</v>
      </c>
      <c r="G341" s="2" t="s">
        <v>99</v>
      </c>
      <c r="H341" s="2" t="s">
        <v>110</v>
      </c>
      <c r="I341" s="2" t="s">
        <v>58</v>
      </c>
      <c r="J341" s="2" t="s">
        <v>41</v>
      </c>
      <c r="K341" s="2" t="s">
        <v>250</v>
      </c>
      <c r="L341" s="2" t="s">
        <v>251</v>
      </c>
      <c r="M341" s="2" t="s">
        <v>61</v>
      </c>
      <c r="N341" s="2" t="s">
        <v>178</v>
      </c>
      <c r="O341" s="2" t="s">
        <v>1146</v>
      </c>
      <c r="P341" s="2" t="s">
        <v>79</v>
      </c>
      <c r="Q341" s="2" t="s">
        <v>41</v>
      </c>
      <c r="R341" s="2" t="n">
        <v>8</v>
      </c>
      <c r="S341" s="2" t="n">
        <v>3265.76</v>
      </c>
      <c r="T341" s="2" t="n">
        <v>0.2</v>
      </c>
      <c r="U341" s="2" t="str">
        <f aca="false">IF(ISBLANK(T341),"Yes","No")</f>
        <v>No</v>
      </c>
      <c r="V341" s="2" t="n">
        <f aca="false">IF(ISBLANK(T341),0,IF(ISNUMBER(T341),T341,VALUE(LEFT(T341,LEN(T341)-1))/100))</f>
        <v>0.2</v>
      </c>
      <c r="W341" s="2" t="str">
        <f aca="false">IF(AND(V341&gt;=0,V341&lt;=0.25),"Valid","Invalid")</f>
        <v>Valid</v>
      </c>
      <c r="X341" s="2" t="n">
        <v>20900.86</v>
      </c>
      <c r="Y341" s="2" t="n">
        <f aca="false">R341*S341*(1-V341)</f>
        <v>20900.864</v>
      </c>
      <c r="Z341" s="2" t="str">
        <f aca="false">IF(ABS(X341-Y341)&gt;1,"Mismatch","OK")</f>
        <v>OK</v>
      </c>
      <c r="AA341" s="2" t="n">
        <v>12513.14</v>
      </c>
      <c r="AB341" s="2" t="n">
        <v>8387.72</v>
      </c>
      <c r="AC341" s="2" t="n">
        <f aca="false">Y341-AA341</f>
        <v>8387.724</v>
      </c>
      <c r="AD341" s="2" t="str">
        <f aca="false">IF(ABS(AB341-AC341)&gt;1,"Mismatch","OK")</f>
        <v>OK</v>
      </c>
      <c r="AE341" s="4" t="n">
        <f aca="false">IF(Y341=0,0,AC341/Y341)</f>
        <v>0.401309917140268</v>
      </c>
      <c r="AF341" s="2" t="s">
        <v>52</v>
      </c>
      <c r="AG341" s="2" t="s">
        <v>53</v>
      </c>
      <c r="AH341" s="2" t="str">
        <f aca="false">IF(AND(AG341="Completed",AF341&lt;&gt;"Paid"),"Inconsistent","OK")</f>
        <v>OK</v>
      </c>
      <c r="AI341" s="2" t="n">
        <f aca="false">IF(OR(ISBLANK(B341),ISBLANK(C341)),"",C341-B341)</f>
        <v>2</v>
      </c>
      <c r="AJ341" s="2" t="str">
        <f aca="false">IF(AI341="","Unknown",IF(AI341&lt;0,"Invalid","OK"))</f>
        <v>OK</v>
      </c>
      <c r="AK341" s="2" t="str">
        <f aca="false">IF(ISBLANK(B341),"",TEXT(B341,"mmm"))</f>
        <v>Feb</v>
      </c>
      <c r="AL341" s="2" t="n">
        <f aca="false">IF(ISBLANK(B341),"",YEAR(B341))</f>
        <v>2025</v>
      </c>
      <c r="AM341" s="2" t="s">
        <v>41</v>
      </c>
      <c r="AN341" s="2" t="str">
        <f aca="false">IF(OR(W341="Invalid",AJ341="Invalid",AH341="Inconsistent",Z341="Mismatch",AD341="Mismatch",AM341="Yes",D341="Yes",E341="Yes"),"Invalid",IF(OR(J341="Yes",Q341="Yes",U341="Yes"),"Warning","Clean"))</f>
        <v>Clean</v>
      </c>
    </row>
    <row r="342" customFormat="false" ht="15" hidden="false" customHeight="false" outlineLevel="0" collapsed="false">
      <c r="A342" s="2" t="s">
        <v>1147</v>
      </c>
      <c r="B342" s="3" t="n">
        <v>45312</v>
      </c>
      <c r="C342" s="3" t="n">
        <v>45320</v>
      </c>
      <c r="D342" s="2" t="s">
        <v>41</v>
      </c>
      <c r="E342" s="2" t="s">
        <v>41</v>
      </c>
      <c r="F342" s="2" t="s">
        <v>1148</v>
      </c>
      <c r="G342" s="2" t="s">
        <v>99</v>
      </c>
      <c r="H342" s="2" t="s">
        <v>44</v>
      </c>
      <c r="I342" s="2" t="s">
        <v>74</v>
      </c>
      <c r="J342" s="2" t="s">
        <v>41</v>
      </c>
      <c r="K342" s="2" t="s">
        <v>195</v>
      </c>
      <c r="L342" s="2" t="s">
        <v>196</v>
      </c>
      <c r="M342" s="2" t="s">
        <v>48</v>
      </c>
      <c r="N342" s="2" t="s">
        <v>173</v>
      </c>
      <c r="O342" s="2" t="s">
        <v>1149</v>
      </c>
      <c r="P342" s="2" t="s">
        <v>79</v>
      </c>
      <c r="Q342" s="2" t="s">
        <v>41</v>
      </c>
      <c r="R342" s="2" t="n">
        <v>5</v>
      </c>
      <c r="S342" s="2" t="n">
        <v>4058.08</v>
      </c>
      <c r="T342" s="2" t="n">
        <v>0.1</v>
      </c>
      <c r="U342" s="2" t="str">
        <f aca="false">IF(ISBLANK(T342),"Yes","No")</f>
        <v>No</v>
      </c>
      <c r="V342" s="2" t="n">
        <f aca="false">IF(ISBLANK(T342),0,IF(ISNUMBER(T342),T342,VALUE(LEFT(T342,LEN(T342)-1))/100))</f>
        <v>0.1</v>
      </c>
      <c r="W342" s="2" t="str">
        <f aca="false">IF(AND(V342&gt;=0,V342&lt;=0.25),"Valid","Invalid")</f>
        <v>Valid</v>
      </c>
      <c r="X342" s="2" t="n">
        <v>18261.36</v>
      </c>
      <c r="Y342" s="2" t="n">
        <f aca="false">R342*S342*(1-V342)</f>
        <v>18261.36</v>
      </c>
      <c r="Z342" s="2" t="str">
        <f aca="false">IF(ABS(X342-Y342)&gt;1,"Mismatch","OK")</f>
        <v>OK</v>
      </c>
      <c r="AA342" s="2" t="n">
        <v>11399.94</v>
      </c>
      <c r="AB342" s="2" t="n">
        <v>6861.42</v>
      </c>
      <c r="AC342" s="2" t="n">
        <f aca="false">Y342-AA342</f>
        <v>6861.42</v>
      </c>
      <c r="AD342" s="2" t="str">
        <f aca="false">IF(ABS(AB342-AC342)&gt;1,"Mismatch","OK")</f>
        <v>OK</v>
      </c>
      <c r="AE342" s="4" t="n">
        <f aca="false">IF(Y342=0,0,AC342/Y342)</f>
        <v>0.375734337420652</v>
      </c>
      <c r="AF342" s="2" t="s">
        <v>52</v>
      </c>
      <c r="AG342" s="2" t="s">
        <v>53</v>
      </c>
      <c r="AH342" s="2" t="str">
        <f aca="false">IF(AND(AG342="Completed",AF342&lt;&gt;"Paid"),"Inconsistent","OK")</f>
        <v>OK</v>
      </c>
      <c r="AI342" s="2" t="n">
        <f aca="false">IF(OR(ISBLANK(B342),ISBLANK(C342)),"",C342-B342)</f>
        <v>8</v>
      </c>
      <c r="AJ342" s="2" t="str">
        <f aca="false">IF(AI342="","Unknown",IF(AI342&lt;0,"Invalid","OK"))</f>
        <v>OK</v>
      </c>
      <c r="AK342" s="2" t="str">
        <f aca="false">IF(ISBLANK(B342),"",TEXT(B342,"mmm"))</f>
        <v>Jan</v>
      </c>
      <c r="AL342" s="2" t="n">
        <f aca="false">IF(ISBLANK(B342),"",YEAR(B342))</f>
        <v>2024</v>
      </c>
      <c r="AM342" s="2" t="s">
        <v>41</v>
      </c>
      <c r="AN342" s="2" t="str">
        <f aca="false">IF(OR(W342="Invalid",AJ342="Invalid",AH342="Inconsistent",Z342="Mismatch",AD342="Mismatch",AM342="Yes",D342="Yes",E342="Yes"),"Invalid",IF(OR(J342="Yes",Q342="Yes",U342="Yes"),"Warning","Clean"))</f>
        <v>Clean</v>
      </c>
    </row>
    <row r="343" customFormat="false" ht="15" hidden="false" customHeight="false" outlineLevel="0" collapsed="false">
      <c r="A343" s="2" t="s">
        <v>1150</v>
      </c>
      <c r="B343" s="3" t="n">
        <v>45908</v>
      </c>
      <c r="C343" s="3" t="n">
        <v>45909</v>
      </c>
      <c r="D343" s="2" t="s">
        <v>41</v>
      </c>
      <c r="E343" s="2" t="s">
        <v>41</v>
      </c>
      <c r="F343" s="2" t="s">
        <v>1151</v>
      </c>
      <c r="G343" s="2" t="s">
        <v>161</v>
      </c>
      <c r="H343" s="2" t="s">
        <v>115</v>
      </c>
      <c r="I343" s="2" t="s">
        <v>83</v>
      </c>
      <c r="J343" s="2" t="s">
        <v>41</v>
      </c>
      <c r="K343" s="2" t="s">
        <v>200</v>
      </c>
      <c r="L343" s="2" t="s">
        <v>201</v>
      </c>
      <c r="M343" s="2" t="s">
        <v>61</v>
      </c>
      <c r="N343" s="2" t="s">
        <v>86</v>
      </c>
      <c r="O343" s="2" t="s">
        <v>1152</v>
      </c>
      <c r="P343" s="2" t="s">
        <v>51</v>
      </c>
      <c r="Q343" s="2" t="s">
        <v>41</v>
      </c>
      <c r="R343" s="2" t="n">
        <v>2</v>
      </c>
      <c r="S343" s="2" t="n">
        <v>3960.33</v>
      </c>
      <c r="T343" s="2" t="n">
        <v>0.05</v>
      </c>
      <c r="U343" s="2" t="str">
        <f aca="false">IF(ISBLANK(T343),"Yes","No")</f>
        <v>No</v>
      </c>
      <c r="V343" s="2" t="n">
        <f aca="false">IF(ISBLANK(T343),0,IF(ISNUMBER(T343),T343,VALUE(LEFT(T343,LEN(T343)-1))/100))</f>
        <v>0.05</v>
      </c>
      <c r="W343" s="2" t="str">
        <f aca="false">IF(AND(V343&gt;=0,V343&lt;=0.25),"Valid","Invalid")</f>
        <v>Valid</v>
      </c>
      <c r="X343" s="2" t="n">
        <v>7524.63</v>
      </c>
      <c r="Y343" s="2" t="n">
        <f aca="false">R343*S343*(1-V343)</f>
        <v>7524.627</v>
      </c>
      <c r="Z343" s="2" t="str">
        <f aca="false">IF(ABS(X343-Y343)&gt;1,"Mismatch","OK")</f>
        <v>OK</v>
      </c>
      <c r="AA343" s="2" t="n">
        <v>6229.6</v>
      </c>
      <c r="AB343" s="2" t="n">
        <v>1295.03</v>
      </c>
      <c r="AC343" s="2" t="n">
        <f aca="false">Y343-AA343</f>
        <v>1295.027</v>
      </c>
      <c r="AD343" s="2" t="str">
        <f aca="false">IF(ABS(AB343-AC343)&gt;1,"Mismatch","OK")</f>
        <v>OK</v>
      </c>
      <c r="AE343" s="4" t="n">
        <f aca="false">IF(Y343=0,0,AC343/Y343)</f>
        <v>0.172105142221668</v>
      </c>
      <c r="AF343" s="2" t="s">
        <v>52</v>
      </c>
      <c r="AG343" s="2" t="s">
        <v>53</v>
      </c>
      <c r="AH343" s="2" t="str">
        <f aca="false">IF(AND(AG343="Completed",AF343&lt;&gt;"Paid"),"Inconsistent","OK")</f>
        <v>OK</v>
      </c>
      <c r="AI343" s="2" t="n">
        <f aca="false">IF(OR(ISBLANK(B343),ISBLANK(C343)),"",C343-B343)</f>
        <v>1</v>
      </c>
      <c r="AJ343" s="2" t="str">
        <f aca="false">IF(AI343="","Unknown",IF(AI343&lt;0,"Invalid","OK"))</f>
        <v>OK</v>
      </c>
      <c r="AK343" s="2" t="str">
        <f aca="false">IF(ISBLANK(B343),"",TEXT(B343,"mmm"))</f>
        <v>Sep</v>
      </c>
      <c r="AL343" s="2" t="n">
        <f aca="false">IF(ISBLANK(B343),"",YEAR(B343))</f>
        <v>2025</v>
      </c>
      <c r="AM343" s="2" t="s">
        <v>41</v>
      </c>
      <c r="AN343" s="2" t="str">
        <f aca="false">IF(OR(W343="Invalid",AJ343="Invalid",AH343="Inconsistent",Z343="Mismatch",AD343="Mismatch",AM343="Yes",D343="Yes",E343="Yes"),"Invalid",IF(OR(J343="Yes",Q343="Yes",U343="Yes"),"Warning","Clean"))</f>
        <v>Clean</v>
      </c>
    </row>
    <row r="344" customFormat="false" ht="15" hidden="false" customHeight="false" outlineLevel="0" collapsed="false">
      <c r="A344" s="2" t="s">
        <v>1153</v>
      </c>
      <c r="B344" s="3" t="n">
        <v>45862</v>
      </c>
      <c r="C344" s="3" t="n">
        <v>45870</v>
      </c>
      <c r="D344" s="2" t="s">
        <v>41</v>
      </c>
      <c r="E344" s="2" t="s">
        <v>41</v>
      </c>
      <c r="F344" s="2" t="s">
        <v>1154</v>
      </c>
      <c r="G344" s="2" t="s">
        <v>286</v>
      </c>
      <c r="H344" s="2" t="s">
        <v>57</v>
      </c>
      <c r="I344" s="2" t="s">
        <v>58</v>
      </c>
      <c r="J344" s="2" t="s">
        <v>41</v>
      </c>
      <c r="K344" s="2" t="s">
        <v>250</v>
      </c>
      <c r="L344" s="2" t="s">
        <v>251</v>
      </c>
      <c r="M344" s="2" t="s">
        <v>48</v>
      </c>
      <c r="N344" s="2" t="s">
        <v>173</v>
      </c>
      <c r="O344" s="2" t="s">
        <v>1155</v>
      </c>
      <c r="P344" s="2" t="s">
        <v>70</v>
      </c>
      <c r="Q344" s="2" t="s">
        <v>41</v>
      </c>
      <c r="R344" s="2" t="n">
        <v>8</v>
      </c>
      <c r="S344" s="2" t="n">
        <v>1528.92</v>
      </c>
      <c r="T344" s="2" t="n">
        <v>0</v>
      </c>
      <c r="U344" s="2" t="str">
        <f aca="false">IF(ISBLANK(T344),"Yes","No")</f>
        <v>No</v>
      </c>
      <c r="V344" s="2" t="n">
        <f aca="false">IF(ISBLANK(T344),0,IF(ISNUMBER(T344),T344,VALUE(LEFT(T344,LEN(T344)-1))/100))</f>
        <v>0</v>
      </c>
      <c r="W344" s="2" t="str">
        <f aca="false">IF(AND(V344&gt;=0,V344&lt;=0.25),"Valid","Invalid")</f>
        <v>Valid</v>
      </c>
      <c r="X344" s="2" t="n">
        <v>12231.36</v>
      </c>
      <c r="Y344" s="2" t="n">
        <f aca="false">R344*S344*(1-V344)</f>
        <v>12231.36</v>
      </c>
      <c r="Z344" s="2" t="str">
        <f aca="false">IF(ABS(X344-Y344)&gt;1,"Mismatch","OK")</f>
        <v>OK</v>
      </c>
      <c r="AA344" s="2" t="n">
        <v>8766.9</v>
      </c>
      <c r="AB344" s="2" t="n">
        <v>3464.46</v>
      </c>
      <c r="AC344" s="2" t="n">
        <f aca="false">Y344-AA344</f>
        <v>3464.46</v>
      </c>
      <c r="AD344" s="2" t="str">
        <f aca="false">IF(ABS(AB344-AC344)&gt;1,"Mismatch","OK")</f>
        <v>OK</v>
      </c>
      <c r="AE344" s="4" t="n">
        <f aca="false">IF(Y344=0,0,AC344/Y344)</f>
        <v>0.283244054626795</v>
      </c>
      <c r="AF344" s="2" t="s">
        <v>52</v>
      </c>
      <c r="AG344" s="2" t="s">
        <v>53</v>
      </c>
      <c r="AH344" s="2" t="str">
        <f aca="false">IF(AND(AG344="Completed",AF344&lt;&gt;"Paid"),"Inconsistent","OK")</f>
        <v>OK</v>
      </c>
      <c r="AI344" s="2" t="n">
        <f aca="false">IF(OR(ISBLANK(B344),ISBLANK(C344)),"",C344-B344)</f>
        <v>8</v>
      </c>
      <c r="AJ344" s="2" t="str">
        <f aca="false">IF(AI344="","Unknown",IF(AI344&lt;0,"Invalid","OK"))</f>
        <v>OK</v>
      </c>
      <c r="AK344" s="2" t="str">
        <f aca="false">IF(ISBLANK(B344),"",TEXT(B344,"mmm"))</f>
        <v>Jul</v>
      </c>
      <c r="AL344" s="2" t="n">
        <f aca="false">IF(ISBLANK(B344),"",YEAR(B344))</f>
        <v>2025</v>
      </c>
      <c r="AM344" s="2" t="s">
        <v>41</v>
      </c>
      <c r="AN344" s="2" t="str">
        <f aca="false">IF(OR(W344="Invalid",AJ344="Invalid",AH344="Inconsistent",Z344="Mismatch",AD344="Mismatch",AM344="Yes",D344="Yes",E344="Yes"),"Invalid",IF(OR(J344="Yes",Q344="Yes",U344="Yes"),"Warning","Clean"))</f>
        <v>Clean</v>
      </c>
    </row>
    <row r="345" customFormat="false" ht="15" hidden="false" customHeight="false" outlineLevel="0" collapsed="false">
      <c r="A345" s="2" t="s">
        <v>1156</v>
      </c>
      <c r="B345" s="3" t="n">
        <v>45933</v>
      </c>
      <c r="C345" s="3" t="n">
        <v>45938</v>
      </c>
      <c r="D345" s="2" t="s">
        <v>41</v>
      </c>
      <c r="E345" s="2" t="s">
        <v>41</v>
      </c>
      <c r="F345" s="2" t="s">
        <v>1157</v>
      </c>
      <c r="G345" s="2" t="s">
        <v>148</v>
      </c>
      <c r="H345" s="2" t="s">
        <v>110</v>
      </c>
      <c r="I345" s="2" t="s">
        <v>83</v>
      </c>
      <c r="J345" s="2" t="s">
        <v>41</v>
      </c>
      <c r="K345" s="2" t="s">
        <v>92</v>
      </c>
      <c r="L345" s="2" t="s">
        <v>93</v>
      </c>
      <c r="M345" s="2" t="s">
        <v>94</v>
      </c>
      <c r="N345" s="2" t="s">
        <v>296</v>
      </c>
      <c r="O345" s="2" t="s">
        <v>1158</v>
      </c>
      <c r="P345" s="2" t="s">
        <v>64</v>
      </c>
      <c r="Q345" s="2" t="s">
        <v>41</v>
      </c>
      <c r="R345" s="2" t="n">
        <v>9</v>
      </c>
      <c r="S345" s="2" t="n">
        <v>3837</v>
      </c>
      <c r="T345" s="2" t="n">
        <v>0.1</v>
      </c>
      <c r="U345" s="2" t="str">
        <f aca="false">IF(ISBLANK(T345),"Yes","No")</f>
        <v>No</v>
      </c>
      <c r="V345" s="2" t="n">
        <f aca="false">IF(ISBLANK(T345),0,IF(ISNUMBER(T345),T345,VALUE(LEFT(T345,LEN(T345)-1))/100))</f>
        <v>0.1</v>
      </c>
      <c r="W345" s="2" t="str">
        <f aca="false">IF(AND(V345&gt;=0,V345&lt;=0.25),"Valid","Invalid")</f>
        <v>Valid</v>
      </c>
      <c r="X345" s="2" t="n">
        <v>31079.7</v>
      </c>
      <c r="Y345" s="2" t="n">
        <f aca="false">R345*S345*(1-V345)</f>
        <v>31079.7</v>
      </c>
      <c r="Z345" s="2" t="str">
        <f aca="false">IF(ABS(X345-Y345)&gt;1,"Mismatch","OK")</f>
        <v>OK</v>
      </c>
      <c r="AA345" s="2" t="n">
        <v>17758.25</v>
      </c>
      <c r="AB345" s="2" t="n">
        <v>13321.45</v>
      </c>
      <c r="AC345" s="2" t="n">
        <f aca="false">Y345-AA345</f>
        <v>13321.45</v>
      </c>
      <c r="AD345" s="2" t="str">
        <f aca="false">IF(ABS(AB345-AC345)&gt;1,"Mismatch","OK")</f>
        <v>OK</v>
      </c>
      <c r="AE345" s="4" t="n">
        <f aca="false">IF(Y345=0,0,AC345/Y345)</f>
        <v>0.428622219648195</v>
      </c>
      <c r="AF345" s="2" t="s">
        <v>52</v>
      </c>
      <c r="AG345" s="2" t="s">
        <v>53</v>
      </c>
      <c r="AH345" s="2" t="str">
        <f aca="false">IF(AND(AG345="Completed",AF345&lt;&gt;"Paid"),"Inconsistent","OK")</f>
        <v>OK</v>
      </c>
      <c r="AI345" s="2" t="n">
        <f aca="false">IF(OR(ISBLANK(B345),ISBLANK(C345)),"",C345-B345)</f>
        <v>5</v>
      </c>
      <c r="AJ345" s="2" t="str">
        <f aca="false">IF(AI345="","Unknown",IF(AI345&lt;0,"Invalid","OK"))</f>
        <v>OK</v>
      </c>
      <c r="AK345" s="2" t="str">
        <f aca="false">IF(ISBLANK(B345),"",TEXT(B345,"mmm"))</f>
        <v>Oct</v>
      </c>
      <c r="AL345" s="2" t="n">
        <f aca="false">IF(ISBLANK(B345),"",YEAR(B345))</f>
        <v>2025</v>
      </c>
      <c r="AM345" s="2" t="s">
        <v>41</v>
      </c>
      <c r="AN345" s="2" t="str">
        <f aca="false">IF(OR(W345="Invalid",AJ345="Invalid",AH345="Inconsistent",Z345="Mismatch",AD345="Mismatch",AM345="Yes",D345="Yes",E345="Yes"),"Invalid",IF(OR(J345="Yes",Q345="Yes",U345="Yes"),"Warning","Clean"))</f>
        <v>Clean</v>
      </c>
    </row>
    <row r="346" customFormat="false" ht="15" hidden="false" customHeight="false" outlineLevel="0" collapsed="false">
      <c r="A346" s="2" t="s">
        <v>1159</v>
      </c>
      <c r="B346" s="3" t="n">
        <v>45362</v>
      </c>
      <c r="C346" s="3" t="n">
        <v>45362</v>
      </c>
      <c r="D346" s="2" t="s">
        <v>41</v>
      </c>
      <c r="E346" s="2" t="s">
        <v>41</v>
      </c>
      <c r="F346" s="2" t="s">
        <v>1160</v>
      </c>
      <c r="G346" s="2" t="s">
        <v>134</v>
      </c>
      <c r="H346" s="2" t="s">
        <v>44</v>
      </c>
      <c r="I346" s="2" t="s">
        <v>45</v>
      </c>
      <c r="J346" s="2" t="s">
        <v>41</v>
      </c>
      <c r="K346" s="2" t="s">
        <v>142</v>
      </c>
      <c r="L346" s="2" t="s">
        <v>143</v>
      </c>
      <c r="M346" s="2" t="s">
        <v>61</v>
      </c>
      <c r="N346" s="2" t="s">
        <v>178</v>
      </c>
      <c r="O346" s="2" t="s">
        <v>1161</v>
      </c>
      <c r="P346" s="2" t="s">
        <v>64</v>
      </c>
      <c r="Q346" s="2" t="s">
        <v>41</v>
      </c>
      <c r="R346" s="2" t="n">
        <v>9</v>
      </c>
      <c r="S346" s="2" t="n">
        <v>3456.38</v>
      </c>
      <c r="T346" s="2" t="n">
        <v>0</v>
      </c>
      <c r="U346" s="2" t="str">
        <f aca="false">IF(ISBLANK(T346),"Yes","No")</f>
        <v>No</v>
      </c>
      <c r="V346" s="2" t="n">
        <f aca="false">IF(ISBLANK(T346),0,IF(ISNUMBER(T346),T346,VALUE(LEFT(T346,LEN(T346)-1))/100))</f>
        <v>0</v>
      </c>
      <c r="W346" s="2" t="str">
        <f aca="false">IF(AND(V346&gt;=0,V346&lt;=0.25),"Valid","Invalid")</f>
        <v>Valid</v>
      </c>
      <c r="X346" s="2" t="n">
        <v>31107.42</v>
      </c>
      <c r="Y346" s="2" t="n">
        <f aca="false">R346*S346*(1-V346)</f>
        <v>31107.42</v>
      </c>
      <c r="Z346" s="2" t="str">
        <f aca="false">IF(ABS(X346-Y346)&gt;1,"Mismatch","OK")</f>
        <v>OK</v>
      </c>
      <c r="AA346" s="2" t="n">
        <v>20146.66</v>
      </c>
      <c r="AB346" s="2" t="n">
        <v>10960.76</v>
      </c>
      <c r="AC346" s="2" t="n">
        <f aca="false">Y346-AA346</f>
        <v>10960.76</v>
      </c>
      <c r="AD346" s="2" t="str">
        <f aca="false">IF(ABS(AB346-AC346)&gt;1,"Mismatch","OK")</f>
        <v>OK</v>
      </c>
      <c r="AE346" s="4" t="n">
        <f aca="false">IF(Y346=0,0,AC346/Y346)</f>
        <v>0.352351946898843</v>
      </c>
      <c r="AF346" s="2" t="s">
        <v>131</v>
      </c>
      <c r="AG346" s="2" t="s">
        <v>123</v>
      </c>
      <c r="AH346" s="2" t="str">
        <f aca="false">IF(AND(AG346="Completed",AF346&lt;&gt;"Paid"),"Inconsistent","OK")</f>
        <v>OK</v>
      </c>
      <c r="AI346" s="2" t="n">
        <f aca="false">IF(OR(ISBLANK(B346),ISBLANK(C346)),"",C346-B346)</f>
        <v>0</v>
      </c>
      <c r="AJ346" s="2" t="str">
        <f aca="false">IF(AI346="","Unknown",IF(AI346&lt;0,"Invalid","OK"))</f>
        <v>OK</v>
      </c>
      <c r="AK346" s="2" t="str">
        <f aca="false">IF(ISBLANK(B346),"",TEXT(B346,"mmm"))</f>
        <v>Mar</v>
      </c>
      <c r="AL346" s="2" t="n">
        <f aca="false">IF(ISBLANK(B346),"",YEAR(B346))</f>
        <v>2024</v>
      </c>
      <c r="AM346" s="2" t="s">
        <v>41</v>
      </c>
      <c r="AN346" s="2" t="str">
        <f aca="false">IF(OR(W346="Invalid",AJ346="Invalid",AH346="Inconsistent",Z346="Mismatch",AD346="Mismatch",AM346="Yes",D346="Yes",E346="Yes"),"Invalid",IF(OR(J346="Yes",Q346="Yes",U346="Yes"),"Warning","Clean"))</f>
        <v>Clean</v>
      </c>
    </row>
    <row r="347" customFormat="false" ht="15" hidden="false" customHeight="false" outlineLevel="0" collapsed="false">
      <c r="A347" s="2" t="s">
        <v>1162</v>
      </c>
      <c r="B347" s="3" t="n">
        <v>45549</v>
      </c>
      <c r="C347" s="3" t="n">
        <v>45557</v>
      </c>
      <c r="D347" s="2" t="s">
        <v>41</v>
      </c>
      <c r="E347" s="2" t="s">
        <v>41</v>
      </c>
      <c r="F347" s="2" t="s">
        <v>1163</v>
      </c>
      <c r="G347" s="2" t="s">
        <v>43</v>
      </c>
      <c r="H347" s="2" t="s">
        <v>44</v>
      </c>
      <c r="I347" s="2" t="s">
        <v>83</v>
      </c>
      <c r="J347" s="2" t="s">
        <v>41</v>
      </c>
      <c r="K347" s="2" t="s">
        <v>92</v>
      </c>
      <c r="L347" s="2" t="s">
        <v>93</v>
      </c>
      <c r="M347" s="2" t="s">
        <v>61</v>
      </c>
      <c r="N347" s="2" t="s">
        <v>77</v>
      </c>
      <c r="O347" s="2" t="s">
        <v>1164</v>
      </c>
      <c r="P347" s="2" t="s">
        <v>51</v>
      </c>
      <c r="Q347" s="2" t="s">
        <v>41</v>
      </c>
      <c r="R347" s="2" t="n">
        <v>2</v>
      </c>
      <c r="S347" s="2" t="n">
        <v>2765.3</v>
      </c>
      <c r="T347" s="2" t="n">
        <v>0</v>
      </c>
      <c r="U347" s="2" t="str">
        <f aca="false">IF(ISBLANK(T347),"Yes","No")</f>
        <v>No</v>
      </c>
      <c r="V347" s="2" t="n">
        <f aca="false">IF(ISBLANK(T347),0,IF(ISNUMBER(T347),T347,VALUE(LEFT(T347,LEN(T347)-1))/100))</f>
        <v>0</v>
      </c>
      <c r="W347" s="2" t="str">
        <f aca="false">IF(AND(V347&gt;=0,V347&lt;=0.25),"Valid","Invalid")</f>
        <v>Valid</v>
      </c>
      <c r="X347" s="2" t="n">
        <v>5530.6</v>
      </c>
      <c r="Y347" s="2" t="n">
        <f aca="false">R347*S347*(1-V347)</f>
        <v>5530.6</v>
      </c>
      <c r="Z347" s="2" t="str">
        <f aca="false">IF(ABS(X347-Y347)&gt;1,"Mismatch","OK")</f>
        <v>OK</v>
      </c>
      <c r="AA347" s="2" t="n">
        <v>4453.11</v>
      </c>
      <c r="AB347" s="2" t="n">
        <v>1077.49</v>
      </c>
      <c r="AC347" s="2" t="n">
        <f aca="false">Y347-AA347</f>
        <v>1077.49</v>
      </c>
      <c r="AD347" s="2" t="str">
        <f aca="false">IF(ABS(AB347-AC347)&gt;1,"Mismatch","OK")</f>
        <v>OK</v>
      </c>
      <c r="AE347" s="4" t="n">
        <f aca="false">IF(Y347=0,0,AC347/Y347)</f>
        <v>0.194823346472354</v>
      </c>
      <c r="AF347" s="2" t="s">
        <v>52</v>
      </c>
      <c r="AG347" s="2" t="s">
        <v>53</v>
      </c>
      <c r="AH347" s="2" t="str">
        <f aca="false">IF(AND(AG347="Completed",AF347&lt;&gt;"Paid"),"Inconsistent","OK")</f>
        <v>OK</v>
      </c>
      <c r="AI347" s="2" t="n">
        <f aca="false">IF(OR(ISBLANK(B347),ISBLANK(C347)),"",C347-B347)</f>
        <v>8</v>
      </c>
      <c r="AJ347" s="2" t="str">
        <f aca="false">IF(AI347="","Unknown",IF(AI347&lt;0,"Invalid","OK"))</f>
        <v>OK</v>
      </c>
      <c r="AK347" s="2" t="str">
        <f aca="false">IF(ISBLANK(B347),"",TEXT(B347,"mmm"))</f>
        <v>Sep</v>
      </c>
      <c r="AL347" s="2" t="n">
        <f aca="false">IF(ISBLANK(B347),"",YEAR(B347))</f>
        <v>2024</v>
      </c>
      <c r="AM347" s="2" t="s">
        <v>41</v>
      </c>
      <c r="AN347" s="2" t="str">
        <f aca="false">IF(OR(W347="Invalid",AJ347="Invalid",AH347="Inconsistent",Z347="Mismatch",AD347="Mismatch",AM347="Yes",D347="Yes",E347="Yes"),"Invalid",IF(OR(J347="Yes",Q347="Yes",U347="Yes"),"Warning","Clean"))</f>
        <v>Clean</v>
      </c>
    </row>
    <row r="348" customFormat="false" ht="15" hidden="false" customHeight="false" outlineLevel="0" collapsed="false">
      <c r="A348" s="2" t="s">
        <v>1165</v>
      </c>
      <c r="B348" s="3" t="n">
        <v>45860</v>
      </c>
      <c r="C348" s="3" t="n">
        <v>45866</v>
      </c>
      <c r="D348" s="2" t="s">
        <v>41</v>
      </c>
      <c r="E348" s="2" t="s">
        <v>41</v>
      </c>
      <c r="F348" s="2" t="s">
        <v>1166</v>
      </c>
      <c r="G348" s="2" t="s">
        <v>138</v>
      </c>
      <c r="H348" s="2" t="s">
        <v>110</v>
      </c>
      <c r="I348" s="2" t="s">
        <v>74</v>
      </c>
      <c r="J348" s="2" t="s">
        <v>41</v>
      </c>
      <c r="K348" s="2" t="s">
        <v>205</v>
      </c>
      <c r="L348" s="2" t="s">
        <v>206</v>
      </c>
      <c r="M348" s="2" t="s">
        <v>61</v>
      </c>
      <c r="N348" s="2" t="s">
        <v>86</v>
      </c>
      <c r="O348" s="2" t="s">
        <v>1167</v>
      </c>
      <c r="P348" s="2" t="s">
        <v>51</v>
      </c>
      <c r="Q348" s="2" t="s">
        <v>41</v>
      </c>
      <c r="R348" s="2" t="n">
        <v>6</v>
      </c>
      <c r="S348" s="2" t="n">
        <v>1607.46</v>
      </c>
      <c r="T348" s="2" t="n">
        <v>0.2</v>
      </c>
      <c r="U348" s="2" t="str">
        <f aca="false">IF(ISBLANK(T348),"Yes","No")</f>
        <v>No</v>
      </c>
      <c r="V348" s="2" t="n">
        <f aca="false">IF(ISBLANK(T348),0,IF(ISNUMBER(T348),T348,VALUE(LEFT(T348,LEN(T348)-1))/100))</f>
        <v>0.2</v>
      </c>
      <c r="W348" s="2" t="str">
        <f aca="false">IF(AND(V348&gt;=0,V348&lt;=0.25),"Valid","Invalid")</f>
        <v>Valid</v>
      </c>
      <c r="X348" s="2" t="n">
        <v>7715.81</v>
      </c>
      <c r="Y348" s="2" t="n">
        <f aca="false">R348*S348*(1-V348)</f>
        <v>7715.808</v>
      </c>
      <c r="Z348" s="2" t="str">
        <f aca="false">IF(ABS(X348-Y348)&gt;1,"Mismatch","OK")</f>
        <v>OK</v>
      </c>
      <c r="AA348" s="2" t="n">
        <v>4258.42</v>
      </c>
      <c r="AB348" s="2" t="n">
        <v>3457.39</v>
      </c>
      <c r="AC348" s="2" t="n">
        <f aca="false">Y348-AA348</f>
        <v>3457.388</v>
      </c>
      <c r="AD348" s="2" t="str">
        <f aca="false">IF(ABS(AB348-AC348)&gt;1,"Mismatch","OK")</f>
        <v>OK</v>
      </c>
      <c r="AE348" s="4" t="n">
        <f aca="false">IF(Y348=0,0,AC348/Y348)</f>
        <v>0.448091502536092</v>
      </c>
      <c r="AF348" s="2" t="s">
        <v>52</v>
      </c>
      <c r="AG348" s="2" t="s">
        <v>53</v>
      </c>
      <c r="AH348" s="2" t="str">
        <f aca="false">IF(AND(AG348="Completed",AF348&lt;&gt;"Paid"),"Inconsistent","OK")</f>
        <v>OK</v>
      </c>
      <c r="AI348" s="2" t="n">
        <f aca="false">IF(OR(ISBLANK(B348),ISBLANK(C348)),"",C348-B348)</f>
        <v>6</v>
      </c>
      <c r="AJ348" s="2" t="str">
        <f aca="false">IF(AI348="","Unknown",IF(AI348&lt;0,"Invalid","OK"))</f>
        <v>OK</v>
      </c>
      <c r="AK348" s="2" t="str">
        <f aca="false">IF(ISBLANK(B348),"",TEXT(B348,"mmm"))</f>
        <v>Jul</v>
      </c>
      <c r="AL348" s="2" t="n">
        <f aca="false">IF(ISBLANK(B348),"",YEAR(B348))</f>
        <v>2025</v>
      </c>
      <c r="AM348" s="2" t="s">
        <v>41</v>
      </c>
      <c r="AN348" s="2" t="str">
        <f aca="false">IF(OR(W348="Invalid",AJ348="Invalid",AH348="Inconsistent",Z348="Mismatch",AD348="Mismatch",AM348="Yes",D348="Yes",E348="Yes"),"Invalid",IF(OR(J348="Yes",Q348="Yes",U348="Yes"),"Warning","Clean"))</f>
        <v>Clean</v>
      </c>
    </row>
    <row r="349" customFormat="false" ht="15" hidden="false" customHeight="false" outlineLevel="0" collapsed="false">
      <c r="A349" s="2" t="s">
        <v>1168</v>
      </c>
      <c r="B349" s="3" t="n">
        <v>45627</v>
      </c>
      <c r="C349" s="3" t="n">
        <v>45634</v>
      </c>
      <c r="D349" s="2" t="s">
        <v>41</v>
      </c>
      <c r="E349" s="2" t="s">
        <v>41</v>
      </c>
      <c r="F349" s="2" t="s">
        <v>1169</v>
      </c>
      <c r="G349" s="2" t="s">
        <v>148</v>
      </c>
      <c r="H349" s="2" t="s">
        <v>57</v>
      </c>
      <c r="I349" s="2" t="s">
        <v>83</v>
      </c>
      <c r="J349" s="2" t="s">
        <v>41</v>
      </c>
      <c r="K349" s="2" t="s">
        <v>210</v>
      </c>
      <c r="L349" s="2" t="s">
        <v>211</v>
      </c>
      <c r="M349" s="2" t="s">
        <v>61</v>
      </c>
      <c r="N349" s="2" t="s">
        <v>86</v>
      </c>
      <c r="O349" s="2" t="s">
        <v>1170</v>
      </c>
      <c r="P349" s="2" t="s">
        <v>51</v>
      </c>
      <c r="Q349" s="2" t="s">
        <v>41</v>
      </c>
      <c r="R349" s="2" t="n">
        <v>5</v>
      </c>
      <c r="S349" s="2" t="n">
        <v>2981.49</v>
      </c>
      <c r="T349" s="2" t="n">
        <v>0.2</v>
      </c>
      <c r="U349" s="2" t="str">
        <f aca="false">IF(ISBLANK(T349),"Yes","No")</f>
        <v>No</v>
      </c>
      <c r="V349" s="2" t="n">
        <f aca="false">IF(ISBLANK(T349),0,IF(ISNUMBER(T349),T349,VALUE(LEFT(T349,LEN(T349)-1))/100))</f>
        <v>0.2</v>
      </c>
      <c r="W349" s="2" t="str">
        <f aca="false">IF(AND(V349&gt;=0,V349&lt;=0.25),"Valid","Invalid")</f>
        <v>Valid</v>
      </c>
      <c r="X349" s="2" t="n">
        <v>11925.96</v>
      </c>
      <c r="Y349" s="2" t="n">
        <f aca="false">R349*S349*(1-V349)</f>
        <v>11925.96</v>
      </c>
      <c r="Z349" s="2" t="str">
        <f aca="false">IF(ABS(X349-Y349)&gt;1,"Mismatch","OK")</f>
        <v>OK</v>
      </c>
      <c r="AA349" s="2" t="n">
        <v>10103.51</v>
      </c>
      <c r="AB349" s="2" t="n">
        <v>1822.45</v>
      </c>
      <c r="AC349" s="2" t="n">
        <f aca="false">Y349-AA349</f>
        <v>1822.45</v>
      </c>
      <c r="AD349" s="2" t="str">
        <f aca="false">IF(ABS(AB349-AC349)&gt;1,"Mismatch","OK")</f>
        <v>OK</v>
      </c>
      <c r="AE349" s="4" t="n">
        <f aca="false">IF(Y349=0,0,AC349/Y349)</f>
        <v>0.152813693824229</v>
      </c>
      <c r="AF349" s="2" t="s">
        <v>122</v>
      </c>
      <c r="AG349" s="2" t="s">
        <v>123</v>
      </c>
      <c r="AH349" s="2" t="str">
        <f aca="false">IF(AND(AG349="Completed",AF349&lt;&gt;"Paid"),"Inconsistent","OK")</f>
        <v>OK</v>
      </c>
      <c r="AI349" s="2" t="n">
        <f aca="false">IF(OR(ISBLANK(B349),ISBLANK(C349)),"",C349-B349)</f>
        <v>7</v>
      </c>
      <c r="AJ349" s="2" t="str">
        <f aca="false">IF(AI349="","Unknown",IF(AI349&lt;0,"Invalid","OK"))</f>
        <v>OK</v>
      </c>
      <c r="AK349" s="2" t="str">
        <f aca="false">IF(ISBLANK(B349),"",TEXT(B349,"mmm"))</f>
        <v>Dec</v>
      </c>
      <c r="AL349" s="2" t="n">
        <f aca="false">IF(ISBLANK(B349),"",YEAR(B349))</f>
        <v>2024</v>
      </c>
      <c r="AM349" s="2" t="s">
        <v>41</v>
      </c>
      <c r="AN349" s="2" t="str">
        <f aca="false">IF(OR(W349="Invalid",AJ349="Invalid",AH349="Inconsistent",Z349="Mismatch",AD349="Mismatch",AM349="Yes",D349="Yes",E349="Yes"),"Invalid",IF(OR(J349="Yes",Q349="Yes",U349="Yes"),"Warning","Clean"))</f>
        <v>Clean</v>
      </c>
    </row>
    <row r="350" customFormat="false" ht="15" hidden="false" customHeight="false" outlineLevel="0" collapsed="false">
      <c r="A350" s="2" t="s">
        <v>1171</v>
      </c>
      <c r="B350" s="3" t="n">
        <v>45445</v>
      </c>
      <c r="C350" s="3" t="n">
        <v>45450</v>
      </c>
      <c r="D350" s="2" t="s">
        <v>41</v>
      </c>
      <c r="E350" s="2" t="s">
        <v>41</v>
      </c>
      <c r="F350" s="2" t="s">
        <v>1172</v>
      </c>
      <c r="G350" s="2" t="s">
        <v>148</v>
      </c>
      <c r="H350" s="2" t="s">
        <v>110</v>
      </c>
      <c r="I350" s="2" t="s">
        <v>74</v>
      </c>
      <c r="J350" s="2" t="s">
        <v>41</v>
      </c>
      <c r="K350" s="2" t="s">
        <v>195</v>
      </c>
      <c r="L350" s="2" t="s">
        <v>196</v>
      </c>
      <c r="M350" s="2" t="s">
        <v>94</v>
      </c>
      <c r="N350" s="2" t="s">
        <v>191</v>
      </c>
      <c r="O350" s="2" t="s">
        <v>1173</v>
      </c>
      <c r="P350" s="2" t="s">
        <v>64</v>
      </c>
      <c r="Q350" s="2" t="s">
        <v>41</v>
      </c>
      <c r="R350" s="2" t="n">
        <v>9</v>
      </c>
      <c r="S350" s="2" t="n">
        <v>2860.26</v>
      </c>
      <c r="T350" s="2" t="n">
        <v>0.25</v>
      </c>
      <c r="U350" s="2" t="str">
        <f aca="false">IF(ISBLANK(T350),"Yes","No")</f>
        <v>No</v>
      </c>
      <c r="V350" s="2" t="n">
        <f aca="false">IF(ISBLANK(T350),0,IF(ISNUMBER(T350),T350,VALUE(LEFT(T350,LEN(T350)-1))/100))</f>
        <v>0.25</v>
      </c>
      <c r="W350" s="2" t="str">
        <f aca="false">IF(AND(V350&gt;=0,V350&lt;=0.25),"Valid","Invalid")</f>
        <v>Valid</v>
      </c>
      <c r="X350" s="2" t="n">
        <v>19306.76</v>
      </c>
      <c r="Y350" s="2" t="n">
        <f aca="false">R350*S350*(1-V350)</f>
        <v>19306.755</v>
      </c>
      <c r="Z350" s="2" t="str">
        <f aca="false">IF(ABS(X350-Y350)&gt;1,"Mismatch","OK")</f>
        <v>OK</v>
      </c>
      <c r="AA350" s="2" t="n">
        <v>14442.38</v>
      </c>
      <c r="AB350" s="2" t="n">
        <v>4864.38</v>
      </c>
      <c r="AC350" s="2" t="n">
        <f aca="false">Y350-AA350</f>
        <v>4864.37500000001</v>
      </c>
      <c r="AD350" s="2" t="str">
        <f aca="false">IF(ABS(AB350-AC350)&gt;1,"Mismatch","OK")</f>
        <v>OK</v>
      </c>
      <c r="AE350" s="4" t="n">
        <f aca="false">IF(Y350=0,0,AC350/Y350)</f>
        <v>0.251951972250127</v>
      </c>
      <c r="AF350" s="2" t="s">
        <v>52</v>
      </c>
      <c r="AG350" s="2" t="s">
        <v>53</v>
      </c>
      <c r="AH350" s="2" t="str">
        <f aca="false">IF(AND(AG350="Completed",AF350&lt;&gt;"Paid"),"Inconsistent","OK")</f>
        <v>OK</v>
      </c>
      <c r="AI350" s="2" t="n">
        <f aca="false">IF(OR(ISBLANK(B350),ISBLANK(C350)),"",C350-B350)</f>
        <v>5</v>
      </c>
      <c r="AJ350" s="2" t="str">
        <f aca="false">IF(AI350="","Unknown",IF(AI350&lt;0,"Invalid","OK"))</f>
        <v>OK</v>
      </c>
      <c r="AK350" s="2" t="str">
        <f aca="false">IF(ISBLANK(B350),"",TEXT(B350,"mmm"))</f>
        <v>Jun</v>
      </c>
      <c r="AL350" s="2" t="n">
        <f aca="false">IF(ISBLANK(B350),"",YEAR(B350))</f>
        <v>2024</v>
      </c>
      <c r="AM350" s="2" t="s">
        <v>41</v>
      </c>
      <c r="AN350" s="2" t="str">
        <f aca="false">IF(OR(W350="Invalid",AJ350="Invalid",AH350="Inconsistent",Z350="Mismatch",AD350="Mismatch",AM350="Yes",D350="Yes",E350="Yes"),"Invalid",IF(OR(J350="Yes",Q350="Yes",U350="Yes"),"Warning","Clean"))</f>
        <v>Clean</v>
      </c>
    </row>
    <row r="351" customFormat="false" ht="15" hidden="false" customHeight="false" outlineLevel="0" collapsed="false">
      <c r="A351" s="2" t="s">
        <v>1174</v>
      </c>
      <c r="B351" s="3" t="n">
        <v>45927</v>
      </c>
      <c r="C351" s="3" t="n">
        <v>45929</v>
      </c>
      <c r="D351" s="2" t="s">
        <v>41</v>
      </c>
      <c r="E351" s="2" t="s">
        <v>41</v>
      </c>
      <c r="F351" s="2" t="s">
        <v>1175</v>
      </c>
      <c r="G351" s="2" t="s">
        <v>286</v>
      </c>
      <c r="H351" s="2" t="s">
        <v>115</v>
      </c>
      <c r="I351" s="2" t="s">
        <v>58</v>
      </c>
      <c r="J351" s="2" t="s">
        <v>41</v>
      </c>
      <c r="K351" s="2" t="s">
        <v>250</v>
      </c>
      <c r="L351" s="2" t="s">
        <v>251</v>
      </c>
      <c r="M351" s="2" t="s">
        <v>61</v>
      </c>
      <c r="N351" s="2" t="s">
        <v>77</v>
      </c>
      <c r="O351" s="2" t="s">
        <v>1176</v>
      </c>
      <c r="P351" s="2" t="s">
        <v>51</v>
      </c>
      <c r="Q351" s="2" t="s">
        <v>41</v>
      </c>
      <c r="R351" s="2" t="n">
        <v>9</v>
      </c>
      <c r="S351" s="2" t="n">
        <v>2867.55</v>
      </c>
      <c r="T351" s="2" t="n">
        <v>0.25</v>
      </c>
      <c r="U351" s="2" t="str">
        <f aca="false">IF(ISBLANK(T351),"Yes","No")</f>
        <v>No</v>
      </c>
      <c r="V351" s="2" t="n">
        <f aca="false">IF(ISBLANK(T351),0,IF(ISNUMBER(T351),T351,VALUE(LEFT(T351,LEN(T351)-1))/100))</f>
        <v>0.25</v>
      </c>
      <c r="W351" s="2" t="str">
        <f aca="false">IF(AND(V351&gt;=0,V351&lt;=0.25),"Valid","Invalid")</f>
        <v>Valid</v>
      </c>
      <c r="X351" s="2" t="n">
        <v>19355.96</v>
      </c>
      <c r="Y351" s="2" t="n">
        <f aca="false">R351*S351*(1-V351)</f>
        <v>19355.9625</v>
      </c>
      <c r="Z351" s="2" t="str">
        <f aca="false">IF(ABS(X351-Y351)&gt;1,"Mismatch","OK")</f>
        <v>OK</v>
      </c>
      <c r="AA351" s="2" t="n">
        <v>15012.45</v>
      </c>
      <c r="AB351" s="2" t="n">
        <v>4017.4</v>
      </c>
      <c r="AC351" s="2" t="n">
        <f aca="false">Y351-AA351</f>
        <v>4343.5125</v>
      </c>
      <c r="AD351" s="2" t="str">
        <f aca="false">IF(ABS(AB351-AC351)&gt;1,"Mismatch","OK")</f>
        <v>Mismatch</v>
      </c>
      <c r="AE351" s="4" t="n">
        <f aca="false">IF(Y351=0,0,AC351/Y351)</f>
        <v>0.224401783171465</v>
      </c>
      <c r="AF351" s="2" t="s">
        <v>52</v>
      </c>
      <c r="AG351" s="2" t="s">
        <v>53</v>
      </c>
      <c r="AH351" s="2" t="str">
        <f aca="false">IF(AND(AG351="Completed",AF351&lt;&gt;"Paid"),"Inconsistent","OK")</f>
        <v>OK</v>
      </c>
      <c r="AI351" s="2" t="n">
        <f aca="false">IF(OR(ISBLANK(B351),ISBLANK(C351)),"",C351-B351)</f>
        <v>2</v>
      </c>
      <c r="AJ351" s="2" t="str">
        <f aca="false">IF(AI351="","Unknown",IF(AI351&lt;0,"Invalid","OK"))</f>
        <v>OK</v>
      </c>
      <c r="AK351" s="2" t="str">
        <f aca="false">IF(ISBLANK(B351),"",TEXT(B351,"mmm"))</f>
        <v>Sep</v>
      </c>
      <c r="AL351" s="2" t="n">
        <f aca="false">IF(ISBLANK(B351),"",YEAR(B351))</f>
        <v>2025</v>
      </c>
      <c r="AM351" s="2" t="s">
        <v>41</v>
      </c>
      <c r="AN351" s="2" t="str">
        <f aca="false">IF(OR(W351="Invalid",AJ351="Invalid",AH351="Inconsistent",Z351="Mismatch",AD351="Mismatch",AM351="Yes",D351="Yes",E351="Yes"),"Invalid",IF(OR(J351="Yes",Q351="Yes",U351="Yes"),"Warning","Clean"))</f>
        <v>Invalid</v>
      </c>
    </row>
    <row r="352" customFormat="false" ht="15" hidden="false" customHeight="false" outlineLevel="0" collapsed="false">
      <c r="A352" s="2" t="s">
        <v>1177</v>
      </c>
      <c r="B352" s="3" t="n">
        <v>45298</v>
      </c>
      <c r="C352" s="3" t="n">
        <v>45305</v>
      </c>
      <c r="D352" s="2" t="s">
        <v>41</v>
      </c>
      <c r="E352" s="2" t="s">
        <v>41</v>
      </c>
      <c r="F352" s="2" t="s">
        <v>1178</v>
      </c>
      <c r="G352" s="2" t="s">
        <v>152</v>
      </c>
      <c r="H352" s="2" t="s">
        <v>57</v>
      </c>
      <c r="I352" s="2" t="s">
        <v>58</v>
      </c>
      <c r="J352" s="2" t="s">
        <v>41</v>
      </c>
      <c r="K352" s="2" t="s">
        <v>250</v>
      </c>
      <c r="L352" s="2" t="s">
        <v>251</v>
      </c>
      <c r="M352" s="2" t="s">
        <v>61</v>
      </c>
      <c r="N352" s="2" t="s">
        <v>77</v>
      </c>
      <c r="O352" s="2" t="s">
        <v>1179</v>
      </c>
      <c r="P352" s="2" t="s">
        <v>51</v>
      </c>
      <c r="Q352" s="2" t="s">
        <v>41</v>
      </c>
      <c r="R352" s="2" t="n">
        <v>4</v>
      </c>
      <c r="S352" s="2" t="n">
        <v>3309.54</v>
      </c>
      <c r="T352" s="2" t="n">
        <v>0.1</v>
      </c>
      <c r="U352" s="2" t="str">
        <f aca="false">IF(ISBLANK(T352),"Yes","No")</f>
        <v>No</v>
      </c>
      <c r="V352" s="2" t="n">
        <f aca="false">IF(ISBLANK(T352),0,IF(ISNUMBER(T352),T352,VALUE(LEFT(T352,LEN(T352)-1))/100))</f>
        <v>0.1</v>
      </c>
      <c r="W352" s="2" t="str">
        <f aca="false">IF(AND(V352&gt;=0,V352&lt;=0.25),"Valid","Invalid")</f>
        <v>Valid</v>
      </c>
      <c r="X352" s="2" t="n">
        <v>11914.34</v>
      </c>
      <c r="Y352" s="2" t="n">
        <f aca="false">R352*S352*(1-V352)</f>
        <v>11914.344</v>
      </c>
      <c r="Z352" s="2" t="str">
        <f aca="false">IF(ABS(X352-Y352)&gt;1,"Mismatch","OK")</f>
        <v>OK</v>
      </c>
      <c r="AA352" s="2" t="n">
        <v>9771.24</v>
      </c>
      <c r="AB352" s="2" t="n">
        <v>2143.1</v>
      </c>
      <c r="AC352" s="2" t="n">
        <f aca="false">Y352-AA352</f>
        <v>2143.104</v>
      </c>
      <c r="AD352" s="2" t="str">
        <f aca="false">IF(ABS(AB352-AC352)&gt;1,"Mismatch","OK")</f>
        <v>OK</v>
      </c>
      <c r="AE352" s="4" t="n">
        <f aca="false">IF(Y352=0,0,AC352/Y352)</f>
        <v>0.179875954563676</v>
      </c>
      <c r="AF352" s="2" t="s">
        <v>122</v>
      </c>
      <c r="AG352" s="2" t="s">
        <v>123</v>
      </c>
      <c r="AH352" s="2" t="str">
        <f aca="false">IF(AND(AG352="Completed",AF352&lt;&gt;"Paid"),"Inconsistent","OK")</f>
        <v>OK</v>
      </c>
      <c r="AI352" s="2" t="n">
        <f aca="false">IF(OR(ISBLANK(B352),ISBLANK(C352)),"",C352-B352)</f>
        <v>7</v>
      </c>
      <c r="AJ352" s="2" t="str">
        <f aca="false">IF(AI352="","Unknown",IF(AI352&lt;0,"Invalid","OK"))</f>
        <v>OK</v>
      </c>
      <c r="AK352" s="2" t="str">
        <f aca="false">IF(ISBLANK(B352),"",TEXT(B352,"mmm"))</f>
        <v>Jan</v>
      </c>
      <c r="AL352" s="2" t="n">
        <f aca="false">IF(ISBLANK(B352),"",YEAR(B352))</f>
        <v>2024</v>
      </c>
      <c r="AM352" s="2" t="s">
        <v>41</v>
      </c>
      <c r="AN352" s="2" t="str">
        <f aca="false">IF(OR(W352="Invalid",AJ352="Invalid",AH352="Inconsistent",Z352="Mismatch",AD352="Mismatch",AM352="Yes",D352="Yes",E352="Yes"),"Invalid",IF(OR(J352="Yes",Q352="Yes",U352="Yes"),"Warning","Clean"))</f>
        <v>Clean</v>
      </c>
    </row>
    <row r="353" customFormat="false" ht="15" hidden="false" customHeight="false" outlineLevel="0" collapsed="false">
      <c r="A353" s="2" t="s">
        <v>1180</v>
      </c>
      <c r="B353" s="3" t="n">
        <v>45800</v>
      </c>
      <c r="C353" s="3" t="n">
        <v>45804</v>
      </c>
      <c r="D353" s="2" t="s">
        <v>41</v>
      </c>
      <c r="E353" s="2" t="s">
        <v>41</v>
      </c>
      <c r="F353" s="2" t="s">
        <v>1181</v>
      </c>
      <c r="G353" s="2" t="s">
        <v>91</v>
      </c>
      <c r="H353" s="2" t="s">
        <v>57</v>
      </c>
      <c r="I353" s="2" t="s">
        <v>74</v>
      </c>
      <c r="J353" s="2" t="s">
        <v>41</v>
      </c>
      <c r="K353" s="2" t="s">
        <v>75</v>
      </c>
      <c r="L353" s="2" t="s">
        <v>76</v>
      </c>
      <c r="M353" s="2" t="s">
        <v>48</v>
      </c>
      <c r="N353" s="2" t="s">
        <v>144</v>
      </c>
      <c r="O353" s="2" t="s">
        <v>1182</v>
      </c>
      <c r="P353" s="2" t="s">
        <v>70</v>
      </c>
      <c r="Q353" s="2" t="s">
        <v>41</v>
      </c>
      <c r="R353" s="2" t="n">
        <v>6</v>
      </c>
      <c r="S353" s="2" t="n">
        <v>719.44</v>
      </c>
      <c r="T353" s="2" t="n">
        <v>0.25</v>
      </c>
      <c r="U353" s="2" t="str">
        <f aca="false">IF(ISBLANK(T353),"Yes","No")</f>
        <v>No</v>
      </c>
      <c r="V353" s="2" t="n">
        <f aca="false">IF(ISBLANK(T353),0,IF(ISNUMBER(T353),T353,VALUE(LEFT(T353,LEN(T353)-1))/100))</f>
        <v>0.25</v>
      </c>
      <c r="W353" s="2" t="str">
        <f aca="false">IF(AND(V353&gt;=0,V353&lt;=0.25),"Valid","Invalid")</f>
        <v>Valid</v>
      </c>
      <c r="X353" s="2" t="n">
        <v>3237.48</v>
      </c>
      <c r="Y353" s="2" t="n">
        <f aca="false">R353*S353*(1-V353)</f>
        <v>3237.48</v>
      </c>
      <c r="Z353" s="2" t="str">
        <f aca="false">IF(ABS(X353-Y353)&gt;1,"Mismatch","OK")</f>
        <v>OK</v>
      </c>
      <c r="AA353" s="2" t="n">
        <v>2118.34</v>
      </c>
      <c r="AB353" s="2" t="n">
        <v>1119.14</v>
      </c>
      <c r="AC353" s="2" t="n">
        <f aca="false">Y353-AA353</f>
        <v>1119.14</v>
      </c>
      <c r="AD353" s="2" t="str">
        <f aca="false">IF(ABS(AB353-AC353)&gt;1,"Mismatch","OK")</f>
        <v>OK</v>
      </c>
      <c r="AE353" s="4" t="n">
        <f aca="false">IF(Y353=0,0,AC353/Y353)</f>
        <v>0.345682444370313</v>
      </c>
      <c r="AF353" s="2" t="s">
        <v>131</v>
      </c>
      <c r="AG353" s="2" t="s">
        <v>88</v>
      </c>
      <c r="AH353" s="2" t="str">
        <f aca="false">IF(AND(AG353="Completed",AF353&lt;&gt;"Paid"),"Inconsistent","OK")</f>
        <v>OK</v>
      </c>
      <c r="AI353" s="2" t="n">
        <f aca="false">IF(OR(ISBLANK(B353),ISBLANK(C353)),"",C353-B353)</f>
        <v>4</v>
      </c>
      <c r="AJ353" s="2" t="str">
        <f aca="false">IF(AI353="","Unknown",IF(AI353&lt;0,"Invalid","OK"))</f>
        <v>OK</v>
      </c>
      <c r="AK353" s="2" t="str">
        <f aca="false">IF(ISBLANK(B353),"",TEXT(B353,"mmm"))</f>
        <v>May</v>
      </c>
      <c r="AL353" s="2" t="n">
        <f aca="false">IF(ISBLANK(B353),"",YEAR(B353))</f>
        <v>2025</v>
      </c>
      <c r="AM353" s="2" t="s">
        <v>41</v>
      </c>
      <c r="AN353" s="2" t="str">
        <f aca="false">IF(OR(W353="Invalid",AJ353="Invalid",AH353="Inconsistent",Z353="Mismatch",AD353="Mismatch",AM353="Yes",D353="Yes",E353="Yes"),"Invalid",IF(OR(J353="Yes",Q353="Yes",U353="Yes"),"Warning","Clean"))</f>
        <v>Clean</v>
      </c>
    </row>
    <row r="354" customFormat="false" ht="15" hidden="false" customHeight="false" outlineLevel="0" collapsed="false">
      <c r="A354" s="2" t="s">
        <v>1183</v>
      </c>
      <c r="B354" s="3" t="n">
        <v>45884</v>
      </c>
      <c r="C354" s="3" t="n">
        <v>45886</v>
      </c>
      <c r="D354" s="2" t="s">
        <v>41</v>
      </c>
      <c r="E354" s="2" t="s">
        <v>41</v>
      </c>
      <c r="F354" s="2" t="s">
        <v>1184</v>
      </c>
      <c r="G354" s="2" t="s">
        <v>182</v>
      </c>
      <c r="H354" s="2" t="s">
        <v>57</v>
      </c>
      <c r="I354" s="2" t="s">
        <v>58</v>
      </c>
      <c r="J354" s="2" t="s">
        <v>41</v>
      </c>
      <c r="K354" s="2" t="s">
        <v>186</v>
      </c>
      <c r="L354" s="2" t="s">
        <v>187</v>
      </c>
      <c r="M354" s="2" t="s">
        <v>94</v>
      </c>
      <c r="N354" s="2" t="s">
        <v>100</v>
      </c>
      <c r="O354" s="2" t="s">
        <v>1185</v>
      </c>
      <c r="P354" s="2" t="s">
        <v>70</v>
      </c>
      <c r="Q354" s="2" t="s">
        <v>41</v>
      </c>
      <c r="R354" s="2" t="n">
        <v>5</v>
      </c>
      <c r="S354" s="2" t="n">
        <v>2862.6</v>
      </c>
      <c r="T354" s="2" t="n">
        <v>0.25</v>
      </c>
      <c r="U354" s="2" t="str">
        <f aca="false">IF(ISBLANK(T354),"Yes","No")</f>
        <v>No</v>
      </c>
      <c r="V354" s="2" t="n">
        <f aca="false">IF(ISBLANK(T354),0,IF(ISNUMBER(T354),T354,VALUE(LEFT(T354,LEN(T354)-1))/100))</f>
        <v>0.25</v>
      </c>
      <c r="W354" s="2" t="str">
        <f aca="false">IF(AND(V354&gt;=0,V354&lt;=0.25),"Valid","Invalid")</f>
        <v>Valid</v>
      </c>
      <c r="X354" s="2" t="n">
        <v>10734.75</v>
      </c>
      <c r="Y354" s="2" t="n">
        <f aca="false">R354*S354*(1-V354)</f>
        <v>10734.75</v>
      </c>
      <c r="Z354" s="2" t="str">
        <f aca="false">IF(ABS(X354-Y354)&gt;1,"Mismatch","OK")</f>
        <v>OK</v>
      </c>
      <c r="AA354" s="2" t="n">
        <v>6475.73</v>
      </c>
      <c r="AB354" s="2" t="n">
        <v>4259.02</v>
      </c>
      <c r="AC354" s="2" t="n">
        <f aca="false">Y354-AA354</f>
        <v>4259.02</v>
      </c>
      <c r="AD354" s="2" t="str">
        <f aca="false">IF(ABS(AB354-AC354)&gt;1,"Mismatch","OK")</f>
        <v>OK</v>
      </c>
      <c r="AE354" s="4" t="n">
        <f aca="false">IF(Y354=0,0,AC354/Y354)</f>
        <v>0.396750739421039</v>
      </c>
      <c r="AF354" s="2" t="s">
        <v>52</v>
      </c>
      <c r="AG354" s="2" t="s">
        <v>53</v>
      </c>
      <c r="AH354" s="2" t="str">
        <f aca="false">IF(AND(AG354="Completed",AF354&lt;&gt;"Paid"),"Inconsistent","OK")</f>
        <v>OK</v>
      </c>
      <c r="AI354" s="2" t="n">
        <f aca="false">IF(OR(ISBLANK(B354),ISBLANK(C354)),"",C354-B354)</f>
        <v>2</v>
      </c>
      <c r="AJ354" s="2" t="str">
        <f aca="false">IF(AI354="","Unknown",IF(AI354&lt;0,"Invalid","OK"))</f>
        <v>OK</v>
      </c>
      <c r="AK354" s="2" t="str">
        <f aca="false">IF(ISBLANK(B354),"",TEXT(B354,"mmm"))</f>
        <v>Aug</v>
      </c>
      <c r="AL354" s="2" t="n">
        <f aca="false">IF(ISBLANK(B354),"",YEAR(B354))</f>
        <v>2025</v>
      </c>
      <c r="AM354" s="2" t="s">
        <v>41</v>
      </c>
      <c r="AN354" s="2" t="str">
        <f aca="false">IF(OR(W354="Invalid",AJ354="Invalid",AH354="Inconsistent",Z354="Mismatch",AD354="Mismatch",AM354="Yes",D354="Yes",E354="Yes"),"Invalid",IF(OR(J354="Yes",Q354="Yes",U354="Yes"),"Warning","Clean"))</f>
        <v>Clean</v>
      </c>
    </row>
    <row r="355" customFormat="false" ht="15" hidden="false" customHeight="false" outlineLevel="0" collapsed="false">
      <c r="A355" s="2" t="s">
        <v>1186</v>
      </c>
      <c r="B355" s="3" t="n">
        <v>45709</v>
      </c>
      <c r="C355" s="3" t="n">
        <v>45715</v>
      </c>
      <c r="D355" s="2" t="s">
        <v>41</v>
      </c>
      <c r="E355" s="2" t="s">
        <v>41</v>
      </c>
      <c r="F355" s="2" t="s">
        <v>1187</v>
      </c>
      <c r="G355" s="2" t="s">
        <v>82</v>
      </c>
      <c r="H355" s="2" t="s">
        <v>44</v>
      </c>
      <c r="I355" s="2" t="s">
        <v>45</v>
      </c>
      <c r="J355" s="2" t="s">
        <v>41</v>
      </c>
      <c r="K355" s="2" t="s">
        <v>46</v>
      </c>
      <c r="L355" s="2" t="s">
        <v>47</v>
      </c>
      <c r="M355" s="2" t="s">
        <v>48</v>
      </c>
      <c r="N355" s="2" t="s">
        <v>68</v>
      </c>
      <c r="O355" s="2" t="s">
        <v>1188</v>
      </c>
      <c r="P355" s="2" t="s">
        <v>64</v>
      </c>
      <c r="Q355" s="2" t="s">
        <v>41</v>
      </c>
      <c r="R355" s="2" t="n">
        <v>9</v>
      </c>
      <c r="S355" s="2" t="n">
        <v>1431.67</v>
      </c>
      <c r="T355" s="2" t="n">
        <v>0.2</v>
      </c>
      <c r="U355" s="2" t="str">
        <f aca="false">IF(ISBLANK(T355),"Yes","No")</f>
        <v>No</v>
      </c>
      <c r="V355" s="2" t="n">
        <f aca="false">IF(ISBLANK(T355),0,IF(ISNUMBER(T355),T355,VALUE(LEFT(T355,LEN(T355)-1))/100))</f>
        <v>0.2</v>
      </c>
      <c r="W355" s="2" t="str">
        <f aca="false">IF(AND(V355&gt;=0,V355&lt;=0.25),"Valid","Invalid")</f>
        <v>Valid</v>
      </c>
      <c r="X355" s="2" t="n">
        <v>10308.02</v>
      </c>
      <c r="Y355" s="2" t="n">
        <f aca="false">R355*S355*(1-V355)</f>
        <v>10308.024</v>
      </c>
      <c r="Z355" s="2" t="str">
        <f aca="false">IF(ABS(X355-Y355)&gt;1,"Mismatch","OK")</f>
        <v>OK</v>
      </c>
      <c r="AA355" s="2" t="n">
        <v>5822.31</v>
      </c>
      <c r="AB355" s="2" t="n">
        <v>4485.71</v>
      </c>
      <c r="AC355" s="2" t="n">
        <f aca="false">Y355-AA355</f>
        <v>4485.714</v>
      </c>
      <c r="AD355" s="2" t="str">
        <f aca="false">IF(ABS(AB355-AC355)&gt;1,"Mismatch","OK")</f>
        <v>OK</v>
      </c>
      <c r="AE355" s="4" t="n">
        <f aca="false">IF(Y355=0,0,AC355/Y355)</f>
        <v>0.435167205664248</v>
      </c>
      <c r="AF355" s="2" t="s">
        <v>52</v>
      </c>
      <c r="AG355" s="2" t="s">
        <v>53</v>
      </c>
      <c r="AH355" s="2" t="str">
        <f aca="false">IF(AND(AG355="Completed",AF355&lt;&gt;"Paid"),"Inconsistent","OK")</f>
        <v>OK</v>
      </c>
      <c r="AI355" s="2" t="n">
        <f aca="false">IF(OR(ISBLANK(B355),ISBLANK(C355)),"",C355-B355)</f>
        <v>6</v>
      </c>
      <c r="AJ355" s="2" t="str">
        <f aca="false">IF(AI355="","Unknown",IF(AI355&lt;0,"Invalid","OK"))</f>
        <v>OK</v>
      </c>
      <c r="AK355" s="2" t="str">
        <f aca="false">IF(ISBLANK(B355),"",TEXT(B355,"mmm"))</f>
        <v>Feb</v>
      </c>
      <c r="AL355" s="2" t="n">
        <f aca="false">IF(ISBLANK(B355),"",YEAR(B355))</f>
        <v>2025</v>
      </c>
      <c r="AM355" s="2" t="s">
        <v>41</v>
      </c>
      <c r="AN355" s="2" t="str">
        <f aca="false">IF(OR(W355="Invalid",AJ355="Invalid",AH355="Inconsistent",Z355="Mismatch",AD355="Mismatch",AM355="Yes",D355="Yes",E355="Yes"),"Invalid",IF(OR(J355="Yes",Q355="Yes",U355="Yes"),"Warning","Clean"))</f>
        <v>Clean</v>
      </c>
    </row>
    <row r="356" customFormat="false" ht="15" hidden="false" customHeight="false" outlineLevel="0" collapsed="false">
      <c r="A356" s="2" t="s">
        <v>1189</v>
      </c>
      <c r="B356" s="3" t="n">
        <v>45653</v>
      </c>
      <c r="C356" s="3" t="n">
        <v>45657</v>
      </c>
      <c r="D356" s="2" t="s">
        <v>41</v>
      </c>
      <c r="E356" s="2" t="s">
        <v>41</v>
      </c>
      <c r="F356" s="2" t="s">
        <v>1190</v>
      </c>
      <c r="G356" s="2" t="s">
        <v>286</v>
      </c>
      <c r="H356" s="2" t="s">
        <v>110</v>
      </c>
      <c r="I356" s="2" t="s">
        <v>45</v>
      </c>
      <c r="J356" s="2" t="s">
        <v>41</v>
      </c>
      <c r="K356" s="2" t="s">
        <v>142</v>
      </c>
      <c r="L356" s="2" t="s">
        <v>143</v>
      </c>
      <c r="M356" s="2" t="s">
        <v>61</v>
      </c>
      <c r="N356" s="2" t="s">
        <v>77</v>
      </c>
      <c r="O356" s="2" t="s">
        <v>1191</v>
      </c>
      <c r="P356" s="2" t="s">
        <v>79</v>
      </c>
      <c r="Q356" s="2" t="s">
        <v>41</v>
      </c>
      <c r="R356" s="2" t="n">
        <v>6</v>
      </c>
      <c r="S356" s="2" t="n">
        <v>3346.78</v>
      </c>
      <c r="T356" s="2" t="n">
        <v>-0.06</v>
      </c>
      <c r="U356" s="2" t="str">
        <f aca="false">IF(ISBLANK(T356),"Yes","No")</f>
        <v>No</v>
      </c>
      <c r="V356" s="2" t="n">
        <f aca="false">IF(ISBLANK(T356),0,IF(ISNUMBER(T356),T356,VALUE(LEFT(T356,LEN(T356)-1))/100))</f>
        <v>-0.06</v>
      </c>
      <c r="W356" s="2" t="str">
        <f aca="false">IF(AND(V356&gt;=0,V356&lt;=0.25),"Valid","Invalid")</f>
        <v>Invalid</v>
      </c>
      <c r="X356" s="2" t="n">
        <v>20080.68</v>
      </c>
      <c r="Y356" s="2" t="n">
        <f aca="false">R356*S356*(1-V356)</f>
        <v>21285.5208</v>
      </c>
      <c r="Z356" s="2" t="str">
        <f aca="false">IF(ABS(X356-Y356)&gt;1,"Mismatch","OK")</f>
        <v>Mismatch</v>
      </c>
      <c r="AA356" s="2" t="n">
        <v>12908.84</v>
      </c>
      <c r="AB356" s="2" t="n">
        <v>7171.84</v>
      </c>
      <c r="AC356" s="2" t="n">
        <f aca="false">Y356-AA356</f>
        <v>8376.6808</v>
      </c>
      <c r="AD356" s="2" t="str">
        <f aca="false">IF(ABS(AB356-AC356)&gt;1,"Mismatch","OK")</f>
        <v>Mismatch</v>
      </c>
      <c r="AE356" s="4" t="n">
        <f aca="false">IF(Y356=0,0,AC356/Y356)</f>
        <v>0.393538916839658</v>
      </c>
      <c r="AF356" s="2" t="s">
        <v>131</v>
      </c>
      <c r="AG356" s="2" t="s">
        <v>88</v>
      </c>
      <c r="AH356" s="2" t="str">
        <f aca="false">IF(AND(AG356="Completed",AF356&lt;&gt;"Paid"),"Inconsistent","OK")</f>
        <v>OK</v>
      </c>
      <c r="AI356" s="2" t="n">
        <f aca="false">IF(OR(ISBLANK(B356),ISBLANK(C356)),"",C356-B356)</f>
        <v>4</v>
      </c>
      <c r="AJ356" s="2" t="str">
        <f aca="false">IF(AI356="","Unknown",IF(AI356&lt;0,"Invalid","OK"))</f>
        <v>OK</v>
      </c>
      <c r="AK356" s="2" t="str">
        <f aca="false">IF(ISBLANK(B356),"",TEXT(B356,"mmm"))</f>
        <v>Dec</v>
      </c>
      <c r="AL356" s="2" t="n">
        <f aca="false">IF(ISBLANK(B356),"",YEAR(B356))</f>
        <v>2024</v>
      </c>
      <c r="AM356" s="2" t="s">
        <v>41</v>
      </c>
      <c r="AN356" s="2" t="str">
        <f aca="false">IF(OR(W356="Invalid",AJ356="Invalid",AH356="Inconsistent",Z356="Mismatch",AD356="Mismatch",AM356="Yes",D356="Yes",E356="Yes"),"Invalid",IF(OR(J356="Yes",Q356="Yes",U356="Yes"),"Warning","Clean"))</f>
        <v>Invalid</v>
      </c>
    </row>
    <row r="357" customFormat="false" ht="15" hidden="false" customHeight="false" outlineLevel="0" collapsed="false">
      <c r="A357" s="2" t="s">
        <v>1192</v>
      </c>
      <c r="B357" s="3" t="n">
        <v>45424</v>
      </c>
      <c r="C357" s="3" t="n">
        <v>45421</v>
      </c>
      <c r="D357" s="2" t="s">
        <v>41</v>
      </c>
      <c r="E357" s="2" t="s">
        <v>41</v>
      </c>
      <c r="F357" s="2" t="s">
        <v>1193</v>
      </c>
      <c r="G357" s="2" t="s">
        <v>134</v>
      </c>
      <c r="H357" s="2" t="s">
        <v>110</v>
      </c>
      <c r="I357" s="2" t="s">
        <v>83</v>
      </c>
      <c r="J357" s="2" t="s">
        <v>41</v>
      </c>
      <c r="K357" s="2" t="s">
        <v>46</v>
      </c>
      <c r="L357" s="2" t="s">
        <v>129</v>
      </c>
      <c r="M357" s="2" t="s">
        <v>61</v>
      </c>
      <c r="N357" s="2" t="s">
        <v>62</v>
      </c>
      <c r="O357" s="2" t="s">
        <v>1194</v>
      </c>
      <c r="P357" s="2" t="s">
        <v>79</v>
      </c>
      <c r="Q357" s="2" t="s">
        <v>41</v>
      </c>
      <c r="R357" s="2" t="n">
        <v>5</v>
      </c>
      <c r="S357" s="2" t="n">
        <v>3203.48</v>
      </c>
      <c r="T357" s="2" t="n">
        <v>0</v>
      </c>
      <c r="U357" s="2" t="str">
        <f aca="false">IF(ISBLANK(T357),"Yes","No")</f>
        <v>No</v>
      </c>
      <c r="V357" s="2" t="n">
        <f aca="false">IF(ISBLANK(T357),0,IF(ISNUMBER(T357),T357,VALUE(LEFT(T357,LEN(T357)-1))/100))</f>
        <v>0</v>
      </c>
      <c r="W357" s="2" t="str">
        <f aca="false">IF(AND(V357&gt;=0,V357&lt;=0.25),"Valid","Invalid")</f>
        <v>Valid</v>
      </c>
      <c r="X357" s="2" t="n">
        <v>16017.4</v>
      </c>
      <c r="Y357" s="2" t="n">
        <f aca="false">R357*S357*(1-V357)</f>
        <v>16017.4</v>
      </c>
      <c r="Z357" s="2" t="str">
        <f aca="false">IF(ABS(X357-Y357)&gt;1,"Mismatch","OK")</f>
        <v>OK</v>
      </c>
      <c r="AA357" s="2" t="n">
        <v>9557.8</v>
      </c>
      <c r="AB357" s="2" t="n">
        <v>6459.6</v>
      </c>
      <c r="AC357" s="2" t="n">
        <f aca="false">Y357-AA357</f>
        <v>6459.6</v>
      </c>
      <c r="AD357" s="2" t="str">
        <f aca="false">IF(ABS(AB357-AC357)&gt;1,"Mismatch","OK")</f>
        <v>OK</v>
      </c>
      <c r="AE357" s="4" t="n">
        <f aca="false">IF(Y357=0,0,AC357/Y357)</f>
        <v>0.403286426011712</v>
      </c>
      <c r="AF357" s="2" t="s">
        <v>131</v>
      </c>
      <c r="AG357" s="2" t="s">
        <v>88</v>
      </c>
      <c r="AH357" s="2" t="str">
        <f aca="false">IF(AND(AG357="Completed",AF357&lt;&gt;"Paid"),"Inconsistent","OK")</f>
        <v>OK</v>
      </c>
      <c r="AI357" s="2" t="n">
        <f aca="false">IF(OR(ISBLANK(B357),ISBLANK(C357)),"",C357-B357)</f>
        <v>-3</v>
      </c>
      <c r="AJ357" s="2" t="str">
        <f aca="false">IF(AI357="","Unknown",IF(AI357&lt;0,"Invalid","OK"))</f>
        <v>Invalid</v>
      </c>
      <c r="AK357" s="2" t="str">
        <f aca="false">IF(ISBLANK(B357),"",TEXT(B357,"mmm"))</f>
        <v>May</v>
      </c>
      <c r="AL357" s="2" t="n">
        <f aca="false">IF(ISBLANK(B357),"",YEAR(B357))</f>
        <v>2024</v>
      </c>
      <c r="AM357" s="2" t="s">
        <v>41</v>
      </c>
      <c r="AN357" s="2" t="str">
        <f aca="false">IF(OR(W357="Invalid",AJ357="Invalid",AH357="Inconsistent",Z357="Mismatch",AD357="Mismatch",AM357="Yes",D357="Yes",E357="Yes"),"Invalid",IF(OR(J357="Yes",Q357="Yes",U357="Yes"),"Warning","Clean"))</f>
        <v>Invalid</v>
      </c>
    </row>
    <row r="358" customFormat="false" ht="15" hidden="false" customHeight="false" outlineLevel="0" collapsed="false">
      <c r="A358" s="2" t="s">
        <v>1195</v>
      </c>
      <c r="B358" s="3" t="n">
        <v>45835</v>
      </c>
      <c r="C358" s="3" t="n">
        <v>45837</v>
      </c>
      <c r="D358" s="2" t="s">
        <v>41</v>
      </c>
      <c r="E358" s="2" t="s">
        <v>41</v>
      </c>
      <c r="F358" s="2" t="s">
        <v>1196</v>
      </c>
      <c r="G358" s="2" t="s">
        <v>161</v>
      </c>
      <c r="H358" s="2" t="s">
        <v>115</v>
      </c>
      <c r="I358" s="2" t="s">
        <v>74</v>
      </c>
      <c r="J358" s="2" t="s">
        <v>41</v>
      </c>
      <c r="K358" s="2" t="s">
        <v>75</v>
      </c>
      <c r="L358" s="2" t="s">
        <v>76</v>
      </c>
      <c r="M358" s="2" t="s">
        <v>61</v>
      </c>
      <c r="N358" s="2" t="s">
        <v>86</v>
      </c>
      <c r="O358" s="2" t="s">
        <v>1197</v>
      </c>
      <c r="P358" s="2" t="s">
        <v>70</v>
      </c>
      <c r="Q358" s="2" t="s">
        <v>41</v>
      </c>
      <c r="R358" s="2" t="n">
        <v>5</v>
      </c>
      <c r="S358" s="2" t="n">
        <v>621.7</v>
      </c>
      <c r="T358" s="2" t="n">
        <v>0.2</v>
      </c>
      <c r="U358" s="2" t="str">
        <f aca="false">IF(ISBLANK(T358),"Yes","No")</f>
        <v>No</v>
      </c>
      <c r="V358" s="2" t="n">
        <f aca="false">IF(ISBLANK(T358),0,IF(ISNUMBER(T358),T358,VALUE(LEFT(T358,LEN(T358)-1))/100))</f>
        <v>0.2</v>
      </c>
      <c r="W358" s="2" t="str">
        <f aca="false">IF(AND(V358&gt;=0,V358&lt;=0.25),"Valid","Invalid")</f>
        <v>Valid</v>
      </c>
      <c r="X358" s="2" t="n">
        <v>2486.8</v>
      </c>
      <c r="Y358" s="2" t="n">
        <f aca="false">R358*S358*(1-V358)</f>
        <v>2486.8</v>
      </c>
      <c r="Z358" s="2" t="str">
        <f aca="false">IF(ABS(X358-Y358)&gt;1,"Mismatch","OK")</f>
        <v>OK</v>
      </c>
      <c r="AA358" s="2" t="n">
        <v>2131.73</v>
      </c>
      <c r="AB358" s="2" t="n">
        <v>355.07</v>
      </c>
      <c r="AC358" s="2" t="n">
        <f aca="false">Y358-AA358</f>
        <v>355.07</v>
      </c>
      <c r="AD358" s="2" t="str">
        <f aca="false">IF(ABS(AB358-AC358)&gt;1,"Mismatch","OK")</f>
        <v>OK</v>
      </c>
      <c r="AE358" s="4" t="n">
        <f aca="false">IF(Y358=0,0,AC358/Y358)</f>
        <v>0.142781888370597</v>
      </c>
      <c r="AF358" s="2" t="s">
        <v>131</v>
      </c>
      <c r="AG358" s="2" t="s">
        <v>123</v>
      </c>
      <c r="AH358" s="2" t="str">
        <f aca="false">IF(AND(AG358="Completed",AF358&lt;&gt;"Paid"),"Inconsistent","OK")</f>
        <v>OK</v>
      </c>
      <c r="AI358" s="2" t="n">
        <f aca="false">IF(OR(ISBLANK(B358),ISBLANK(C358)),"",C358-B358)</f>
        <v>2</v>
      </c>
      <c r="AJ358" s="2" t="str">
        <f aca="false">IF(AI358="","Unknown",IF(AI358&lt;0,"Invalid","OK"))</f>
        <v>OK</v>
      </c>
      <c r="AK358" s="2" t="str">
        <f aca="false">IF(ISBLANK(B358),"",TEXT(B358,"mmm"))</f>
        <v>Jun</v>
      </c>
      <c r="AL358" s="2" t="n">
        <f aca="false">IF(ISBLANK(B358),"",YEAR(B358))</f>
        <v>2025</v>
      </c>
      <c r="AM358" s="2" t="s">
        <v>41</v>
      </c>
      <c r="AN358" s="2" t="str">
        <f aca="false">IF(OR(W358="Invalid",AJ358="Invalid",AH358="Inconsistent",Z358="Mismatch",AD358="Mismatch",AM358="Yes",D358="Yes",E358="Yes"),"Invalid",IF(OR(J358="Yes",Q358="Yes",U358="Yes"),"Warning","Clean"))</f>
        <v>Clean</v>
      </c>
    </row>
    <row r="359" customFormat="false" ht="15" hidden="false" customHeight="false" outlineLevel="0" collapsed="false">
      <c r="A359" s="2" t="s">
        <v>1198</v>
      </c>
      <c r="B359" s="3" t="n">
        <v>45678</v>
      </c>
      <c r="C359" s="3" t="n">
        <v>45686</v>
      </c>
      <c r="D359" s="2" t="s">
        <v>41</v>
      </c>
      <c r="E359" s="2" t="s">
        <v>41</v>
      </c>
      <c r="F359" s="2" t="s">
        <v>1199</v>
      </c>
      <c r="G359" s="2" t="s">
        <v>56</v>
      </c>
      <c r="H359" s="2" t="s">
        <v>115</v>
      </c>
      <c r="I359" s="2" t="s">
        <v>74</v>
      </c>
      <c r="J359" s="2" t="s">
        <v>41</v>
      </c>
      <c r="K359" s="2" t="s">
        <v>104</v>
      </c>
      <c r="L359" s="2" t="s">
        <v>105</v>
      </c>
      <c r="M359" s="2" t="s">
        <v>94</v>
      </c>
      <c r="N359" s="2" t="s">
        <v>296</v>
      </c>
      <c r="O359" s="2" t="s">
        <v>1200</v>
      </c>
      <c r="P359" s="2" t="s">
        <v>51</v>
      </c>
      <c r="Q359" s="2" t="s">
        <v>41</v>
      </c>
      <c r="R359" s="2" t="n">
        <v>8</v>
      </c>
      <c r="S359" s="2" t="n">
        <v>546.13</v>
      </c>
      <c r="T359" s="2" t="n">
        <v>0</v>
      </c>
      <c r="U359" s="2" t="str">
        <f aca="false">IF(ISBLANK(T359),"Yes","No")</f>
        <v>No</v>
      </c>
      <c r="V359" s="2" t="n">
        <f aca="false">IF(ISBLANK(T359),0,IF(ISNUMBER(T359),T359,VALUE(LEFT(T359,LEN(T359)-1))/100))</f>
        <v>0</v>
      </c>
      <c r="W359" s="2" t="str">
        <f aca="false">IF(AND(V359&gt;=0,V359&lt;=0.25),"Valid","Invalid")</f>
        <v>Valid</v>
      </c>
      <c r="X359" s="2" t="n">
        <v>4369.04</v>
      </c>
      <c r="Y359" s="2" t="n">
        <f aca="false">R359*S359*(1-V359)</f>
        <v>4369.04</v>
      </c>
      <c r="Z359" s="2" t="str">
        <f aca="false">IF(ABS(X359-Y359)&gt;1,"Mismatch","OK")</f>
        <v>OK</v>
      </c>
      <c r="AA359" s="2" t="n">
        <v>3716.88</v>
      </c>
      <c r="AB359" s="2" t="n">
        <v>652.16</v>
      </c>
      <c r="AC359" s="2" t="n">
        <f aca="false">Y359-AA359</f>
        <v>652.16</v>
      </c>
      <c r="AD359" s="2" t="str">
        <f aca="false">IF(ABS(AB359-AC359)&gt;1,"Mismatch","OK")</f>
        <v>OK</v>
      </c>
      <c r="AE359" s="4" t="n">
        <f aca="false">IF(Y359=0,0,AC359/Y359)</f>
        <v>0.149268489187556</v>
      </c>
      <c r="AF359" s="2" t="s">
        <v>52</v>
      </c>
      <c r="AG359" s="2" t="s">
        <v>88</v>
      </c>
      <c r="AH359" s="2" t="str">
        <f aca="false">IF(AND(AG359="Completed",AF359&lt;&gt;"Paid"),"Inconsistent","OK")</f>
        <v>OK</v>
      </c>
      <c r="AI359" s="2" t="n">
        <f aca="false">IF(OR(ISBLANK(B359),ISBLANK(C359)),"",C359-B359)</f>
        <v>8</v>
      </c>
      <c r="AJ359" s="2" t="str">
        <f aca="false">IF(AI359="","Unknown",IF(AI359&lt;0,"Invalid","OK"))</f>
        <v>OK</v>
      </c>
      <c r="AK359" s="2" t="str">
        <f aca="false">IF(ISBLANK(B359),"",TEXT(B359,"mmm"))</f>
        <v>Jan</v>
      </c>
      <c r="AL359" s="2" t="n">
        <f aca="false">IF(ISBLANK(B359),"",YEAR(B359))</f>
        <v>2025</v>
      </c>
      <c r="AM359" s="2" t="s">
        <v>41</v>
      </c>
      <c r="AN359" s="2" t="str">
        <f aca="false">IF(OR(W359="Invalid",AJ359="Invalid",AH359="Inconsistent",Z359="Mismatch",AD359="Mismatch",AM359="Yes",D359="Yes",E359="Yes"),"Invalid",IF(OR(J359="Yes",Q359="Yes",U359="Yes"),"Warning","Clean"))</f>
        <v>Clean</v>
      </c>
    </row>
    <row r="360" customFormat="false" ht="15" hidden="false" customHeight="false" outlineLevel="0" collapsed="false">
      <c r="A360" s="2" t="s">
        <v>1201</v>
      </c>
      <c r="B360" s="3" t="n">
        <v>45878</v>
      </c>
      <c r="C360" s="3" t="n">
        <v>45876</v>
      </c>
      <c r="D360" s="2" t="s">
        <v>41</v>
      </c>
      <c r="E360" s="2" t="s">
        <v>41</v>
      </c>
      <c r="F360" s="2" t="s">
        <v>1202</v>
      </c>
      <c r="G360" s="2" t="s">
        <v>91</v>
      </c>
      <c r="H360" s="2" t="s">
        <v>115</v>
      </c>
      <c r="I360" s="2" t="s">
        <v>83</v>
      </c>
      <c r="J360" s="2" t="s">
        <v>41</v>
      </c>
      <c r="K360" s="2" t="s">
        <v>200</v>
      </c>
      <c r="L360" s="2" t="s">
        <v>201</v>
      </c>
      <c r="M360" s="2" t="s">
        <v>61</v>
      </c>
      <c r="N360" s="2" t="s">
        <v>178</v>
      </c>
      <c r="O360" s="2" t="s">
        <v>1203</v>
      </c>
      <c r="P360" s="2" t="s">
        <v>51</v>
      </c>
      <c r="Q360" s="2" t="s">
        <v>41</v>
      </c>
      <c r="R360" s="2" t="n">
        <v>5</v>
      </c>
      <c r="S360" s="2" t="n">
        <v>1253.92</v>
      </c>
      <c r="T360" s="2" t="n">
        <v>0.05</v>
      </c>
      <c r="U360" s="2" t="str">
        <f aca="false">IF(ISBLANK(T360),"Yes","No")</f>
        <v>No</v>
      </c>
      <c r="V360" s="2" t="n">
        <f aca="false">IF(ISBLANK(T360),0,IF(ISNUMBER(T360),T360,VALUE(LEFT(T360,LEN(T360)-1))/100))</f>
        <v>0.05</v>
      </c>
      <c r="W360" s="2" t="str">
        <f aca="false">IF(AND(V360&gt;=0,V360&lt;=0.25),"Valid","Invalid")</f>
        <v>Valid</v>
      </c>
      <c r="X360" s="2" t="n">
        <v>5956.12</v>
      </c>
      <c r="Y360" s="2" t="n">
        <f aca="false">R360*S360*(1-V360)</f>
        <v>5956.12</v>
      </c>
      <c r="Z360" s="2" t="str">
        <f aca="false">IF(ABS(X360-Y360)&gt;1,"Mismatch","OK")</f>
        <v>OK</v>
      </c>
      <c r="AA360" s="2" t="n">
        <v>4379.18</v>
      </c>
      <c r="AB360" s="2" t="n">
        <v>1576.94</v>
      </c>
      <c r="AC360" s="2" t="n">
        <f aca="false">Y360-AA360</f>
        <v>1576.94</v>
      </c>
      <c r="AD360" s="2" t="str">
        <f aca="false">IF(ABS(AB360-AC360)&gt;1,"Mismatch","OK")</f>
        <v>OK</v>
      </c>
      <c r="AE360" s="4" t="n">
        <f aca="false">IF(Y360=0,0,AC360/Y360)</f>
        <v>0.264759608604259</v>
      </c>
      <c r="AF360" s="2" t="s">
        <v>131</v>
      </c>
      <c r="AG360" s="2" t="s">
        <v>123</v>
      </c>
      <c r="AH360" s="2" t="str">
        <f aca="false">IF(AND(AG360="Completed",AF360&lt;&gt;"Paid"),"Inconsistent","OK")</f>
        <v>OK</v>
      </c>
      <c r="AI360" s="2" t="n">
        <f aca="false">IF(OR(ISBLANK(B360),ISBLANK(C360)),"",C360-B360)</f>
        <v>-2</v>
      </c>
      <c r="AJ360" s="2" t="str">
        <f aca="false">IF(AI360="","Unknown",IF(AI360&lt;0,"Invalid","OK"))</f>
        <v>Invalid</v>
      </c>
      <c r="AK360" s="2" t="str">
        <f aca="false">IF(ISBLANK(B360),"",TEXT(B360,"mmm"))</f>
        <v>Aug</v>
      </c>
      <c r="AL360" s="2" t="n">
        <f aca="false">IF(ISBLANK(B360),"",YEAR(B360))</f>
        <v>2025</v>
      </c>
      <c r="AM360" s="2" t="s">
        <v>41</v>
      </c>
      <c r="AN360" s="2" t="str">
        <f aca="false">IF(OR(W360="Invalid",AJ360="Invalid",AH360="Inconsistent",Z360="Mismatch",AD360="Mismatch",AM360="Yes",D360="Yes",E360="Yes"),"Invalid",IF(OR(J360="Yes",Q360="Yes",U360="Yes"),"Warning","Clean"))</f>
        <v>Invalid</v>
      </c>
    </row>
    <row r="361" customFormat="false" ht="15" hidden="false" customHeight="false" outlineLevel="0" collapsed="false">
      <c r="A361" s="2" t="s">
        <v>1204</v>
      </c>
      <c r="B361" s="3" t="n">
        <v>45525</v>
      </c>
      <c r="C361" s="3" t="n">
        <v>45526</v>
      </c>
      <c r="D361" s="2" t="s">
        <v>41</v>
      </c>
      <c r="E361" s="2" t="s">
        <v>41</v>
      </c>
      <c r="F361" s="2" t="s">
        <v>1205</v>
      </c>
      <c r="G361" s="2" t="s">
        <v>67</v>
      </c>
      <c r="H361" s="2" t="s">
        <v>44</v>
      </c>
      <c r="I361" s="2" t="s">
        <v>74</v>
      </c>
      <c r="J361" s="2" t="s">
        <v>41</v>
      </c>
      <c r="K361" s="2" t="s">
        <v>269</v>
      </c>
      <c r="L361" s="2" t="s">
        <v>270</v>
      </c>
      <c r="M361" s="2" t="s">
        <v>94</v>
      </c>
      <c r="N361" s="2" t="s">
        <v>191</v>
      </c>
      <c r="O361" s="2" t="s">
        <v>1206</v>
      </c>
      <c r="P361" s="2" t="s">
        <v>64</v>
      </c>
      <c r="Q361" s="2" t="s">
        <v>41</v>
      </c>
      <c r="R361" s="2" t="n">
        <v>9</v>
      </c>
      <c r="S361" s="2" t="n">
        <v>616.96</v>
      </c>
      <c r="T361" s="2" t="n">
        <v>0.1</v>
      </c>
      <c r="U361" s="2" t="str">
        <f aca="false">IF(ISBLANK(T361),"Yes","No")</f>
        <v>No</v>
      </c>
      <c r="V361" s="2" t="n">
        <f aca="false">IF(ISBLANK(T361),0,IF(ISNUMBER(T361),T361,VALUE(LEFT(T361,LEN(T361)-1))/100))</f>
        <v>0.1</v>
      </c>
      <c r="W361" s="2" t="str">
        <f aca="false">IF(AND(V361&gt;=0,V361&lt;=0.25),"Valid","Invalid")</f>
        <v>Valid</v>
      </c>
      <c r="X361" s="2" t="n">
        <v>4997.38</v>
      </c>
      <c r="Y361" s="2" t="n">
        <f aca="false">R361*S361*(1-V361)</f>
        <v>4997.376</v>
      </c>
      <c r="Z361" s="2" t="str">
        <f aca="false">IF(ABS(X361-Y361)&gt;1,"Mismatch","OK")</f>
        <v>OK</v>
      </c>
      <c r="AA361" s="2" t="n">
        <v>2971.39</v>
      </c>
      <c r="AB361" s="2" t="n">
        <v>2025.99</v>
      </c>
      <c r="AC361" s="2" t="n">
        <f aca="false">Y361-AA361</f>
        <v>2025.986</v>
      </c>
      <c r="AD361" s="2" t="str">
        <f aca="false">IF(ABS(AB361-AC361)&gt;1,"Mismatch","OK")</f>
        <v>OK</v>
      </c>
      <c r="AE361" s="4" t="n">
        <f aca="false">IF(Y361=0,0,AC361/Y361)</f>
        <v>0.40540995914656</v>
      </c>
      <c r="AF361" s="2" t="s">
        <v>52</v>
      </c>
      <c r="AG361" s="2" t="s">
        <v>53</v>
      </c>
      <c r="AH361" s="2" t="str">
        <f aca="false">IF(AND(AG361="Completed",AF361&lt;&gt;"Paid"),"Inconsistent","OK")</f>
        <v>OK</v>
      </c>
      <c r="AI361" s="2" t="n">
        <f aca="false">IF(OR(ISBLANK(B361),ISBLANK(C361)),"",C361-B361)</f>
        <v>1</v>
      </c>
      <c r="AJ361" s="2" t="str">
        <f aca="false">IF(AI361="","Unknown",IF(AI361&lt;0,"Invalid","OK"))</f>
        <v>OK</v>
      </c>
      <c r="AK361" s="2" t="str">
        <f aca="false">IF(ISBLANK(B361),"",TEXT(B361,"mmm"))</f>
        <v>Aug</v>
      </c>
      <c r="AL361" s="2" t="n">
        <f aca="false">IF(ISBLANK(B361),"",YEAR(B361))</f>
        <v>2024</v>
      </c>
      <c r="AM361" s="2" t="s">
        <v>41</v>
      </c>
      <c r="AN361" s="2" t="str">
        <f aca="false">IF(OR(W361="Invalid",AJ361="Invalid",AH361="Inconsistent",Z361="Mismatch",AD361="Mismatch",AM361="Yes",D361="Yes",E361="Yes"),"Invalid",IF(OR(J361="Yes",Q361="Yes",U361="Yes"),"Warning","Clean"))</f>
        <v>Clean</v>
      </c>
    </row>
    <row r="362" customFormat="false" ht="15" hidden="false" customHeight="false" outlineLevel="0" collapsed="false">
      <c r="A362" s="2" t="s">
        <v>1207</v>
      </c>
      <c r="B362" s="3" t="n">
        <v>45460</v>
      </c>
      <c r="C362" s="3" t="n">
        <v>45463</v>
      </c>
      <c r="D362" s="2" t="s">
        <v>41</v>
      </c>
      <c r="E362" s="2" t="s">
        <v>41</v>
      </c>
      <c r="F362" s="2" t="s">
        <v>1208</v>
      </c>
      <c r="G362" s="2" t="s">
        <v>152</v>
      </c>
      <c r="H362" s="2" t="s">
        <v>57</v>
      </c>
      <c r="I362" s="2" t="s">
        <v>83</v>
      </c>
      <c r="J362" s="2" t="s">
        <v>41</v>
      </c>
      <c r="K362" s="2" t="s">
        <v>200</v>
      </c>
      <c r="L362" s="2" t="s">
        <v>201</v>
      </c>
      <c r="M362" s="2" t="s">
        <v>61</v>
      </c>
      <c r="N362" s="2" t="s">
        <v>77</v>
      </c>
      <c r="O362" s="2" t="s">
        <v>1209</v>
      </c>
      <c r="P362" s="2" t="s">
        <v>79</v>
      </c>
      <c r="Q362" s="2" t="s">
        <v>41</v>
      </c>
      <c r="R362" s="2" t="n">
        <v>7</v>
      </c>
      <c r="S362" s="2" t="n">
        <v>3155.25</v>
      </c>
      <c r="T362" s="2" t="n">
        <v>0.2</v>
      </c>
      <c r="U362" s="2" t="str">
        <f aca="false">IF(ISBLANK(T362),"Yes","No")</f>
        <v>No</v>
      </c>
      <c r="V362" s="2" t="n">
        <f aca="false">IF(ISBLANK(T362),0,IF(ISNUMBER(T362),T362,VALUE(LEFT(T362,LEN(T362)-1))/100))</f>
        <v>0.2</v>
      </c>
      <c r="W362" s="2" t="str">
        <f aca="false">IF(AND(V362&gt;=0,V362&lt;=0.25),"Valid","Invalid")</f>
        <v>Valid</v>
      </c>
      <c r="X362" s="2" t="n">
        <v>17669.4</v>
      </c>
      <c r="Y362" s="2" t="n">
        <f aca="false">R362*S362*(1-V362)</f>
        <v>17669.4</v>
      </c>
      <c r="Z362" s="2" t="str">
        <f aca="false">IF(ABS(X362-Y362)&gt;1,"Mismatch","OK")</f>
        <v>OK</v>
      </c>
      <c r="AA362" s="2" t="n">
        <v>13718.77</v>
      </c>
      <c r="AB362" s="2" t="n">
        <v>3950.63</v>
      </c>
      <c r="AC362" s="2" t="n">
        <f aca="false">Y362-AA362</f>
        <v>3950.63</v>
      </c>
      <c r="AD362" s="2" t="str">
        <f aca="false">IF(ABS(AB362-AC362)&gt;1,"Mismatch","OK")</f>
        <v>OK</v>
      </c>
      <c r="AE362" s="4" t="n">
        <f aca="false">IF(Y362=0,0,AC362/Y362)</f>
        <v>0.223585973490894</v>
      </c>
      <c r="AF362" s="2" t="s">
        <v>122</v>
      </c>
      <c r="AG362" s="2" t="s">
        <v>88</v>
      </c>
      <c r="AH362" s="2" t="str">
        <f aca="false">IF(AND(AG362="Completed",AF362&lt;&gt;"Paid"),"Inconsistent","OK")</f>
        <v>OK</v>
      </c>
      <c r="AI362" s="2" t="n">
        <f aca="false">IF(OR(ISBLANK(B362),ISBLANK(C362)),"",C362-B362)</f>
        <v>3</v>
      </c>
      <c r="AJ362" s="2" t="str">
        <f aca="false">IF(AI362="","Unknown",IF(AI362&lt;0,"Invalid","OK"))</f>
        <v>OK</v>
      </c>
      <c r="AK362" s="2" t="str">
        <f aca="false">IF(ISBLANK(B362),"",TEXT(B362,"mmm"))</f>
        <v>Jun</v>
      </c>
      <c r="AL362" s="2" t="n">
        <f aca="false">IF(ISBLANK(B362),"",YEAR(B362))</f>
        <v>2024</v>
      </c>
      <c r="AM362" s="2" t="s">
        <v>41</v>
      </c>
      <c r="AN362" s="2" t="str">
        <f aca="false">IF(OR(W362="Invalid",AJ362="Invalid",AH362="Inconsistent",Z362="Mismatch",AD362="Mismatch",AM362="Yes",D362="Yes",E362="Yes"),"Invalid",IF(OR(J362="Yes",Q362="Yes",U362="Yes"),"Warning","Clean"))</f>
        <v>Clean</v>
      </c>
    </row>
    <row r="363" customFormat="false" ht="15" hidden="false" customHeight="false" outlineLevel="0" collapsed="false">
      <c r="A363" s="2" t="s">
        <v>1210</v>
      </c>
      <c r="B363" s="3" t="n">
        <v>45748</v>
      </c>
      <c r="C363" s="3" t="n">
        <v>45749</v>
      </c>
      <c r="D363" s="2" t="s">
        <v>41</v>
      </c>
      <c r="E363" s="2" t="s">
        <v>41</v>
      </c>
      <c r="F363" s="2" t="s">
        <v>1211</v>
      </c>
      <c r="G363" s="2" t="s">
        <v>161</v>
      </c>
      <c r="H363" s="2" t="s">
        <v>110</v>
      </c>
      <c r="I363" s="2" t="s">
        <v>58</v>
      </c>
      <c r="J363" s="2" t="s">
        <v>41</v>
      </c>
      <c r="K363" s="2" t="s">
        <v>59</v>
      </c>
      <c r="L363" s="2" t="s">
        <v>60</v>
      </c>
      <c r="M363" s="2" t="s">
        <v>61</v>
      </c>
      <c r="N363" s="2" t="s">
        <v>86</v>
      </c>
      <c r="O363" s="2" t="s">
        <v>1212</v>
      </c>
      <c r="P363" s="2" t="s">
        <v>51</v>
      </c>
      <c r="Q363" s="2" t="s">
        <v>41</v>
      </c>
      <c r="R363" s="2" t="n">
        <v>9</v>
      </c>
      <c r="S363" s="2" t="n">
        <v>4165.58</v>
      </c>
      <c r="T363" s="2" t="n">
        <v>0.05</v>
      </c>
      <c r="U363" s="2" t="str">
        <f aca="false">IF(ISBLANK(T363),"Yes","No")</f>
        <v>No</v>
      </c>
      <c r="V363" s="2" t="n">
        <f aca="false">IF(ISBLANK(T363),0,IF(ISNUMBER(T363),T363,VALUE(LEFT(T363,LEN(T363)-1))/100))</f>
        <v>0.05</v>
      </c>
      <c r="W363" s="2" t="str">
        <f aca="false">IF(AND(V363&gt;=0,V363&lt;=0.25),"Valid","Invalid")</f>
        <v>Valid</v>
      </c>
      <c r="X363" s="2" t="n">
        <v>35615.71</v>
      </c>
      <c r="Y363" s="2" t="n">
        <f aca="false">R363*S363*(1-V363)</f>
        <v>35615.709</v>
      </c>
      <c r="Z363" s="2" t="str">
        <f aca="false">IF(ABS(X363-Y363)&gt;1,"Mismatch","OK")</f>
        <v>OK</v>
      </c>
      <c r="AA363" s="2" t="n">
        <v>20389.71</v>
      </c>
      <c r="AB363" s="2" t="n">
        <v>15226</v>
      </c>
      <c r="AC363" s="2" t="n">
        <f aca="false">Y363-AA363</f>
        <v>15225.999</v>
      </c>
      <c r="AD363" s="2" t="str">
        <f aca="false">IF(ABS(AB363-AC363)&gt;1,"Mismatch","OK")</f>
        <v>OK</v>
      </c>
      <c r="AE363" s="4" t="n">
        <f aca="false">IF(Y363=0,0,AC363/Y363)</f>
        <v>0.427507957233141</v>
      </c>
      <c r="AF363" s="2" t="s">
        <v>131</v>
      </c>
      <c r="AG363" s="2" t="s">
        <v>123</v>
      </c>
      <c r="AH363" s="2" t="str">
        <f aca="false">IF(AND(AG363="Completed",AF363&lt;&gt;"Paid"),"Inconsistent","OK")</f>
        <v>OK</v>
      </c>
      <c r="AI363" s="2" t="n">
        <f aca="false">IF(OR(ISBLANK(B363),ISBLANK(C363)),"",C363-B363)</f>
        <v>1</v>
      </c>
      <c r="AJ363" s="2" t="str">
        <f aca="false">IF(AI363="","Unknown",IF(AI363&lt;0,"Invalid","OK"))</f>
        <v>OK</v>
      </c>
      <c r="AK363" s="2" t="str">
        <f aca="false">IF(ISBLANK(B363),"",TEXT(B363,"mmm"))</f>
        <v>Apr</v>
      </c>
      <c r="AL363" s="2" t="n">
        <f aca="false">IF(ISBLANK(B363),"",YEAR(B363))</f>
        <v>2025</v>
      </c>
      <c r="AM363" s="2" t="s">
        <v>41</v>
      </c>
      <c r="AN363" s="2" t="str">
        <f aca="false">IF(OR(W363="Invalid",AJ363="Invalid",AH363="Inconsistent",Z363="Mismatch",AD363="Mismatch",AM363="Yes",D363="Yes",E363="Yes"),"Invalid",IF(OR(J363="Yes",Q363="Yes",U363="Yes"),"Warning","Clean"))</f>
        <v>Clean</v>
      </c>
    </row>
    <row r="364" customFormat="false" ht="15" hidden="false" customHeight="false" outlineLevel="0" collapsed="false">
      <c r="A364" s="2" t="s">
        <v>1213</v>
      </c>
      <c r="B364" s="3" t="n">
        <v>45527</v>
      </c>
      <c r="C364" s="3" t="n">
        <v>45529</v>
      </c>
      <c r="D364" s="2" t="s">
        <v>41</v>
      </c>
      <c r="E364" s="2" t="s">
        <v>41</v>
      </c>
      <c r="F364" s="2" t="s">
        <v>1214</v>
      </c>
      <c r="G364" s="2" t="s">
        <v>91</v>
      </c>
      <c r="H364" s="2" t="s">
        <v>44</v>
      </c>
      <c r="I364" s="2" t="s">
        <v>83</v>
      </c>
      <c r="J364" s="2" t="s">
        <v>41</v>
      </c>
      <c r="K364" s="2" t="s">
        <v>210</v>
      </c>
      <c r="L364" s="2" t="s">
        <v>211</v>
      </c>
      <c r="M364" s="2" t="s">
        <v>94</v>
      </c>
      <c r="N364" s="2" t="s">
        <v>296</v>
      </c>
      <c r="O364" s="2" t="s">
        <v>1215</v>
      </c>
      <c r="P364" s="2" t="s">
        <v>64</v>
      </c>
      <c r="Q364" s="2" t="s">
        <v>41</v>
      </c>
      <c r="R364" s="2" t="n">
        <v>4</v>
      </c>
      <c r="S364" s="2" t="n">
        <v>491.16</v>
      </c>
      <c r="T364" s="2" t="n">
        <v>0.05</v>
      </c>
      <c r="U364" s="2" t="str">
        <f aca="false">IF(ISBLANK(T364),"Yes","No")</f>
        <v>No</v>
      </c>
      <c r="V364" s="2" t="n">
        <f aca="false">IF(ISBLANK(T364),0,IF(ISNUMBER(T364),T364,VALUE(LEFT(T364,LEN(T364)-1))/100))</f>
        <v>0.05</v>
      </c>
      <c r="W364" s="2" t="str">
        <f aca="false">IF(AND(V364&gt;=0,V364&lt;=0.25),"Valid","Invalid")</f>
        <v>Valid</v>
      </c>
      <c r="X364" s="2" t="n">
        <v>1866.41</v>
      </c>
      <c r="Y364" s="2" t="n">
        <f aca="false">R364*S364*(1-V364)</f>
        <v>1866.408</v>
      </c>
      <c r="Z364" s="2" t="str">
        <f aca="false">IF(ABS(X364-Y364)&gt;1,"Mismatch","OK")</f>
        <v>OK</v>
      </c>
      <c r="AA364" s="2" t="n">
        <v>1576.49</v>
      </c>
      <c r="AB364" s="2" t="n">
        <v>289.92</v>
      </c>
      <c r="AC364" s="2" t="n">
        <f aca="false">Y364-AA364</f>
        <v>289.918</v>
      </c>
      <c r="AD364" s="2" t="str">
        <f aca="false">IF(ABS(AB364-AC364)&gt;1,"Mismatch","OK")</f>
        <v>OK</v>
      </c>
      <c r="AE364" s="4" t="n">
        <f aca="false">IF(Y364=0,0,AC364/Y364)</f>
        <v>0.155334739242438</v>
      </c>
      <c r="AF364" s="2" t="s">
        <v>52</v>
      </c>
      <c r="AG364" s="2" t="s">
        <v>53</v>
      </c>
      <c r="AH364" s="2" t="str">
        <f aca="false">IF(AND(AG364="Completed",AF364&lt;&gt;"Paid"),"Inconsistent","OK")</f>
        <v>OK</v>
      </c>
      <c r="AI364" s="2" t="n">
        <f aca="false">IF(OR(ISBLANK(B364),ISBLANK(C364)),"",C364-B364)</f>
        <v>2</v>
      </c>
      <c r="AJ364" s="2" t="str">
        <f aca="false">IF(AI364="","Unknown",IF(AI364&lt;0,"Invalid","OK"))</f>
        <v>OK</v>
      </c>
      <c r="AK364" s="2" t="str">
        <f aca="false">IF(ISBLANK(B364),"",TEXT(B364,"mmm"))</f>
        <v>Aug</v>
      </c>
      <c r="AL364" s="2" t="n">
        <f aca="false">IF(ISBLANK(B364),"",YEAR(B364))</f>
        <v>2024</v>
      </c>
      <c r="AM364" s="2" t="s">
        <v>41</v>
      </c>
      <c r="AN364" s="2" t="str">
        <f aca="false">IF(OR(W364="Invalid",AJ364="Invalid",AH364="Inconsistent",Z364="Mismatch",AD364="Mismatch",AM364="Yes",D364="Yes",E364="Yes"),"Invalid",IF(OR(J364="Yes",Q364="Yes",U364="Yes"),"Warning","Clean"))</f>
        <v>Clean</v>
      </c>
    </row>
    <row r="365" customFormat="false" ht="15" hidden="false" customHeight="false" outlineLevel="0" collapsed="false">
      <c r="A365" s="2" t="s">
        <v>1216</v>
      </c>
      <c r="B365" s="3" t="n">
        <v>45845</v>
      </c>
      <c r="C365" s="3" t="n">
        <v>45850</v>
      </c>
      <c r="D365" s="2" t="s">
        <v>41</v>
      </c>
      <c r="E365" s="2" t="s">
        <v>41</v>
      </c>
      <c r="F365" s="2" t="s">
        <v>1217</v>
      </c>
      <c r="G365" s="2" t="s">
        <v>182</v>
      </c>
      <c r="H365" s="2" t="s">
        <v>110</v>
      </c>
      <c r="I365" s="2" t="s">
        <v>58</v>
      </c>
      <c r="J365" s="2" t="s">
        <v>41</v>
      </c>
      <c r="K365" s="2" t="s">
        <v>119</v>
      </c>
      <c r="L365" s="2" t="s">
        <v>120</v>
      </c>
      <c r="M365" s="2" t="s">
        <v>61</v>
      </c>
      <c r="N365" s="2" t="s">
        <v>62</v>
      </c>
      <c r="O365" s="2" t="s">
        <v>1218</v>
      </c>
      <c r="P365" s="2" t="s">
        <v>51</v>
      </c>
      <c r="Q365" s="2" t="s">
        <v>41</v>
      </c>
      <c r="R365" s="2" t="n">
        <v>5</v>
      </c>
      <c r="S365" s="2" t="n">
        <v>1831.37</v>
      </c>
      <c r="T365" s="2" t="n">
        <v>0.25</v>
      </c>
      <c r="U365" s="2" t="str">
        <f aca="false">IF(ISBLANK(T365),"Yes","No")</f>
        <v>No</v>
      </c>
      <c r="V365" s="2" t="n">
        <f aca="false">IF(ISBLANK(T365),0,IF(ISNUMBER(T365),T365,VALUE(LEFT(T365,LEN(T365)-1))/100))</f>
        <v>0.25</v>
      </c>
      <c r="W365" s="2" t="str">
        <f aca="false">IF(AND(V365&gt;=0,V365&lt;=0.25),"Valid","Invalid")</f>
        <v>Valid</v>
      </c>
      <c r="X365" s="2" t="n">
        <v>6867.64</v>
      </c>
      <c r="Y365" s="2" t="n">
        <f aca="false">R365*S365*(1-V365)</f>
        <v>6867.6375</v>
      </c>
      <c r="Z365" s="2" t="str">
        <f aca="false">IF(ABS(X365-Y365)&gt;1,"Mismatch","OK")</f>
        <v>OK</v>
      </c>
      <c r="AA365" s="2" t="n">
        <v>5205.36</v>
      </c>
      <c r="AB365" s="2" t="n">
        <v>1662.28</v>
      </c>
      <c r="AC365" s="2" t="n">
        <f aca="false">Y365-AA365</f>
        <v>1662.2775</v>
      </c>
      <c r="AD365" s="2" t="str">
        <f aca="false">IF(ABS(AB365-AC365)&gt;1,"Mismatch","OK")</f>
        <v>OK</v>
      </c>
      <c r="AE365" s="4" t="n">
        <f aca="false">IF(Y365=0,0,AC365/Y365)</f>
        <v>0.242045026401</v>
      </c>
      <c r="AF365" s="2" t="s">
        <v>52</v>
      </c>
      <c r="AG365" s="2" t="s">
        <v>53</v>
      </c>
      <c r="AH365" s="2" t="str">
        <f aca="false">IF(AND(AG365="Completed",AF365&lt;&gt;"Paid"),"Inconsistent","OK")</f>
        <v>OK</v>
      </c>
      <c r="AI365" s="2" t="n">
        <f aca="false">IF(OR(ISBLANK(B365),ISBLANK(C365)),"",C365-B365)</f>
        <v>5</v>
      </c>
      <c r="AJ365" s="2" t="str">
        <f aca="false">IF(AI365="","Unknown",IF(AI365&lt;0,"Invalid","OK"))</f>
        <v>OK</v>
      </c>
      <c r="AK365" s="2" t="str">
        <f aca="false">IF(ISBLANK(B365),"",TEXT(B365,"mmm"))</f>
        <v>Jul</v>
      </c>
      <c r="AL365" s="2" t="n">
        <f aca="false">IF(ISBLANK(B365),"",YEAR(B365))</f>
        <v>2025</v>
      </c>
      <c r="AM365" s="2" t="s">
        <v>41</v>
      </c>
      <c r="AN365" s="2" t="str">
        <f aca="false">IF(OR(W365="Invalid",AJ365="Invalid",AH365="Inconsistent",Z365="Mismatch",AD365="Mismatch",AM365="Yes",D365="Yes",E365="Yes"),"Invalid",IF(OR(J365="Yes",Q365="Yes",U365="Yes"),"Warning","Clean"))</f>
        <v>Clean</v>
      </c>
    </row>
    <row r="366" customFormat="false" ht="15" hidden="false" customHeight="false" outlineLevel="0" collapsed="false">
      <c r="A366" s="2" t="s">
        <v>1219</v>
      </c>
      <c r="B366" s="3" t="n">
        <v>45737</v>
      </c>
      <c r="C366" s="3" t="n">
        <v>45740</v>
      </c>
      <c r="D366" s="2" t="s">
        <v>41</v>
      </c>
      <c r="E366" s="2" t="s">
        <v>41</v>
      </c>
      <c r="F366" s="2" t="s">
        <v>1220</v>
      </c>
      <c r="G366" s="2" t="s">
        <v>148</v>
      </c>
      <c r="H366" s="2" t="s">
        <v>57</v>
      </c>
      <c r="I366" s="2" t="s">
        <v>74</v>
      </c>
      <c r="J366" s="2" t="s">
        <v>41</v>
      </c>
      <c r="K366" s="2" t="s">
        <v>104</v>
      </c>
      <c r="L366" s="2" t="s">
        <v>105</v>
      </c>
      <c r="M366" s="2" t="s">
        <v>61</v>
      </c>
      <c r="N366" s="2" t="s">
        <v>86</v>
      </c>
      <c r="O366" s="2" t="s">
        <v>1221</v>
      </c>
      <c r="P366" s="2" t="s">
        <v>51</v>
      </c>
      <c r="Q366" s="2" t="s">
        <v>41</v>
      </c>
      <c r="R366" s="2" t="n">
        <v>5</v>
      </c>
      <c r="S366" s="2" t="n">
        <v>1239.15</v>
      </c>
      <c r="T366" s="2" t="n">
        <v>0</v>
      </c>
      <c r="U366" s="2" t="str">
        <f aca="false">IF(ISBLANK(T366),"Yes","No")</f>
        <v>No</v>
      </c>
      <c r="V366" s="2" t="n">
        <f aca="false">IF(ISBLANK(T366),0,IF(ISNUMBER(T366),T366,VALUE(LEFT(T366,LEN(T366)-1))/100))</f>
        <v>0</v>
      </c>
      <c r="W366" s="2" t="str">
        <f aca="false">IF(AND(V366&gt;=0,V366&lt;=0.25),"Valid","Invalid")</f>
        <v>Valid</v>
      </c>
      <c r="X366" s="2" t="n">
        <v>6195.75</v>
      </c>
      <c r="Y366" s="2" t="n">
        <f aca="false">R366*S366*(1-V366)</f>
        <v>6195.75</v>
      </c>
      <c r="Z366" s="2" t="str">
        <f aca="false">IF(ABS(X366-Y366)&gt;1,"Mismatch","OK")</f>
        <v>OK</v>
      </c>
      <c r="AA366" s="2" t="n">
        <v>3967.02</v>
      </c>
      <c r="AB366" s="2" t="n">
        <v>2228.73</v>
      </c>
      <c r="AC366" s="2" t="n">
        <f aca="false">Y366-AA366</f>
        <v>2228.73</v>
      </c>
      <c r="AD366" s="2" t="str">
        <f aca="false">IF(ABS(AB366-AC366)&gt;1,"Mismatch","OK")</f>
        <v>OK</v>
      </c>
      <c r="AE366" s="4" t="n">
        <f aca="false">IF(Y366=0,0,AC366/Y366)</f>
        <v>0.359719162329016</v>
      </c>
      <c r="AF366" s="2" t="s">
        <v>52</v>
      </c>
      <c r="AG366" s="2" t="s">
        <v>53</v>
      </c>
      <c r="AH366" s="2" t="str">
        <f aca="false">IF(AND(AG366="Completed",AF366&lt;&gt;"Paid"),"Inconsistent","OK")</f>
        <v>OK</v>
      </c>
      <c r="AI366" s="2" t="n">
        <f aca="false">IF(OR(ISBLANK(B366),ISBLANK(C366)),"",C366-B366)</f>
        <v>3</v>
      </c>
      <c r="AJ366" s="2" t="str">
        <f aca="false">IF(AI366="","Unknown",IF(AI366&lt;0,"Invalid","OK"))</f>
        <v>OK</v>
      </c>
      <c r="AK366" s="2" t="str">
        <f aca="false">IF(ISBLANK(B366),"",TEXT(B366,"mmm"))</f>
        <v>Mar</v>
      </c>
      <c r="AL366" s="2" t="n">
        <f aca="false">IF(ISBLANK(B366),"",YEAR(B366))</f>
        <v>2025</v>
      </c>
      <c r="AM366" s="2" t="s">
        <v>41</v>
      </c>
      <c r="AN366" s="2" t="str">
        <f aca="false">IF(OR(W366="Invalid",AJ366="Invalid",AH366="Inconsistent",Z366="Mismatch",AD366="Mismatch",AM366="Yes",D366="Yes",E366="Yes"),"Invalid",IF(OR(J366="Yes",Q366="Yes",U366="Yes"),"Warning","Clean"))</f>
        <v>Clean</v>
      </c>
    </row>
    <row r="367" customFormat="false" ht="15" hidden="false" customHeight="false" outlineLevel="0" collapsed="false">
      <c r="A367" s="2" t="s">
        <v>1222</v>
      </c>
      <c r="B367" s="3" t="n">
        <v>45458</v>
      </c>
      <c r="C367" s="3" t="n">
        <v>45464</v>
      </c>
      <c r="D367" s="2" t="s">
        <v>41</v>
      </c>
      <c r="E367" s="2" t="s">
        <v>41</v>
      </c>
      <c r="F367" s="2" t="s">
        <v>1223</v>
      </c>
      <c r="G367" s="2" t="s">
        <v>109</v>
      </c>
      <c r="H367" s="2" t="s">
        <v>110</v>
      </c>
      <c r="I367" s="2" t="s">
        <v>83</v>
      </c>
      <c r="J367" s="2" t="s">
        <v>41</v>
      </c>
      <c r="K367" s="2" t="s">
        <v>210</v>
      </c>
      <c r="L367" s="2" t="s">
        <v>211</v>
      </c>
      <c r="M367" s="2" t="s">
        <v>94</v>
      </c>
      <c r="N367" s="2" t="s">
        <v>95</v>
      </c>
      <c r="O367" s="2" t="s">
        <v>1224</v>
      </c>
      <c r="P367" s="2" t="s">
        <v>70</v>
      </c>
      <c r="Q367" s="2" t="s">
        <v>41</v>
      </c>
      <c r="R367" s="2" t="n">
        <v>8</v>
      </c>
      <c r="S367" s="2" t="n">
        <v>1706.4</v>
      </c>
      <c r="T367" s="2"/>
      <c r="U367" s="2" t="str">
        <f aca="false">IF(ISBLANK(T367),"Yes","No")</f>
        <v>Yes</v>
      </c>
      <c r="V367" s="2" t="n">
        <f aca="false">IF(ISBLANK(T367),0,IF(ISNUMBER(T367),T367,VALUE(LEFT(T367,LEN(T367)-1))/100))</f>
        <v>0</v>
      </c>
      <c r="W367" s="2" t="str">
        <f aca="false">IF(AND(V367&gt;=0,V367&lt;=0.25),"Valid","Invalid")</f>
        <v>Valid</v>
      </c>
      <c r="X367" s="2" t="n">
        <v>12968.64</v>
      </c>
      <c r="Y367" s="2" t="n">
        <f aca="false">R367*S367*(1-V367)</f>
        <v>13651.2</v>
      </c>
      <c r="Z367" s="2" t="str">
        <f aca="false">IF(ABS(X367-Y367)&gt;1,"Mismatch","OK")</f>
        <v>Mismatch</v>
      </c>
      <c r="AA367" s="2" t="n">
        <v>10119.61</v>
      </c>
      <c r="AB367" s="2" t="n">
        <v>2849.03</v>
      </c>
      <c r="AC367" s="2" t="n">
        <f aca="false">Y367-AA367</f>
        <v>3531.59</v>
      </c>
      <c r="AD367" s="2" t="str">
        <f aca="false">IF(ABS(AB367-AC367)&gt;1,"Mismatch","OK")</f>
        <v>Mismatch</v>
      </c>
      <c r="AE367" s="4" t="n">
        <f aca="false">IF(Y367=0,0,AC367/Y367)</f>
        <v>0.258701799109236</v>
      </c>
      <c r="AF367" s="2" t="s">
        <v>52</v>
      </c>
      <c r="AG367" s="2" t="s">
        <v>53</v>
      </c>
      <c r="AH367" s="2" t="str">
        <f aca="false">IF(AND(AG367="Completed",AF367&lt;&gt;"Paid"),"Inconsistent","OK")</f>
        <v>OK</v>
      </c>
      <c r="AI367" s="2" t="n">
        <f aca="false">IF(OR(ISBLANK(B367),ISBLANK(C367)),"",C367-B367)</f>
        <v>6</v>
      </c>
      <c r="AJ367" s="2" t="str">
        <f aca="false">IF(AI367="","Unknown",IF(AI367&lt;0,"Invalid","OK"))</f>
        <v>OK</v>
      </c>
      <c r="AK367" s="2" t="str">
        <f aca="false">IF(ISBLANK(B367),"",TEXT(B367,"mmm"))</f>
        <v>Jun</v>
      </c>
      <c r="AL367" s="2" t="n">
        <f aca="false">IF(ISBLANK(B367),"",YEAR(B367))</f>
        <v>2024</v>
      </c>
      <c r="AM367" s="2" t="s">
        <v>41</v>
      </c>
      <c r="AN367" s="2" t="str">
        <f aca="false">IF(OR(W367="Invalid",AJ367="Invalid",AH367="Inconsistent",Z367="Mismatch",AD367="Mismatch",AM367="Yes",D367="Yes",E367="Yes"),"Invalid",IF(OR(J367="Yes",Q367="Yes",U367="Yes"),"Warning","Clean"))</f>
        <v>Invalid</v>
      </c>
    </row>
    <row r="368" customFormat="false" ht="15" hidden="false" customHeight="false" outlineLevel="0" collapsed="false">
      <c r="A368" s="2" t="s">
        <v>1225</v>
      </c>
      <c r="B368" s="3" t="n">
        <v>45673</v>
      </c>
      <c r="C368" s="3" t="n">
        <v>45679</v>
      </c>
      <c r="D368" s="2" t="s">
        <v>41</v>
      </c>
      <c r="E368" s="2" t="s">
        <v>41</v>
      </c>
      <c r="F368" s="2" t="s">
        <v>1226</v>
      </c>
      <c r="G368" s="2" t="s">
        <v>152</v>
      </c>
      <c r="H368" s="2" t="s">
        <v>110</v>
      </c>
      <c r="I368" s="2" t="s">
        <v>45</v>
      </c>
      <c r="J368" s="2" t="s">
        <v>41</v>
      </c>
      <c r="K368" s="2" t="s">
        <v>46</v>
      </c>
      <c r="L368" s="2" t="s">
        <v>47</v>
      </c>
      <c r="M368" s="2" t="s">
        <v>61</v>
      </c>
      <c r="N368" s="2" t="s">
        <v>62</v>
      </c>
      <c r="O368" s="2" t="s">
        <v>1227</v>
      </c>
      <c r="P368" s="2" t="s">
        <v>64</v>
      </c>
      <c r="Q368" s="2" t="s">
        <v>41</v>
      </c>
      <c r="R368" s="2" t="n">
        <v>2</v>
      </c>
      <c r="S368" s="2" t="n">
        <v>4418.28</v>
      </c>
      <c r="T368" s="2" t="n">
        <v>0</v>
      </c>
      <c r="U368" s="2" t="str">
        <f aca="false">IF(ISBLANK(T368),"Yes","No")</f>
        <v>No</v>
      </c>
      <c r="V368" s="2" t="n">
        <f aca="false">IF(ISBLANK(T368),0,IF(ISNUMBER(T368),T368,VALUE(LEFT(T368,LEN(T368)-1))/100))</f>
        <v>0</v>
      </c>
      <c r="W368" s="2" t="str">
        <f aca="false">IF(AND(V368&gt;=0,V368&lt;=0.25),"Valid","Invalid")</f>
        <v>Valid</v>
      </c>
      <c r="X368" s="2" t="n">
        <v>8836.56</v>
      </c>
      <c r="Y368" s="2" t="n">
        <f aca="false">R368*S368*(1-V368)</f>
        <v>8836.56</v>
      </c>
      <c r="Z368" s="2" t="str">
        <f aca="false">IF(ABS(X368-Y368)&gt;1,"Mismatch","OK")</f>
        <v>OK</v>
      </c>
      <c r="AA368" s="2" t="n">
        <v>5867.75</v>
      </c>
      <c r="AB368" s="2" t="n">
        <v>2968.81</v>
      </c>
      <c r="AC368" s="2" t="n">
        <f aca="false">Y368-AA368</f>
        <v>2968.81</v>
      </c>
      <c r="AD368" s="2" t="str">
        <f aca="false">IF(ABS(AB368-AC368)&gt;1,"Mismatch","OK")</f>
        <v>OK</v>
      </c>
      <c r="AE368" s="4" t="n">
        <f aca="false">IF(Y368=0,0,AC368/Y368)</f>
        <v>0.33596897435201</v>
      </c>
      <c r="AF368" s="2" t="s">
        <v>52</v>
      </c>
      <c r="AG368" s="2" t="s">
        <v>53</v>
      </c>
      <c r="AH368" s="2" t="str">
        <f aca="false">IF(AND(AG368="Completed",AF368&lt;&gt;"Paid"),"Inconsistent","OK")</f>
        <v>OK</v>
      </c>
      <c r="AI368" s="2" t="n">
        <f aca="false">IF(OR(ISBLANK(B368),ISBLANK(C368)),"",C368-B368)</f>
        <v>6</v>
      </c>
      <c r="AJ368" s="2" t="str">
        <f aca="false">IF(AI368="","Unknown",IF(AI368&lt;0,"Invalid","OK"))</f>
        <v>OK</v>
      </c>
      <c r="AK368" s="2" t="str">
        <f aca="false">IF(ISBLANK(B368),"",TEXT(B368,"mmm"))</f>
        <v>Jan</v>
      </c>
      <c r="AL368" s="2" t="n">
        <f aca="false">IF(ISBLANK(B368),"",YEAR(B368))</f>
        <v>2025</v>
      </c>
      <c r="AM368" s="2" t="s">
        <v>41</v>
      </c>
      <c r="AN368" s="2" t="str">
        <f aca="false">IF(OR(W368="Invalid",AJ368="Invalid",AH368="Inconsistent",Z368="Mismatch",AD368="Mismatch",AM368="Yes",D368="Yes",E368="Yes"),"Invalid",IF(OR(J368="Yes",Q368="Yes",U368="Yes"),"Warning","Clean"))</f>
        <v>Clean</v>
      </c>
    </row>
    <row r="369" customFormat="false" ht="15" hidden="false" customHeight="false" outlineLevel="0" collapsed="false">
      <c r="A369" s="2" t="s">
        <v>1228</v>
      </c>
      <c r="B369" s="3" t="n">
        <v>45366</v>
      </c>
      <c r="C369" s="3" t="n">
        <v>45367</v>
      </c>
      <c r="D369" s="2" t="s">
        <v>41</v>
      </c>
      <c r="E369" s="2" t="s">
        <v>41</v>
      </c>
      <c r="F369" s="2" t="s">
        <v>1229</v>
      </c>
      <c r="G369" s="2" t="s">
        <v>161</v>
      </c>
      <c r="H369" s="2" t="s">
        <v>44</v>
      </c>
      <c r="I369" s="2" t="s">
        <v>45</v>
      </c>
      <c r="J369" s="2" t="s">
        <v>41</v>
      </c>
      <c r="K369" s="2" t="s">
        <v>372</v>
      </c>
      <c r="L369" s="2" t="s">
        <v>373</v>
      </c>
      <c r="M369" s="2" t="s">
        <v>48</v>
      </c>
      <c r="N369" s="2" t="s">
        <v>68</v>
      </c>
      <c r="O369" s="2" t="s">
        <v>1230</v>
      </c>
      <c r="P369" s="2" t="s">
        <v>79</v>
      </c>
      <c r="Q369" s="2" t="s">
        <v>41</v>
      </c>
      <c r="R369" s="2" t="n">
        <v>6</v>
      </c>
      <c r="S369" s="2" t="n">
        <v>3815.09</v>
      </c>
      <c r="T369" s="2" t="n">
        <v>0.15</v>
      </c>
      <c r="U369" s="2" t="str">
        <f aca="false">IF(ISBLANK(T369),"Yes","No")</f>
        <v>No</v>
      </c>
      <c r="V369" s="2" t="n">
        <f aca="false">IF(ISBLANK(T369),0,IF(ISNUMBER(T369),T369,VALUE(LEFT(T369,LEN(T369)-1))/100))</f>
        <v>0.15</v>
      </c>
      <c r="W369" s="2" t="str">
        <f aca="false">IF(AND(V369&gt;=0,V369&lt;=0.25),"Valid","Invalid")</f>
        <v>Valid</v>
      </c>
      <c r="X369" s="2" t="n">
        <v>19456.96</v>
      </c>
      <c r="Y369" s="2" t="n">
        <f aca="false">R369*S369*(1-V369)</f>
        <v>19456.959</v>
      </c>
      <c r="Z369" s="2" t="str">
        <f aca="false">IF(ABS(X369-Y369)&gt;1,"Mismatch","OK")</f>
        <v>OK</v>
      </c>
      <c r="AA369" s="2" t="n">
        <v>14520.06</v>
      </c>
      <c r="AB369" s="2" t="n">
        <v>4936.9</v>
      </c>
      <c r="AC369" s="2" t="n">
        <f aca="false">Y369-AA369</f>
        <v>4936.899</v>
      </c>
      <c r="AD369" s="2" t="str">
        <f aca="false">IF(ABS(AB369-AC369)&gt;1,"Mismatch","OK")</f>
        <v>OK</v>
      </c>
      <c r="AE369" s="4" t="n">
        <f aca="false">IF(Y369=0,0,AC369/Y369)</f>
        <v>0.25373435797444</v>
      </c>
      <c r="AF369" s="2" t="s">
        <v>175</v>
      </c>
      <c r="AG369" s="2" t="s">
        <v>88</v>
      </c>
      <c r="AH369" s="2" t="str">
        <f aca="false">IF(AND(AG369="Completed",AF369&lt;&gt;"Paid"),"Inconsistent","OK")</f>
        <v>OK</v>
      </c>
      <c r="AI369" s="2" t="n">
        <f aca="false">IF(OR(ISBLANK(B369),ISBLANK(C369)),"",C369-B369)</f>
        <v>1</v>
      </c>
      <c r="AJ369" s="2" t="str">
        <f aca="false">IF(AI369="","Unknown",IF(AI369&lt;0,"Invalid","OK"))</f>
        <v>OK</v>
      </c>
      <c r="AK369" s="2" t="str">
        <f aca="false">IF(ISBLANK(B369),"",TEXT(B369,"mmm"))</f>
        <v>Mar</v>
      </c>
      <c r="AL369" s="2" t="n">
        <f aca="false">IF(ISBLANK(B369),"",YEAR(B369))</f>
        <v>2024</v>
      </c>
      <c r="AM369" s="2" t="s">
        <v>41</v>
      </c>
      <c r="AN369" s="2" t="str">
        <f aca="false">IF(OR(W369="Invalid",AJ369="Invalid",AH369="Inconsistent",Z369="Mismatch",AD369="Mismatch",AM369="Yes",D369="Yes",E369="Yes"),"Invalid",IF(OR(J369="Yes",Q369="Yes",U369="Yes"),"Warning","Clean"))</f>
        <v>Clean</v>
      </c>
    </row>
    <row r="370" customFormat="false" ht="15" hidden="false" customHeight="false" outlineLevel="0" collapsed="false">
      <c r="A370" s="2" t="s">
        <v>1231</v>
      </c>
      <c r="B370" s="3" t="n">
        <v>45844</v>
      </c>
      <c r="C370" s="3" t="n">
        <v>45844</v>
      </c>
      <c r="D370" s="2" t="s">
        <v>41</v>
      </c>
      <c r="E370" s="2" t="s">
        <v>41</v>
      </c>
      <c r="F370" s="2" t="s">
        <v>1232</v>
      </c>
      <c r="G370" s="2" t="s">
        <v>148</v>
      </c>
      <c r="H370" s="2" t="s">
        <v>115</v>
      </c>
      <c r="I370" s="2" t="s">
        <v>45</v>
      </c>
      <c r="J370" s="2" t="s">
        <v>41</v>
      </c>
      <c r="K370" s="2" t="s">
        <v>46</v>
      </c>
      <c r="L370" s="2" t="s">
        <v>47</v>
      </c>
      <c r="M370" s="2" t="s">
        <v>94</v>
      </c>
      <c r="N370" s="2" t="s">
        <v>95</v>
      </c>
      <c r="O370" s="2" t="s">
        <v>1233</v>
      </c>
      <c r="P370" s="2" t="s">
        <v>64</v>
      </c>
      <c r="Q370" s="2" t="s">
        <v>41</v>
      </c>
      <c r="R370" s="2" t="n">
        <v>9</v>
      </c>
      <c r="S370" s="2" t="n">
        <v>243.19</v>
      </c>
      <c r="T370" s="2" t="n">
        <v>0.05</v>
      </c>
      <c r="U370" s="2" t="str">
        <f aca="false">IF(ISBLANK(T370),"Yes","No")</f>
        <v>No</v>
      </c>
      <c r="V370" s="2" t="n">
        <f aca="false">IF(ISBLANK(T370),0,IF(ISNUMBER(T370),T370,VALUE(LEFT(T370,LEN(T370)-1))/100))</f>
        <v>0.05</v>
      </c>
      <c r="W370" s="2" t="str">
        <f aca="false">IF(AND(V370&gt;=0,V370&lt;=0.25),"Valid","Invalid")</f>
        <v>Valid</v>
      </c>
      <c r="X370" s="2" t="n">
        <v>2079.27</v>
      </c>
      <c r="Y370" s="2" t="n">
        <f aca="false">R370*S370*(1-V370)</f>
        <v>2079.2745</v>
      </c>
      <c r="Z370" s="2" t="str">
        <f aca="false">IF(ABS(X370-Y370)&gt;1,"Mismatch","OK")</f>
        <v>OK</v>
      </c>
      <c r="AA370" s="2" t="n">
        <v>1512.17</v>
      </c>
      <c r="AB370" s="2" t="n">
        <v>567.1</v>
      </c>
      <c r="AC370" s="2" t="n">
        <f aca="false">Y370-AA370</f>
        <v>567.1045</v>
      </c>
      <c r="AD370" s="2" t="str">
        <f aca="false">IF(ABS(AB370-AC370)&gt;1,"Mismatch","OK")</f>
        <v>OK</v>
      </c>
      <c r="AE370" s="4" t="n">
        <f aca="false">IF(Y370=0,0,AC370/Y370)</f>
        <v>0.272741525950518</v>
      </c>
      <c r="AF370" s="2" t="s">
        <v>122</v>
      </c>
      <c r="AG370" s="2" t="s">
        <v>123</v>
      </c>
      <c r="AH370" s="2" t="str">
        <f aca="false">IF(AND(AG370="Completed",AF370&lt;&gt;"Paid"),"Inconsistent","OK")</f>
        <v>OK</v>
      </c>
      <c r="AI370" s="2" t="n">
        <f aca="false">IF(OR(ISBLANK(B370),ISBLANK(C370)),"",C370-B370)</f>
        <v>0</v>
      </c>
      <c r="AJ370" s="2" t="str">
        <f aca="false">IF(AI370="","Unknown",IF(AI370&lt;0,"Invalid","OK"))</f>
        <v>OK</v>
      </c>
      <c r="AK370" s="2" t="str">
        <f aca="false">IF(ISBLANK(B370),"",TEXT(B370,"mmm"))</f>
        <v>Jul</v>
      </c>
      <c r="AL370" s="2" t="n">
        <f aca="false">IF(ISBLANK(B370),"",YEAR(B370))</f>
        <v>2025</v>
      </c>
      <c r="AM370" s="2" t="s">
        <v>41</v>
      </c>
      <c r="AN370" s="2" t="str">
        <f aca="false">IF(OR(W370="Invalid",AJ370="Invalid",AH370="Inconsistent",Z370="Mismatch",AD370="Mismatch",AM370="Yes",D370="Yes",E370="Yes"),"Invalid",IF(OR(J370="Yes",Q370="Yes",U370="Yes"),"Warning","Clean"))</f>
        <v>Clean</v>
      </c>
    </row>
    <row r="371" customFormat="false" ht="15" hidden="false" customHeight="false" outlineLevel="0" collapsed="false">
      <c r="A371" s="2" t="s">
        <v>1234</v>
      </c>
      <c r="B371" s="3" t="n">
        <v>45680</v>
      </c>
      <c r="C371" s="3" t="n">
        <v>45687</v>
      </c>
      <c r="D371" s="2" t="s">
        <v>41</v>
      </c>
      <c r="E371" s="2" t="s">
        <v>41</v>
      </c>
      <c r="F371" s="2" t="s">
        <v>1235</v>
      </c>
      <c r="G371" s="2" t="s">
        <v>134</v>
      </c>
      <c r="H371" s="2" t="s">
        <v>44</v>
      </c>
      <c r="I371" s="2" t="s">
        <v>45</v>
      </c>
      <c r="J371" s="2" t="s">
        <v>41</v>
      </c>
      <c r="K371" s="2" t="s">
        <v>372</v>
      </c>
      <c r="L371" s="2" t="s">
        <v>373</v>
      </c>
      <c r="M371" s="2" t="s">
        <v>48</v>
      </c>
      <c r="N371" s="2" t="s">
        <v>111</v>
      </c>
      <c r="O371" s="2" t="s">
        <v>1236</v>
      </c>
      <c r="P371" s="2" t="s">
        <v>79</v>
      </c>
      <c r="Q371" s="2" t="s">
        <v>41</v>
      </c>
      <c r="R371" s="2" t="n">
        <v>9</v>
      </c>
      <c r="S371" s="2" t="n">
        <v>1169.37</v>
      </c>
      <c r="T371" s="2" t="n">
        <v>0.15</v>
      </c>
      <c r="U371" s="2" t="str">
        <f aca="false">IF(ISBLANK(T371),"Yes","No")</f>
        <v>No</v>
      </c>
      <c r="V371" s="2" t="n">
        <f aca="false">IF(ISBLANK(T371),0,IF(ISNUMBER(T371),T371,VALUE(LEFT(T371,LEN(T371)-1))/100))</f>
        <v>0.15</v>
      </c>
      <c r="W371" s="2" t="str">
        <f aca="false">IF(AND(V371&gt;=0,V371&lt;=0.25),"Valid","Invalid")</f>
        <v>Valid</v>
      </c>
      <c r="X371" s="2" t="n">
        <v>8945.68</v>
      </c>
      <c r="Y371" s="2" t="n">
        <f aca="false">R371*S371*(1-V371)</f>
        <v>8945.6805</v>
      </c>
      <c r="Z371" s="2" t="str">
        <f aca="false">IF(ABS(X371-Y371)&gt;1,"Mismatch","OK")</f>
        <v>OK</v>
      </c>
      <c r="AA371" s="2" t="n">
        <v>6740.35</v>
      </c>
      <c r="AB371" s="2" t="n">
        <v>2205.33</v>
      </c>
      <c r="AC371" s="2" t="n">
        <f aca="false">Y371-AA371</f>
        <v>2205.3305</v>
      </c>
      <c r="AD371" s="2" t="str">
        <f aca="false">IF(ABS(AB371-AC371)&gt;1,"Mismatch","OK")</f>
        <v>OK</v>
      </c>
      <c r="AE371" s="4" t="n">
        <f aca="false">IF(Y371=0,0,AC371/Y371)</f>
        <v>0.246524621575742</v>
      </c>
      <c r="AF371" s="2" t="s">
        <v>52</v>
      </c>
      <c r="AG371" s="2" t="s">
        <v>53</v>
      </c>
      <c r="AH371" s="2" t="str">
        <f aca="false">IF(AND(AG371="Completed",AF371&lt;&gt;"Paid"),"Inconsistent","OK")</f>
        <v>OK</v>
      </c>
      <c r="AI371" s="2" t="n">
        <f aca="false">IF(OR(ISBLANK(B371),ISBLANK(C371)),"",C371-B371)</f>
        <v>7</v>
      </c>
      <c r="AJ371" s="2" t="str">
        <f aca="false">IF(AI371="","Unknown",IF(AI371&lt;0,"Invalid","OK"))</f>
        <v>OK</v>
      </c>
      <c r="AK371" s="2" t="str">
        <f aca="false">IF(ISBLANK(B371),"",TEXT(B371,"mmm"))</f>
        <v>Jan</v>
      </c>
      <c r="AL371" s="2" t="n">
        <f aca="false">IF(ISBLANK(B371),"",YEAR(B371))</f>
        <v>2025</v>
      </c>
      <c r="AM371" s="2" t="s">
        <v>41</v>
      </c>
      <c r="AN371" s="2" t="str">
        <f aca="false">IF(OR(W371="Invalid",AJ371="Invalid",AH371="Inconsistent",Z371="Mismatch",AD371="Mismatch",AM371="Yes",D371="Yes",E371="Yes"),"Invalid",IF(OR(J371="Yes",Q371="Yes",U371="Yes"),"Warning","Clean"))</f>
        <v>Clean</v>
      </c>
    </row>
    <row r="372" customFormat="false" ht="15" hidden="false" customHeight="false" outlineLevel="0" collapsed="false">
      <c r="A372" s="2" t="s">
        <v>1237</v>
      </c>
      <c r="B372" s="3" t="n">
        <v>45519</v>
      </c>
      <c r="C372" s="3" t="n">
        <v>45525</v>
      </c>
      <c r="D372" s="2" t="s">
        <v>41</v>
      </c>
      <c r="E372" s="2" t="s">
        <v>41</v>
      </c>
      <c r="F372" s="2" t="s">
        <v>1238</v>
      </c>
      <c r="G372" s="2" t="s">
        <v>82</v>
      </c>
      <c r="H372" s="2" t="s">
        <v>57</v>
      </c>
      <c r="I372" s="2" t="s">
        <v>83</v>
      </c>
      <c r="J372" s="2" t="s">
        <v>41</v>
      </c>
      <c r="K372" s="2" t="s">
        <v>46</v>
      </c>
      <c r="L372" s="2" t="s">
        <v>129</v>
      </c>
      <c r="M372" s="2" t="s">
        <v>94</v>
      </c>
      <c r="N372" s="2" t="s">
        <v>100</v>
      </c>
      <c r="O372" s="2" t="s">
        <v>1239</v>
      </c>
      <c r="P372" s="2" t="s">
        <v>70</v>
      </c>
      <c r="Q372" s="2" t="s">
        <v>41</v>
      </c>
      <c r="R372" s="2" t="n">
        <v>7</v>
      </c>
      <c r="S372" s="2" t="n">
        <v>2333.81</v>
      </c>
      <c r="T372" s="2" t="n">
        <v>0.2</v>
      </c>
      <c r="U372" s="2" t="str">
        <f aca="false">IF(ISBLANK(T372),"Yes","No")</f>
        <v>No</v>
      </c>
      <c r="V372" s="2" t="n">
        <f aca="false">IF(ISBLANK(T372),0,IF(ISNUMBER(T372),T372,VALUE(LEFT(T372,LEN(T372)-1))/100))</f>
        <v>0.2</v>
      </c>
      <c r="W372" s="2" t="str">
        <f aca="false">IF(AND(V372&gt;=0,V372&lt;=0.25),"Valid","Invalid")</f>
        <v>Valid</v>
      </c>
      <c r="X372" s="2" t="n">
        <v>13069.34</v>
      </c>
      <c r="Y372" s="2" t="n">
        <f aca="false">R372*S372*(1-V372)</f>
        <v>13069.336</v>
      </c>
      <c r="Z372" s="2" t="str">
        <f aca="false">IF(ABS(X372-Y372)&gt;1,"Mismatch","OK")</f>
        <v>OK</v>
      </c>
      <c r="AA372" s="2" t="n">
        <v>8768.59</v>
      </c>
      <c r="AB372" s="2" t="n">
        <v>4300.75</v>
      </c>
      <c r="AC372" s="2" t="n">
        <f aca="false">Y372-AA372</f>
        <v>4300.746</v>
      </c>
      <c r="AD372" s="2" t="str">
        <f aca="false">IF(ABS(AB372-AC372)&gt;1,"Mismatch","OK")</f>
        <v>OK</v>
      </c>
      <c r="AE372" s="4" t="n">
        <f aca="false">IF(Y372=0,0,AC372/Y372)</f>
        <v>0.329071499883391</v>
      </c>
      <c r="AF372" s="2" t="s">
        <v>52</v>
      </c>
      <c r="AG372" s="2" t="s">
        <v>53</v>
      </c>
      <c r="AH372" s="2" t="str">
        <f aca="false">IF(AND(AG372="Completed",AF372&lt;&gt;"Paid"),"Inconsistent","OK")</f>
        <v>OK</v>
      </c>
      <c r="AI372" s="2" t="n">
        <f aca="false">IF(OR(ISBLANK(B372),ISBLANK(C372)),"",C372-B372)</f>
        <v>6</v>
      </c>
      <c r="AJ372" s="2" t="str">
        <f aca="false">IF(AI372="","Unknown",IF(AI372&lt;0,"Invalid","OK"))</f>
        <v>OK</v>
      </c>
      <c r="AK372" s="2" t="str">
        <f aca="false">IF(ISBLANK(B372),"",TEXT(B372,"mmm"))</f>
        <v>Aug</v>
      </c>
      <c r="AL372" s="2" t="n">
        <f aca="false">IF(ISBLANK(B372),"",YEAR(B372))</f>
        <v>2024</v>
      </c>
      <c r="AM372" s="2" t="s">
        <v>41</v>
      </c>
      <c r="AN372" s="2" t="str">
        <f aca="false">IF(OR(W372="Invalid",AJ372="Invalid",AH372="Inconsistent",Z372="Mismatch",AD372="Mismatch",AM372="Yes",D372="Yes",E372="Yes"),"Invalid",IF(OR(J372="Yes",Q372="Yes",U372="Yes"),"Warning","Clean"))</f>
        <v>Clean</v>
      </c>
    </row>
    <row r="373" customFormat="false" ht="15" hidden="false" customHeight="false" outlineLevel="0" collapsed="false">
      <c r="A373" s="2" t="s">
        <v>1240</v>
      </c>
      <c r="B373" s="3" t="n">
        <v>45313</v>
      </c>
      <c r="C373" s="3" t="n">
        <v>45315</v>
      </c>
      <c r="D373" s="2" t="s">
        <v>41</v>
      </c>
      <c r="E373" s="2" t="s">
        <v>41</v>
      </c>
      <c r="F373" s="2" t="s">
        <v>1241</v>
      </c>
      <c r="G373" s="2" t="s">
        <v>182</v>
      </c>
      <c r="H373" s="2" t="s">
        <v>115</v>
      </c>
      <c r="I373" s="2" t="s">
        <v>83</v>
      </c>
      <c r="J373" s="2" t="s">
        <v>41</v>
      </c>
      <c r="K373" s="2" t="s">
        <v>84</v>
      </c>
      <c r="L373" s="2" t="s">
        <v>85</v>
      </c>
      <c r="M373" s="2" t="s">
        <v>48</v>
      </c>
      <c r="N373" s="2" t="s">
        <v>68</v>
      </c>
      <c r="O373" s="2" t="s">
        <v>1242</v>
      </c>
      <c r="P373" s="2" t="s">
        <v>79</v>
      </c>
      <c r="Q373" s="2" t="s">
        <v>41</v>
      </c>
      <c r="R373" s="2" t="n">
        <v>6</v>
      </c>
      <c r="S373" s="2" t="n">
        <v>1026.06</v>
      </c>
      <c r="T373" s="2"/>
      <c r="U373" s="2" t="str">
        <f aca="false">IF(ISBLANK(T373),"Yes","No")</f>
        <v>Yes</v>
      </c>
      <c r="V373" s="2" t="n">
        <f aca="false">IF(ISBLANK(T373),0,IF(ISNUMBER(T373),T373,VALUE(LEFT(T373,LEN(T373)-1))/100))</f>
        <v>0</v>
      </c>
      <c r="W373" s="2" t="str">
        <f aca="false">IF(AND(V373&gt;=0,V373&lt;=0.25),"Valid","Invalid")</f>
        <v>Valid</v>
      </c>
      <c r="X373" s="2" t="n">
        <v>4617.27</v>
      </c>
      <c r="Y373" s="2" t="n">
        <f aca="false">R373*S373*(1-V373)</f>
        <v>6156.36</v>
      </c>
      <c r="Z373" s="2" t="str">
        <f aca="false">IF(ABS(X373-Y373)&gt;1,"Mismatch","OK")</f>
        <v>Mismatch</v>
      </c>
      <c r="AA373" s="2" t="n">
        <v>2981.94</v>
      </c>
      <c r="AB373" s="2" t="n">
        <v>1635.33</v>
      </c>
      <c r="AC373" s="2" t="n">
        <f aca="false">Y373-AA373</f>
        <v>3174.42</v>
      </c>
      <c r="AD373" s="2" t="str">
        <f aca="false">IF(ABS(AB373-AC373)&gt;1,"Mismatch","OK")</f>
        <v>Mismatch</v>
      </c>
      <c r="AE373" s="4" t="n">
        <f aca="false">IF(Y373=0,0,AC373/Y373)</f>
        <v>0.515632614077149</v>
      </c>
      <c r="AF373" s="2" t="s">
        <v>122</v>
      </c>
      <c r="AG373" s="2" t="s">
        <v>88</v>
      </c>
      <c r="AH373" s="2" t="str">
        <f aca="false">IF(AND(AG373="Completed",AF373&lt;&gt;"Paid"),"Inconsistent","OK")</f>
        <v>OK</v>
      </c>
      <c r="AI373" s="2" t="n">
        <f aca="false">IF(OR(ISBLANK(B373),ISBLANK(C373)),"",C373-B373)</f>
        <v>2</v>
      </c>
      <c r="AJ373" s="2" t="str">
        <f aca="false">IF(AI373="","Unknown",IF(AI373&lt;0,"Invalid","OK"))</f>
        <v>OK</v>
      </c>
      <c r="AK373" s="2" t="str">
        <f aca="false">IF(ISBLANK(B373),"",TEXT(B373,"mmm"))</f>
        <v>Jan</v>
      </c>
      <c r="AL373" s="2" t="n">
        <f aca="false">IF(ISBLANK(B373),"",YEAR(B373))</f>
        <v>2024</v>
      </c>
      <c r="AM373" s="2" t="s">
        <v>41</v>
      </c>
      <c r="AN373" s="2" t="str">
        <f aca="false">IF(OR(W373="Invalid",AJ373="Invalid",AH373="Inconsistent",Z373="Mismatch",AD373="Mismatch",AM373="Yes",D373="Yes",E373="Yes"),"Invalid",IF(OR(J373="Yes",Q373="Yes",U373="Yes"),"Warning","Clean"))</f>
        <v>Invalid</v>
      </c>
    </row>
    <row r="374" customFormat="false" ht="15" hidden="false" customHeight="false" outlineLevel="0" collapsed="false">
      <c r="A374" s="2" t="s">
        <v>1243</v>
      </c>
      <c r="B374" s="3" t="n">
        <v>45885</v>
      </c>
      <c r="C374" s="3" t="n">
        <v>45887</v>
      </c>
      <c r="D374" s="2" t="s">
        <v>41</v>
      </c>
      <c r="E374" s="2" t="s">
        <v>41</v>
      </c>
      <c r="F374" s="2" t="s">
        <v>664</v>
      </c>
      <c r="G374" s="2" t="s">
        <v>286</v>
      </c>
      <c r="H374" s="2" t="s">
        <v>44</v>
      </c>
      <c r="I374" s="2" t="s">
        <v>58</v>
      </c>
      <c r="J374" s="2" t="s">
        <v>41</v>
      </c>
      <c r="K374" s="2" t="s">
        <v>250</v>
      </c>
      <c r="L374" s="2" t="s">
        <v>251</v>
      </c>
      <c r="M374" s="2" t="s">
        <v>61</v>
      </c>
      <c r="N374" s="2" t="s">
        <v>86</v>
      </c>
      <c r="O374" s="2" t="s">
        <v>1244</v>
      </c>
      <c r="P374" s="2" t="s">
        <v>64</v>
      </c>
      <c r="Q374" s="2" t="s">
        <v>41</v>
      </c>
      <c r="R374" s="2" t="n">
        <v>5</v>
      </c>
      <c r="S374" s="2" t="n">
        <v>1530.36</v>
      </c>
      <c r="T374" s="2" t="n">
        <v>0</v>
      </c>
      <c r="U374" s="2" t="str">
        <f aca="false">IF(ISBLANK(T374),"Yes","No")</f>
        <v>No</v>
      </c>
      <c r="V374" s="2" t="n">
        <f aca="false">IF(ISBLANK(T374),0,IF(ISNUMBER(T374),T374,VALUE(LEFT(T374,LEN(T374)-1))/100))</f>
        <v>0</v>
      </c>
      <c r="W374" s="2" t="str">
        <f aca="false">IF(AND(V374&gt;=0,V374&lt;=0.25),"Valid","Invalid")</f>
        <v>Valid</v>
      </c>
      <c r="X374" s="2" t="n">
        <v>7651.8</v>
      </c>
      <c r="Y374" s="2" t="n">
        <f aca="false">R374*S374*(1-V374)</f>
        <v>7651.8</v>
      </c>
      <c r="Z374" s="2" t="str">
        <f aca="false">IF(ABS(X374-Y374)&gt;1,"Mismatch","OK")</f>
        <v>OK</v>
      </c>
      <c r="AA374" s="2" t="n">
        <v>5171.78</v>
      </c>
      <c r="AB374" s="2" t="n">
        <v>2480.02</v>
      </c>
      <c r="AC374" s="2" t="n">
        <f aca="false">Y374-AA374</f>
        <v>2480.02</v>
      </c>
      <c r="AD374" s="2" t="str">
        <f aca="false">IF(ABS(AB374-AC374)&gt;1,"Mismatch","OK")</f>
        <v>OK</v>
      </c>
      <c r="AE374" s="4" t="n">
        <f aca="false">IF(Y374=0,0,AC374/Y374)</f>
        <v>0.324109359889176</v>
      </c>
      <c r="AF374" s="2" t="s">
        <v>52</v>
      </c>
      <c r="AG374" s="2" t="s">
        <v>53</v>
      </c>
      <c r="AH374" s="2" t="str">
        <f aca="false">IF(AND(AG374="Completed",AF374&lt;&gt;"Paid"),"Inconsistent","OK")</f>
        <v>OK</v>
      </c>
      <c r="AI374" s="2" t="n">
        <f aca="false">IF(OR(ISBLANK(B374),ISBLANK(C374)),"",C374-B374)</f>
        <v>2</v>
      </c>
      <c r="AJ374" s="2" t="str">
        <f aca="false">IF(AI374="","Unknown",IF(AI374&lt;0,"Invalid","OK"))</f>
        <v>OK</v>
      </c>
      <c r="AK374" s="2" t="str">
        <f aca="false">IF(ISBLANK(B374),"",TEXT(B374,"mmm"))</f>
        <v>Aug</v>
      </c>
      <c r="AL374" s="2" t="n">
        <f aca="false">IF(ISBLANK(B374),"",YEAR(B374))</f>
        <v>2025</v>
      </c>
      <c r="AM374" s="2" t="s">
        <v>41</v>
      </c>
      <c r="AN374" s="2" t="str">
        <f aca="false">IF(OR(W374="Invalid",AJ374="Invalid",AH374="Inconsistent",Z374="Mismatch",AD374="Mismatch",AM374="Yes",D374="Yes",E374="Yes"),"Invalid",IF(OR(J374="Yes",Q374="Yes",U374="Yes"),"Warning","Clean"))</f>
        <v>Clean</v>
      </c>
    </row>
    <row r="375" customFormat="false" ht="15" hidden="false" customHeight="false" outlineLevel="0" collapsed="false">
      <c r="A375" s="2" t="s">
        <v>1245</v>
      </c>
      <c r="B375" s="3" t="n">
        <v>45760</v>
      </c>
      <c r="C375" s="3" t="n">
        <v>45760</v>
      </c>
      <c r="D375" s="2" t="s">
        <v>41</v>
      </c>
      <c r="E375" s="2" t="s">
        <v>41</v>
      </c>
      <c r="F375" s="2" t="s">
        <v>1246</v>
      </c>
      <c r="G375" s="2" t="s">
        <v>152</v>
      </c>
      <c r="H375" s="2" t="s">
        <v>57</v>
      </c>
      <c r="I375" s="2" t="s">
        <v>45</v>
      </c>
      <c r="J375" s="2" t="s">
        <v>41</v>
      </c>
      <c r="K375" s="2" t="s">
        <v>156</v>
      </c>
      <c r="L375" s="2" t="s">
        <v>157</v>
      </c>
      <c r="M375" s="2" t="s">
        <v>48</v>
      </c>
      <c r="N375" s="2" t="s">
        <v>144</v>
      </c>
      <c r="O375" s="2" t="s">
        <v>1247</v>
      </c>
      <c r="P375" s="2" t="s">
        <v>51</v>
      </c>
      <c r="Q375" s="2" t="s">
        <v>41</v>
      </c>
      <c r="R375" s="2" t="n">
        <v>9</v>
      </c>
      <c r="S375" s="2" t="n">
        <v>1118.68</v>
      </c>
      <c r="T375" s="2" t="n">
        <v>0</v>
      </c>
      <c r="U375" s="2" t="str">
        <f aca="false">IF(ISBLANK(T375),"Yes","No")</f>
        <v>No</v>
      </c>
      <c r="V375" s="2" t="n">
        <f aca="false">IF(ISBLANK(T375),0,IF(ISNUMBER(T375),T375,VALUE(LEFT(T375,LEN(T375)-1))/100))</f>
        <v>0</v>
      </c>
      <c r="W375" s="2" t="str">
        <f aca="false">IF(AND(V375&gt;=0,V375&lt;=0.25),"Valid","Invalid")</f>
        <v>Valid</v>
      </c>
      <c r="X375" s="2" t="n">
        <v>10068.12</v>
      </c>
      <c r="Y375" s="2" t="n">
        <f aca="false">R375*S375*(1-V375)</f>
        <v>10068.12</v>
      </c>
      <c r="Z375" s="2" t="str">
        <f aca="false">IF(ABS(X375-Y375)&gt;1,"Mismatch","OK")</f>
        <v>OK</v>
      </c>
      <c r="AA375" s="2" t="n">
        <v>8595.37</v>
      </c>
      <c r="AB375" s="2" t="n">
        <v>1472.75</v>
      </c>
      <c r="AC375" s="2" t="n">
        <f aca="false">Y375-AA375</f>
        <v>1472.75</v>
      </c>
      <c r="AD375" s="2" t="str">
        <f aca="false">IF(ABS(AB375-AC375)&gt;1,"Mismatch","OK")</f>
        <v>OK</v>
      </c>
      <c r="AE375" s="4" t="n">
        <f aca="false">IF(Y375=0,0,AC375/Y375)</f>
        <v>0.146278550513899</v>
      </c>
      <c r="AF375" s="2" t="s">
        <v>52</v>
      </c>
      <c r="AG375" s="2" t="s">
        <v>53</v>
      </c>
      <c r="AH375" s="2" t="str">
        <f aca="false">IF(AND(AG375="Completed",AF375&lt;&gt;"Paid"),"Inconsistent","OK")</f>
        <v>OK</v>
      </c>
      <c r="AI375" s="2" t="n">
        <f aca="false">IF(OR(ISBLANK(B375),ISBLANK(C375)),"",C375-B375)</f>
        <v>0</v>
      </c>
      <c r="AJ375" s="2" t="str">
        <f aca="false">IF(AI375="","Unknown",IF(AI375&lt;0,"Invalid","OK"))</f>
        <v>OK</v>
      </c>
      <c r="AK375" s="2" t="str">
        <f aca="false">IF(ISBLANK(B375),"",TEXT(B375,"mmm"))</f>
        <v>Apr</v>
      </c>
      <c r="AL375" s="2" t="n">
        <f aca="false">IF(ISBLANK(B375),"",YEAR(B375))</f>
        <v>2025</v>
      </c>
      <c r="AM375" s="2" t="s">
        <v>226</v>
      </c>
      <c r="AN375" s="2" t="str">
        <f aca="false">IF(OR(W375="Invalid",AJ375="Invalid",AH375="Inconsistent",Z375="Mismatch",AD375="Mismatch",AM375="Yes",D375="Yes",E375="Yes"),"Invalid",IF(OR(J375="Yes",Q375="Yes",U375="Yes"),"Warning","Clean"))</f>
        <v>Invalid</v>
      </c>
    </row>
    <row r="376" customFormat="false" ht="15" hidden="false" customHeight="false" outlineLevel="0" collapsed="false">
      <c r="A376" s="2" t="s">
        <v>1248</v>
      </c>
      <c r="B376" s="3" t="n">
        <v>45715</v>
      </c>
      <c r="C376" s="3" t="n">
        <v>45716</v>
      </c>
      <c r="D376" s="2" t="s">
        <v>41</v>
      </c>
      <c r="E376" s="2" t="s">
        <v>41</v>
      </c>
      <c r="F376" s="2" t="s">
        <v>1249</v>
      </c>
      <c r="G376" s="2" t="s">
        <v>109</v>
      </c>
      <c r="H376" s="2" t="s">
        <v>57</v>
      </c>
      <c r="I376" s="2" t="s">
        <v>45</v>
      </c>
      <c r="J376" s="2" t="s">
        <v>41</v>
      </c>
      <c r="K376" s="2" t="s">
        <v>156</v>
      </c>
      <c r="L376" s="2" t="s">
        <v>157</v>
      </c>
      <c r="M376" s="2" t="s">
        <v>48</v>
      </c>
      <c r="N376" s="2" t="s">
        <v>111</v>
      </c>
      <c r="O376" s="2" t="s">
        <v>1250</v>
      </c>
      <c r="P376" s="2" t="s">
        <v>79</v>
      </c>
      <c r="Q376" s="2" t="s">
        <v>41</v>
      </c>
      <c r="R376" s="2" t="n">
        <v>6</v>
      </c>
      <c r="S376" s="2" t="n">
        <v>2393.25</v>
      </c>
      <c r="T376" s="2" t="n">
        <v>0</v>
      </c>
      <c r="U376" s="2" t="str">
        <f aca="false">IF(ISBLANK(T376),"Yes","No")</f>
        <v>No</v>
      </c>
      <c r="V376" s="2" t="n">
        <f aca="false">IF(ISBLANK(T376),0,IF(ISNUMBER(T376),T376,VALUE(LEFT(T376,LEN(T376)-1))/100))</f>
        <v>0</v>
      </c>
      <c r="W376" s="2" t="str">
        <f aca="false">IF(AND(V376&gt;=0,V376&lt;=0.25),"Valid","Invalid")</f>
        <v>Valid</v>
      </c>
      <c r="X376" s="2" t="n">
        <v>14359.5</v>
      </c>
      <c r="Y376" s="2" t="n">
        <f aca="false">R376*S376*(1-V376)</f>
        <v>14359.5</v>
      </c>
      <c r="Z376" s="2" t="str">
        <f aca="false">IF(ABS(X376-Y376)&gt;1,"Mismatch","OK")</f>
        <v>OK</v>
      </c>
      <c r="AA376" s="2" t="n">
        <v>8117.71</v>
      </c>
      <c r="AB376" s="2" t="n">
        <v>6241.79</v>
      </c>
      <c r="AC376" s="2" t="n">
        <f aca="false">Y376-AA376</f>
        <v>6241.79</v>
      </c>
      <c r="AD376" s="2" t="str">
        <f aca="false">IF(ABS(AB376-AC376)&gt;1,"Mismatch","OK")</f>
        <v>OK</v>
      </c>
      <c r="AE376" s="4" t="n">
        <f aca="false">IF(Y376=0,0,AC376/Y376)</f>
        <v>0.434680176886382</v>
      </c>
      <c r="AF376" s="2" t="s">
        <v>52</v>
      </c>
      <c r="AG376" s="2" t="s">
        <v>53</v>
      </c>
      <c r="AH376" s="2" t="str">
        <f aca="false">IF(AND(AG376="Completed",AF376&lt;&gt;"Paid"),"Inconsistent","OK")</f>
        <v>OK</v>
      </c>
      <c r="AI376" s="2" t="n">
        <f aca="false">IF(OR(ISBLANK(B376),ISBLANK(C376)),"",C376-B376)</f>
        <v>1</v>
      </c>
      <c r="AJ376" s="2" t="str">
        <f aca="false">IF(AI376="","Unknown",IF(AI376&lt;0,"Invalid","OK"))</f>
        <v>OK</v>
      </c>
      <c r="AK376" s="2" t="str">
        <f aca="false">IF(ISBLANK(B376),"",TEXT(B376,"mmm"))</f>
        <v>Feb</v>
      </c>
      <c r="AL376" s="2" t="n">
        <f aca="false">IF(ISBLANK(B376),"",YEAR(B376))</f>
        <v>2025</v>
      </c>
      <c r="AM376" s="2" t="s">
        <v>41</v>
      </c>
      <c r="AN376" s="2" t="str">
        <f aca="false">IF(OR(W376="Invalid",AJ376="Invalid",AH376="Inconsistent",Z376="Mismatch",AD376="Mismatch",AM376="Yes",D376="Yes",E376="Yes"),"Invalid",IF(OR(J376="Yes",Q376="Yes",U376="Yes"),"Warning","Clean"))</f>
        <v>Clean</v>
      </c>
    </row>
    <row r="377" customFormat="false" ht="15" hidden="false" customHeight="false" outlineLevel="0" collapsed="false">
      <c r="A377" s="2" t="s">
        <v>1251</v>
      </c>
      <c r="B377" s="3" t="n">
        <v>45657</v>
      </c>
      <c r="C377" s="3" t="n">
        <v>45661</v>
      </c>
      <c r="D377" s="2" t="s">
        <v>41</v>
      </c>
      <c r="E377" s="2" t="s">
        <v>41</v>
      </c>
      <c r="F377" s="2" t="s">
        <v>1252</v>
      </c>
      <c r="G377" s="2" t="s">
        <v>91</v>
      </c>
      <c r="H377" s="2" t="s">
        <v>44</v>
      </c>
      <c r="I377" s="2" t="s">
        <v>45</v>
      </c>
      <c r="J377" s="2" t="s">
        <v>41</v>
      </c>
      <c r="K377" s="2" t="s">
        <v>372</v>
      </c>
      <c r="L377" s="2" t="s">
        <v>373</v>
      </c>
      <c r="M377" s="2" t="s">
        <v>61</v>
      </c>
      <c r="N377" s="2" t="s">
        <v>86</v>
      </c>
      <c r="O377" s="2" t="s">
        <v>1253</v>
      </c>
      <c r="P377" s="2" t="s">
        <v>64</v>
      </c>
      <c r="Q377" s="2" t="s">
        <v>41</v>
      </c>
      <c r="R377" s="2" t="n">
        <v>3</v>
      </c>
      <c r="S377" s="2" t="n">
        <v>1166.61</v>
      </c>
      <c r="T377" s="2" t="n">
        <v>0.25</v>
      </c>
      <c r="U377" s="2" t="str">
        <f aca="false">IF(ISBLANK(T377),"Yes","No")</f>
        <v>No</v>
      </c>
      <c r="V377" s="2" t="n">
        <f aca="false">IF(ISBLANK(T377),0,IF(ISNUMBER(T377),T377,VALUE(LEFT(T377,LEN(T377)-1))/100))</f>
        <v>0.25</v>
      </c>
      <c r="W377" s="2" t="str">
        <f aca="false">IF(AND(V377&gt;=0,V377&lt;=0.25),"Valid","Invalid")</f>
        <v>Valid</v>
      </c>
      <c r="X377" s="2" t="n">
        <v>2624.87</v>
      </c>
      <c r="Y377" s="2" t="n">
        <f aca="false">R377*S377*(1-V377)</f>
        <v>2624.8725</v>
      </c>
      <c r="Z377" s="2" t="str">
        <f aca="false">IF(ABS(X377-Y377)&gt;1,"Mismatch","OK")</f>
        <v>OK</v>
      </c>
      <c r="AA377" s="2" t="n">
        <v>2253.88</v>
      </c>
      <c r="AB377" s="2" t="n">
        <v>370.99</v>
      </c>
      <c r="AC377" s="2" t="n">
        <f aca="false">Y377-AA377</f>
        <v>370.9925</v>
      </c>
      <c r="AD377" s="2" t="str">
        <f aca="false">IF(ABS(AB377-AC377)&gt;1,"Mismatch","OK")</f>
        <v>OK</v>
      </c>
      <c r="AE377" s="4" t="n">
        <f aca="false">IF(Y377=0,0,AC377/Y377)</f>
        <v>0.141337341147046</v>
      </c>
      <c r="AF377" s="2" t="s">
        <v>52</v>
      </c>
      <c r="AG377" s="2" t="s">
        <v>53</v>
      </c>
      <c r="AH377" s="2" t="str">
        <f aca="false">IF(AND(AG377="Completed",AF377&lt;&gt;"Paid"),"Inconsistent","OK")</f>
        <v>OK</v>
      </c>
      <c r="AI377" s="2" t="n">
        <f aca="false">IF(OR(ISBLANK(B377),ISBLANK(C377)),"",C377-B377)</f>
        <v>4</v>
      </c>
      <c r="AJ377" s="2" t="str">
        <f aca="false">IF(AI377="","Unknown",IF(AI377&lt;0,"Invalid","OK"))</f>
        <v>OK</v>
      </c>
      <c r="AK377" s="2" t="str">
        <f aca="false">IF(ISBLANK(B377),"",TEXT(B377,"mmm"))</f>
        <v>Dec</v>
      </c>
      <c r="AL377" s="2" t="n">
        <f aca="false">IF(ISBLANK(B377),"",YEAR(B377))</f>
        <v>2024</v>
      </c>
      <c r="AM377" s="2" t="s">
        <v>41</v>
      </c>
      <c r="AN377" s="2" t="str">
        <f aca="false">IF(OR(W377="Invalid",AJ377="Invalid",AH377="Inconsistent",Z377="Mismatch",AD377="Mismatch",AM377="Yes",D377="Yes",E377="Yes"),"Invalid",IF(OR(J377="Yes",Q377="Yes",U377="Yes"),"Warning","Clean"))</f>
        <v>Clean</v>
      </c>
    </row>
    <row r="378" customFormat="false" ht="15" hidden="false" customHeight="false" outlineLevel="0" collapsed="false">
      <c r="A378" s="2" t="s">
        <v>1254</v>
      </c>
      <c r="B378" s="3" t="n">
        <v>45655</v>
      </c>
      <c r="C378" s="3" t="n">
        <v>45657</v>
      </c>
      <c r="D378" s="2" t="s">
        <v>41</v>
      </c>
      <c r="E378" s="2" t="s">
        <v>41</v>
      </c>
      <c r="F378" s="2" t="s">
        <v>1255</v>
      </c>
      <c r="G378" s="2" t="s">
        <v>67</v>
      </c>
      <c r="H378" s="2" t="s">
        <v>57</v>
      </c>
      <c r="I378" s="2" t="s">
        <v>58</v>
      </c>
      <c r="J378" s="2" t="s">
        <v>41</v>
      </c>
      <c r="K378" s="2" t="s">
        <v>165</v>
      </c>
      <c r="L378" s="2" t="s">
        <v>166</v>
      </c>
      <c r="M378" s="2" t="s">
        <v>61</v>
      </c>
      <c r="N378" s="2" t="s">
        <v>86</v>
      </c>
      <c r="O378" s="2" t="s">
        <v>1256</v>
      </c>
      <c r="P378" s="2" t="s">
        <v>70</v>
      </c>
      <c r="Q378" s="2" t="s">
        <v>41</v>
      </c>
      <c r="R378" s="2" t="n">
        <v>6</v>
      </c>
      <c r="S378" s="2" t="n">
        <v>1844.78</v>
      </c>
      <c r="T378" s="2" t="n">
        <v>0.2</v>
      </c>
      <c r="U378" s="2" t="str">
        <f aca="false">IF(ISBLANK(T378),"Yes","No")</f>
        <v>No</v>
      </c>
      <c r="V378" s="2" t="n">
        <f aca="false">IF(ISBLANK(T378),0,IF(ISNUMBER(T378),T378,VALUE(LEFT(T378,LEN(T378)-1))/100))</f>
        <v>0.2</v>
      </c>
      <c r="W378" s="2" t="str">
        <f aca="false">IF(AND(V378&gt;=0,V378&lt;=0.25),"Valid","Invalid")</f>
        <v>Valid</v>
      </c>
      <c r="X378" s="2" t="n">
        <v>8854.94</v>
      </c>
      <c r="Y378" s="2" t="n">
        <f aca="false">R378*S378*(1-V378)</f>
        <v>8854.944</v>
      </c>
      <c r="Z378" s="2" t="str">
        <f aca="false">IF(ABS(X378-Y378)&gt;1,"Mismatch","OK")</f>
        <v>OK</v>
      </c>
      <c r="AA378" s="2" t="n">
        <v>7433.95</v>
      </c>
      <c r="AB378" s="2" t="n">
        <v>1420.99</v>
      </c>
      <c r="AC378" s="2" t="n">
        <f aca="false">Y378-AA378</f>
        <v>1420.994</v>
      </c>
      <c r="AD378" s="2" t="str">
        <f aca="false">IF(ABS(AB378-AC378)&gt;1,"Mismatch","OK")</f>
        <v>OK</v>
      </c>
      <c r="AE378" s="4" t="n">
        <f aca="false">IF(Y378=0,0,AC378/Y378)</f>
        <v>0.160474645576528</v>
      </c>
      <c r="AF378" s="2" t="s">
        <v>52</v>
      </c>
      <c r="AG378" s="2" t="s">
        <v>53</v>
      </c>
      <c r="AH378" s="2" t="str">
        <f aca="false">IF(AND(AG378="Completed",AF378&lt;&gt;"Paid"),"Inconsistent","OK")</f>
        <v>OK</v>
      </c>
      <c r="AI378" s="2" t="n">
        <f aca="false">IF(OR(ISBLANK(B378),ISBLANK(C378)),"",C378-B378)</f>
        <v>2</v>
      </c>
      <c r="AJ378" s="2" t="str">
        <f aca="false">IF(AI378="","Unknown",IF(AI378&lt;0,"Invalid","OK"))</f>
        <v>OK</v>
      </c>
      <c r="AK378" s="2" t="str">
        <f aca="false">IF(ISBLANK(B378),"",TEXT(B378,"mmm"))</f>
        <v>Dec</v>
      </c>
      <c r="AL378" s="2" t="n">
        <f aca="false">IF(ISBLANK(B378),"",YEAR(B378))</f>
        <v>2024</v>
      </c>
      <c r="AM378" s="2" t="s">
        <v>41</v>
      </c>
      <c r="AN378" s="2" t="str">
        <f aca="false">IF(OR(W378="Invalid",AJ378="Invalid",AH378="Inconsistent",Z378="Mismatch",AD378="Mismatch",AM378="Yes",D378="Yes",E378="Yes"),"Invalid",IF(OR(J378="Yes",Q378="Yes",U378="Yes"),"Warning","Clean"))</f>
        <v>Clean</v>
      </c>
    </row>
    <row r="379" customFormat="false" ht="15" hidden="false" customHeight="false" outlineLevel="0" collapsed="false">
      <c r="A379" s="2" t="s">
        <v>1257</v>
      </c>
      <c r="B379" s="3" t="n">
        <v>45801</v>
      </c>
      <c r="C379" s="3" t="n">
        <v>45807</v>
      </c>
      <c r="D379" s="2" t="s">
        <v>41</v>
      </c>
      <c r="E379" s="2" t="s">
        <v>41</v>
      </c>
      <c r="F379" s="2" t="s">
        <v>1258</v>
      </c>
      <c r="G379" s="2" t="s">
        <v>286</v>
      </c>
      <c r="H379" s="2" t="s">
        <v>57</v>
      </c>
      <c r="I379" s="2" t="s">
        <v>58</v>
      </c>
      <c r="J379" s="2" t="s">
        <v>41</v>
      </c>
      <c r="K379" s="2" t="s">
        <v>59</v>
      </c>
      <c r="L379" s="2" t="s">
        <v>60</v>
      </c>
      <c r="M379" s="2" t="s">
        <v>48</v>
      </c>
      <c r="N379" s="2" t="s">
        <v>144</v>
      </c>
      <c r="O379" s="2" t="s">
        <v>1259</v>
      </c>
      <c r="P379" s="2" t="s">
        <v>64</v>
      </c>
      <c r="Q379" s="2" t="s">
        <v>41</v>
      </c>
      <c r="R379" s="2" t="n">
        <v>1</v>
      </c>
      <c r="S379" s="2" t="n">
        <v>2564.74</v>
      </c>
      <c r="T379" s="2" t="n">
        <v>0</v>
      </c>
      <c r="U379" s="2" t="str">
        <f aca="false">IF(ISBLANK(T379),"Yes","No")</f>
        <v>No</v>
      </c>
      <c r="V379" s="2" t="n">
        <f aca="false">IF(ISBLANK(T379),0,IF(ISNUMBER(T379),T379,VALUE(LEFT(T379,LEN(T379)-1))/100))</f>
        <v>0</v>
      </c>
      <c r="W379" s="2" t="str">
        <f aca="false">IF(AND(V379&gt;=0,V379&lt;=0.25),"Valid","Invalid")</f>
        <v>Valid</v>
      </c>
      <c r="X379" s="2" t="n">
        <v>2564.74</v>
      </c>
      <c r="Y379" s="2" t="n">
        <f aca="false">R379*S379*(1-V379)</f>
        <v>2564.74</v>
      </c>
      <c r="Z379" s="2" t="str">
        <f aca="false">IF(ABS(X379-Y379)&gt;1,"Mismatch","OK")</f>
        <v>OK</v>
      </c>
      <c r="AA379" s="2" t="n">
        <v>1754.58</v>
      </c>
      <c r="AB379" s="2" t="n">
        <v>810.16</v>
      </c>
      <c r="AC379" s="2" t="n">
        <f aca="false">Y379-AA379</f>
        <v>810.16</v>
      </c>
      <c r="AD379" s="2" t="str">
        <f aca="false">IF(ABS(AB379-AC379)&gt;1,"Mismatch","OK")</f>
        <v>OK</v>
      </c>
      <c r="AE379" s="4" t="n">
        <f aca="false">IF(Y379=0,0,AC379/Y379)</f>
        <v>0.315883871269602</v>
      </c>
      <c r="AF379" s="2" t="s">
        <v>52</v>
      </c>
      <c r="AG379" s="2" t="s">
        <v>53</v>
      </c>
      <c r="AH379" s="2" t="str">
        <f aca="false">IF(AND(AG379="Completed",AF379&lt;&gt;"Paid"),"Inconsistent","OK")</f>
        <v>OK</v>
      </c>
      <c r="AI379" s="2" t="n">
        <f aca="false">IF(OR(ISBLANK(B379),ISBLANK(C379)),"",C379-B379)</f>
        <v>6</v>
      </c>
      <c r="AJ379" s="2" t="str">
        <f aca="false">IF(AI379="","Unknown",IF(AI379&lt;0,"Invalid","OK"))</f>
        <v>OK</v>
      </c>
      <c r="AK379" s="2" t="str">
        <f aca="false">IF(ISBLANK(B379),"",TEXT(B379,"mmm"))</f>
        <v>May</v>
      </c>
      <c r="AL379" s="2" t="n">
        <f aca="false">IF(ISBLANK(B379),"",YEAR(B379))</f>
        <v>2025</v>
      </c>
      <c r="AM379" s="2" t="s">
        <v>41</v>
      </c>
      <c r="AN379" s="2" t="str">
        <f aca="false">IF(OR(W379="Invalid",AJ379="Invalid",AH379="Inconsistent",Z379="Mismatch",AD379="Mismatch",AM379="Yes",D379="Yes",E379="Yes"),"Invalid",IF(OR(J379="Yes",Q379="Yes",U379="Yes"),"Warning","Clean"))</f>
        <v>Clean</v>
      </c>
    </row>
    <row r="380" customFormat="false" ht="15" hidden="false" customHeight="false" outlineLevel="0" collapsed="false">
      <c r="A380" s="2" t="s">
        <v>1260</v>
      </c>
      <c r="B380" s="3" t="n">
        <v>45799</v>
      </c>
      <c r="C380" s="3" t="n">
        <v>45799</v>
      </c>
      <c r="D380" s="2" t="s">
        <v>41</v>
      </c>
      <c r="E380" s="2" t="s">
        <v>41</v>
      </c>
      <c r="F380" s="2" t="s">
        <v>1261</v>
      </c>
      <c r="G380" s="2" t="s">
        <v>56</v>
      </c>
      <c r="H380" s="2" t="s">
        <v>44</v>
      </c>
      <c r="I380" s="2" t="s">
        <v>83</v>
      </c>
      <c r="J380" s="2" t="s">
        <v>41</v>
      </c>
      <c r="K380" s="2" t="s">
        <v>210</v>
      </c>
      <c r="L380" s="2" t="s">
        <v>211</v>
      </c>
      <c r="M380" s="2" t="s">
        <v>94</v>
      </c>
      <c r="N380" s="2" t="s">
        <v>95</v>
      </c>
      <c r="O380" s="2" t="s">
        <v>1262</v>
      </c>
      <c r="P380" s="2" t="s">
        <v>79</v>
      </c>
      <c r="Q380" s="2" t="s">
        <v>41</v>
      </c>
      <c r="R380" s="2" t="n">
        <v>2</v>
      </c>
      <c r="S380" s="2" t="n">
        <v>3910.61</v>
      </c>
      <c r="T380" s="2" t="n">
        <v>0</v>
      </c>
      <c r="U380" s="2" t="str">
        <f aca="false">IF(ISBLANK(T380),"Yes","No")</f>
        <v>No</v>
      </c>
      <c r="V380" s="2" t="n">
        <f aca="false">IF(ISBLANK(T380),0,IF(ISNUMBER(T380),T380,VALUE(LEFT(T380,LEN(T380)-1))/100))</f>
        <v>0</v>
      </c>
      <c r="W380" s="2" t="str">
        <f aca="false">IF(AND(V380&gt;=0,V380&lt;=0.25),"Valid","Invalid")</f>
        <v>Valid</v>
      </c>
      <c r="X380" s="2" t="n">
        <v>7821.22</v>
      </c>
      <c r="Y380" s="2" t="n">
        <f aca="false">R380*S380*(1-V380)</f>
        <v>7821.22</v>
      </c>
      <c r="Z380" s="2" t="str">
        <f aca="false">IF(ABS(X380-Y380)&gt;1,"Mismatch","OK")</f>
        <v>OK</v>
      </c>
      <c r="AA380" s="2" t="n">
        <v>4994.46</v>
      </c>
      <c r="AB380" s="2" t="n">
        <v>2826.76</v>
      </c>
      <c r="AC380" s="2" t="n">
        <f aca="false">Y380-AA380</f>
        <v>2826.76</v>
      </c>
      <c r="AD380" s="2" t="str">
        <f aca="false">IF(ABS(AB380-AC380)&gt;1,"Mismatch","OK")</f>
        <v>OK</v>
      </c>
      <c r="AE380" s="4" t="n">
        <f aca="false">IF(Y380=0,0,AC380/Y380)</f>
        <v>0.361421875359599</v>
      </c>
      <c r="AF380" s="2" t="s">
        <v>52</v>
      </c>
      <c r="AG380" s="2" t="s">
        <v>53</v>
      </c>
      <c r="AH380" s="2" t="str">
        <f aca="false">IF(AND(AG380="Completed",AF380&lt;&gt;"Paid"),"Inconsistent","OK")</f>
        <v>OK</v>
      </c>
      <c r="AI380" s="2" t="n">
        <f aca="false">IF(OR(ISBLANK(B380),ISBLANK(C380)),"",C380-B380)</f>
        <v>0</v>
      </c>
      <c r="AJ380" s="2" t="str">
        <f aca="false">IF(AI380="","Unknown",IF(AI380&lt;0,"Invalid","OK"))</f>
        <v>OK</v>
      </c>
      <c r="AK380" s="2" t="str">
        <f aca="false">IF(ISBLANK(B380),"",TEXT(B380,"mmm"))</f>
        <v>May</v>
      </c>
      <c r="AL380" s="2" t="n">
        <f aca="false">IF(ISBLANK(B380),"",YEAR(B380))</f>
        <v>2025</v>
      </c>
      <c r="AM380" s="2" t="s">
        <v>41</v>
      </c>
      <c r="AN380" s="2" t="str">
        <f aca="false">IF(OR(W380="Invalid",AJ380="Invalid",AH380="Inconsistent",Z380="Mismatch",AD380="Mismatch",AM380="Yes",D380="Yes",E380="Yes"),"Invalid",IF(OR(J380="Yes",Q380="Yes",U380="Yes"),"Warning","Clean"))</f>
        <v>Clean</v>
      </c>
    </row>
    <row r="381" customFormat="false" ht="15" hidden="false" customHeight="false" outlineLevel="0" collapsed="false">
      <c r="A381" s="2" t="s">
        <v>1263</v>
      </c>
      <c r="B381" s="3" t="n">
        <v>45554</v>
      </c>
      <c r="C381" s="3" t="n">
        <v>45558</v>
      </c>
      <c r="D381" s="2" t="s">
        <v>41</v>
      </c>
      <c r="E381" s="2" t="s">
        <v>41</v>
      </c>
      <c r="F381" s="2" t="s">
        <v>1264</v>
      </c>
      <c r="G381" s="2" t="s">
        <v>56</v>
      </c>
      <c r="H381" s="2" t="s">
        <v>57</v>
      </c>
      <c r="I381" s="2" t="s">
        <v>74</v>
      </c>
      <c r="J381" s="2" t="s">
        <v>41</v>
      </c>
      <c r="K381" s="2" t="s">
        <v>205</v>
      </c>
      <c r="L381" s="2" t="s">
        <v>206</v>
      </c>
      <c r="M381" s="2" t="s">
        <v>48</v>
      </c>
      <c r="N381" s="2" t="s">
        <v>49</v>
      </c>
      <c r="O381" s="2" t="s">
        <v>1265</v>
      </c>
      <c r="P381" s="2" t="s">
        <v>79</v>
      </c>
      <c r="Q381" s="2" t="s">
        <v>41</v>
      </c>
      <c r="R381" s="2" t="n">
        <v>7</v>
      </c>
      <c r="S381" s="2" t="n">
        <v>1136.68</v>
      </c>
      <c r="T381" s="2"/>
      <c r="U381" s="2" t="str">
        <f aca="false">IF(ISBLANK(T381),"Yes","No")</f>
        <v>Yes</v>
      </c>
      <c r="V381" s="2" t="n">
        <f aca="false">IF(ISBLANK(T381),0,IF(ISNUMBER(T381),T381,VALUE(LEFT(T381,LEN(T381)-1))/100))</f>
        <v>0</v>
      </c>
      <c r="W381" s="2" t="str">
        <f aca="false">IF(AND(V381&gt;=0,V381&lt;=0.25),"Valid","Invalid")</f>
        <v>Valid</v>
      </c>
      <c r="X381" s="2" t="n">
        <v>7956.76</v>
      </c>
      <c r="Y381" s="2" t="n">
        <f aca="false">R381*S381*(1-V381)</f>
        <v>7956.76</v>
      </c>
      <c r="Z381" s="2" t="str">
        <f aca="false">IF(ABS(X381-Y381)&gt;1,"Mismatch","OK")</f>
        <v>OK</v>
      </c>
      <c r="AA381" s="2" t="n">
        <v>4799.54</v>
      </c>
      <c r="AB381" s="2" t="n">
        <v>3157.22</v>
      </c>
      <c r="AC381" s="2" t="n">
        <f aca="false">Y381-AA381</f>
        <v>3157.22</v>
      </c>
      <c r="AD381" s="2" t="str">
        <f aca="false">IF(ABS(AB381-AC381)&gt;1,"Mismatch","OK")</f>
        <v>OK</v>
      </c>
      <c r="AE381" s="4" t="n">
        <f aca="false">IF(Y381=0,0,AC381/Y381)</f>
        <v>0.396797188805494</v>
      </c>
      <c r="AF381" s="2" t="s">
        <v>52</v>
      </c>
      <c r="AG381" s="2" t="s">
        <v>53</v>
      </c>
      <c r="AH381" s="2" t="str">
        <f aca="false">IF(AND(AG381="Completed",AF381&lt;&gt;"Paid"),"Inconsistent","OK")</f>
        <v>OK</v>
      </c>
      <c r="AI381" s="2" t="n">
        <f aca="false">IF(OR(ISBLANK(B381),ISBLANK(C381)),"",C381-B381)</f>
        <v>4</v>
      </c>
      <c r="AJ381" s="2" t="str">
        <f aca="false">IF(AI381="","Unknown",IF(AI381&lt;0,"Invalid","OK"))</f>
        <v>OK</v>
      </c>
      <c r="AK381" s="2" t="str">
        <f aca="false">IF(ISBLANK(B381),"",TEXT(B381,"mmm"))</f>
        <v>Sep</v>
      </c>
      <c r="AL381" s="2" t="n">
        <f aca="false">IF(ISBLANK(B381),"",YEAR(B381))</f>
        <v>2024</v>
      </c>
      <c r="AM381" s="2" t="s">
        <v>41</v>
      </c>
      <c r="AN381" s="2" t="str">
        <f aca="false">IF(OR(W381="Invalid",AJ381="Invalid",AH381="Inconsistent",Z381="Mismatch",AD381="Mismatch",AM381="Yes",D381="Yes",E381="Yes"),"Invalid",IF(OR(J381="Yes",Q381="Yes",U381="Yes"),"Warning","Clean"))</f>
        <v>Warning</v>
      </c>
    </row>
    <row r="382" customFormat="false" ht="15" hidden="false" customHeight="false" outlineLevel="0" collapsed="false">
      <c r="A382" s="2" t="s">
        <v>1266</v>
      </c>
      <c r="B382" s="3" t="n">
        <v>45389</v>
      </c>
      <c r="C382" s="3" t="n">
        <v>45396</v>
      </c>
      <c r="D382" s="2" t="s">
        <v>41</v>
      </c>
      <c r="E382" s="2" t="s">
        <v>41</v>
      </c>
      <c r="F382" s="2" t="s">
        <v>1267</v>
      </c>
      <c r="G382" s="2" t="s">
        <v>91</v>
      </c>
      <c r="H382" s="2" t="s">
        <v>44</v>
      </c>
      <c r="I382" s="2" t="s">
        <v>83</v>
      </c>
      <c r="J382" s="2" t="s">
        <v>41</v>
      </c>
      <c r="K382" s="2" t="s">
        <v>84</v>
      </c>
      <c r="L382" s="2" t="s">
        <v>85</v>
      </c>
      <c r="M382" s="2" t="s">
        <v>61</v>
      </c>
      <c r="N382" s="2" t="s">
        <v>178</v>
      </c>
      <c r="O382" s="2" t="s">
        <v>1268</v>
      </c>
      <c r="P382" s="2" t="s">
        <v>64</v>
      </c>
      <c r="Q382" s="2" t="s">
        <v>41</v>
      </c>
      <c r="R382" s="2" t="n">
        <v>5</v>
      </c>
      <c r="S382" s="2" t="n">
        <v>2235.85</v>
      </c>
      <c r="T382" s="2" t="n">
        <v>0.25</v>
      </c>
      <c r="U382" s="2" t="str">
        <f aca="false">IF(ISBLANK(T382),"Yes","No")</f>
        <v>No</v>
      </c>
      <c r="V382" s="2" t="n">
        <f aca="false">IF(ISBLANK(T382),0,IF(ISNUMBER(T382),T382,VALUE(LEFT(T382,LEN(T382)-1))/100))</f>
        <v>0.25</v>
      </c>
      <c r="W382" s="2" t="str">
        <f aca="false">IF(AND(V382&gt;=0,V382&lt;=0.25),"Valid","Invalid")</f>
        <v>Valid</v>
      </c>
      <c r="X382" s="2" t="n">
        <v>8384.44</v>
      </c>
      <c r="Y382" s="2" t="n">
        <f aca="false">R382*S382*(1-V382)</f>
        <v>8384.4375</v>
      </c>
      <c r="Z382" s="2" t="str">
        <f aca="false">IF(ABS(X382-Y382)&gt;1,"Mismatch","OK")</f>
        <v>OK</v>
      </c>
      <c r="AA382" s="2" t="n">
        <v>4765.96</v>
      </c>
      <c r="AB382" s="2" t="n">
        <v>3618.48</v>
      </c>
      <c r="AC382" s="2" t="n">
        <f aca="false">Y382-AA382</f>
        <v>3618.4775</v>
      </c>
      <c r="AD382" s="2" t="str">
        <f aca="false">IF(ABS(AB382-AC382)&gt;1,"Mismatch","OK")</f>
        <v>OK</v>
      </c>
      <c r="AE382" s="4" t="n">
        <f aca="false">IF(Y382=0,0,AC382/Y382)</f>
        <v>0.431570692726853</v>
      </c>
      <c r="AF382" s="2" t="s">
        <v>52</v>
      </c>
      <c r="AG382" s="2" t="s">
        <v>123</v>
      </c>
      <c r="AH382" s="2" t="str">
        <f aca="false">IF(AND(AG382="Completed",AF382&lt;&gt;"Paid"),"Inconsistent","OK")</f>
        <v>OK</v>
      </c>
      <c r="AI382" s="2" t="n">
        <f aca="false">IF(OR(ISBLANK(B382),ISBLANK(C382)),"",C382-B382)</f>
        <v>7</v>
      </c>
      <c r="AJ382" s="2" t="str">
        <f aca="false">IF(AI382="","Unknown",IF(AI382&lt;0,"Invalid","OK"))</f>
        <v>OK</v>
      </c>
      <c r="AK382" s="2" t="str">
        <f aca="false">IF(ISBLANK(B382),"",TEXT(B382,"mmm"))</f>
        <v>Apr</v>
      </c>
      <c r="AL382" s="2" t="n">
        <f aca="false">IF(ISBLANK(B382),"",YEAR(B382))</f>
        <v>2024</v>
      </c>
      <c r="AM382" s="2" t="s">
        <v>41</v>
      </c>
      <c r="AN382" s="2" t="str">
        <f aca="false">IF(OR(W382="Invalid",AJ382="Invalid",AH382="Inconsistent",Z382="Mismatch",AD382="Mismatch",AM382="Yes",D382="Yes",E382="Yes"),"Invalid",IF(OR(J382="Yes",Q382="Yes",U382="Yes"),"Warning","Clean"))</f>
        <v>Clean</v>
      </c>
    </row>
    <row r="383" customFormat="false" ht="15" hidden="false" customHeight="false" outlineLevel="0" collapsed="false">
      <c r="A383" s="2" t="s">
        <v>1269</v>
      </c>
      <c r="B383" s="3" t="n">
        <v>45919</v>
      </c>
      <c r="C383" s="3" t="n">
        <v>45923</v>
      </c>
      <c r="D383" s="2" t="s">
        <v>41</v>
      </c>
      <c r="E383" s="2" t="s">
        <v>41</v>
      </c>
      <c r="F383" s="2" t="s">
        <v>1270</v>
      </c>
      <c r="G383" s="2" t="s">
        <v>73</v>
      </c>
      <c r="H383" s="2" t="s">
        <v>115</v>
      </c>
      <c r="I383" s="2" t="s">
        <v>45</v>
      </c>
      <c r="J383" s="2" t="s">
        <v>41</v>
      </c>
      <c r="K383" s="2" t="s">
        <v>372</v>
      </c>
      <c r="L383" s="2" t="s">
        <v>373</v>
      </c>
      <c r="M383" s="2" t="s">
        <v>48</v>
      </c>
      <c r="N383" s="2" t="s">
        <v>173</v>
      </c>
      <c r="O383" s="2" t="s">
        <v>1271</v>
      </c>
      <c r="P383" s="2" t="s">
        <v>79</v>
      </c>
      <c r="Q383" s="2" t="s">
        <v>41</v>
      </c>
      <c r="R383" s="2" t="n">
        <v>4</v>
      </c>
      <c r="S383" s="2" t="n">
        <v>4387.15</v>
      </c>
      <c r="T383" s="2" t="n">
        <v>0.05</v>
      </c>
      <c r="U383" s="2" t="str">
        <f aca="false">IF(ISBLANK(T383),"Yes","No")</f>
        <v>No</v>
      </c>
      <c r="V383" s="2" t="n">
        <f aca="false">IF(ISBLANK(T383),0,IF(ISNUMBER(T383),T383,VALUE(LEFT(T383,LEN(T383)-1))/100))</f>
        <v>0.05</v>
      </c>
      <c r="W383" s="2" t="str">
        <f aca="false">IF(AND(V383&gt;=0,V383&lt;=0.25),"Valid","Invalid")</f>
        <v>Valid</v>
      </c>
      <c r="X383" s="2" t="n">
        <v>16671.17</v>
      </c>
      <c r="Y383" s="2" t="n">
        <f aca="false">R383*S383*(1-V383)</f>
        <v>16671.17</v>
      </c>
      <c r="Z383" s="2" t="str">
        <f aca="false">IF(ABS(X383-Y383)&gt;1,"Mismatch","OK")</f>
        <v>OK</v>
      </c>
      <c r="AA383" s="2" t="n">
        <v>10833.19</v>
      </c>
      <c r="AB383" s="2" t="n">
        <v>5837.98</v>
      </c>
      <c r="AC383" s="2" t="n">
        <f aca="false">Y383-AA383</f>
        <v>5837.98</v>
      </c>
      <c r="AD383" s="2" t="str">
        <f aca="false">IF(ABS(AB383-AC383)&gt;1,"Mismatch","OK")</f>
        <v>OK</v>
      </c>
      <c r="AE383" s="4" t="n">
        <f aca="false">IF(Y383=0,0,AC383/Y383)</f>
        <v>0.350184180234501</v>
      </c>
      <c r="AF383" s="2" t="s">
        <v>175</v>
      </c>
      <c r="AG383" s="2" t="s">
        <v>88</v>
      </c>
      <c r="AH383" s="2" t="str">
        <f aca="false">IF(AND(AG383="Completed",AF383&lt;&gt;"Paid"),"Inconsistent","OK")</f>
        <v>OK</v>
      </c>
      <c r="AI383" s="2" t="n">
        <f aca="false">IF(OR(ISBLANK(B383),ISBLANK(C383)),"",C383-B383)</f>
        <v>4</v>
      </c>
      <c r="AJ383" s="2" t="str">
        <f aca="false">IF(AI383="","Unknown",IF(AI383&lt;0,"Invalid","OK"))</f>
        <v>OK</v>
      </c>
      <c r="AK383" s="2" t="str">
        <f aca="false">IF(ISBLANK(B383),"",TEXT(B383,"mmm"))</f>
        <v>Sep</v>
      </c>
      <c r="AL383" s="2" t="n">
        <f aca="false">IF(ISBLANK(B383),"",YEAR(B383))</f>
        <v>2025</v>
      </c>
      <c r="AM383" s="2" t="s">
        <v>41</v>
      </c>
      <c r="AN383" s="2" t="str">
        <f aca="false">IF(OR(W383="Invalid",AJ383="Invalid",AH383="Inconsistent",Z383="Mismatch",AD383="Mismatch",AM383="Yes",D383="Yes",E383="Yes"),"Invalid",IF(OR(J383="Yes",Q383="Yes",U383="Yes"),"Warning","Clean"))</f>
        <v>Clean</v>
      </c>
    </row>
    <row r="384" customFormat="false" ht="15" hidden="false" customHeight="false" outlineLevel="0" collapsed="false">
      <c r="A384" s="2" t="s">
        <v>1272</v>
      </c>
      <c r="B384" s="3" t="n">
        <v>45720</v>
      </c>
      <c r="C384" s="3" t="n">
        <v>45724</v>
      </c>
      <c r="D384" s="2" t="s">
        <v>41</v>
      </c>
      <c r="E384" s="2" t="s">
        <v>41</v>
      </c>
      <c r="F384" s="2" t="s">
        <v>177</v>
      </c>
      <c r="G384" s="2" t="s">
        <v>73</v>
      </c>
      <c r="H384" s="2" t="s">
        <v>57</v>
      </c>
      <c r="I384" s="2" t="s">
        <v>58</v>
      </c>
      <c r="J384" s="2" t="s">
        <v>41</v>
      </c>
      <c r="K384" s="2" t="s">
        <v>165</v>
      </c>
      <c r="L384" s="2" t="s">
        <v>166</v>
      </c>
      <c r="M384" s="2" t="s">
        <v>94</v>
      </c>
      <c r="N384" s="2" t="s">
        <v>191</v>
      </c>
      <c r="O384" s="2" t="s">
        <v>1273</v>
      </c>
      <c r="P384" s="2" t="s">
        <v>70</v>
      </c>
      <c r="Q384" s="2" t="s">
        <v>41</v>
      </c>
      <c r="R384" s="2" t="n">
        <v>3</v>
      </c>
      <c r="S384" s="2" t="n">
        <v>4361.85</v>
      </c>
      <c r="T384" s="2" t="n">
        <v>0.2</v>
      </c>
      <c r="U384" s="2" t="str">
        <f aca="false">IF(ISBLANK(T384),"Yes","No")</f>
        <v>No</v>
      </c>
      <c r="V384" s="2" t="n">
        <f aca="false">IF(ISBLANK(T384),0,IF(ISNUMBER(T384),T384,VALUE(LEFT(T384,LEN(T384)-1))/100))</f>
        <v>0.2</v>
      </c>
      <c r="W384" s="2" t="str">
        <f aca="false">IF(AND(V384&gt;=0,V384&lt;=0.25),"Valid","Invalid")</f>
        <v>Valid</v>
      </c>
      <c r="X384" s="2" t="n">
        <v>10468.44</v>
      </c>
      <c r="Y384" s="2" t="n">
        <f aca="false">R384*S384*(1-V384)</f>
        <v>10468.44</v>
      </c>
      <c r="Z384" s="2" t="str">
        <f aca="false">IF(ABS(X384-Y384)&gt;1,"Mismatch","OK")</f>
        <v>OK</v>
      </c>
      <c r="AA384" s="2" t="n">
        <v>8399.87</v>
      </c>
      <c r="AB384" s="2" t="n">
        <v>2068.57</v>
      </c>
      <c r="AC384" s="2" t="n">
        <f aca="false">Y384-AA384</f>
        <v>2068.57</v>
      </c>
      <c r="AD384" s="2" t="str">
        <f aca="false">IF(ABS(AB384-AC384)&gt;1,"Mismatch","OK")</f>
        <v>OK</v>
      </c>
      <c r="AE384" s="4" t="n">
        <f aca="false">IF(Y384=0,0,AC384/Y384)</f>
        <v>0.197600597605756</v>
      </c>
      <c r="AF384" s="2" t="s">
        <v>52</v>
      </c>
      <c r="AG384" s="2" t="s">
        <v>53</v>
      </c>
      <c r="AH384" s="2" t="str">
        <f aca="false">IF(AND(AG384="Completed",AF384&lt;&gt;"Paid"),"Inconsistent","OK")</f>
        <v>OK</v>
      </c>
      <c r="AI384" s="2" t="n">
        <f aca="false">IF(OR(ISBLANK(B384),ISBLANK(C384)),"",C384-B384)</f>
        <v>4</v>
      </c>
      <c r="AJ384" s="2" t="str">
        <f aca="false">IF(AI384="","Unknown",IF(AI384&lt;0,"Invalid","OK"))</f>
        <v>OK</v>
      </c>
      <c r="AK384" s="2" t="str">
        <f aca="false">IF(ISBLANK(B384),"",TEXT(B384,"mmm"))</f>
        <v>Mar</v>
      </c>
      <c r="AL384" s="2" t="n">
        <f aca="false">IF(ISBLANK(B384),"",YEAR(B384))</f>
        <v>2025</v>
      </c>
      <c r="AM384" s="2" t="s">
        <v>41</v>
      </c>
      <c r="AN384" s="2" t="str">
        <f aca="false">IF(OR(W384="Invalid",AJ384="Invalid",AH384="Inconsistent",Z384="Mismatch",AD384="Mismatch",AM384="Yes",D384="Yes",E384="Yes"),"Invalid",IF(OR(J384="Yes",Q384="Yes",U384="Yes"),"Warning","Clean"))</f>
        <v>Clean</v>
      </c>
    </row>
    <row r="385" customFormat="false" ht="15" hidden="false" customHeight="false" outlineLevel="0" collapsed="false">
      <c r="A385" s="2" t="s">
        <v>1274</v>
      </c>
      <c r="B385" s="3" t="n">
        <v>45836</v>
      </c>
      <c r="C385" s="3" t="n">
        <v>45843</v>
      </c>
      <c r="D385" s="2" t="s">
        <v>41</v>
      </c>
      <c r="E385" s="2" t="s">
        <v>41</v>
      </c>
      <c r="F385" s="2" t="s">
        <v>1275</v>
      </c>
      <c r="G385" s="2" t="s">
        <v>91</v>
      </c>
      <c r="H385" s="2" t="s">
        <v>110</v>
      </c>
      <c r="I385" s="2" t="s">
        <v>58</v>
      </c>
      <c r="J385" s="2" t="s">
        <v>41</v>
      </c>
      <c r="K385" s="2" t="s">
        <v>119</v>
      </c>
      <c r="L385" s="2" t="s">
        <v>120</v>
      </c>
      <c r="M385" s="2" t="s">
        <v>48</v>
      </c>
      <c r="N385" s="2" t="s">
        <v>68</v>
      </c>
      <c r="O385" s="2" t="s">
        <v>1276</v>
      </c>
      <c r="P385" s="2" t="s">
        <v>70</v>
      </c>
      <c r="Q385" s="2" t="s">
        <v>41</v>
      </c>
      <c r="R385" s="2" t="n">
        <v>2</v>
      </c>
      <c r="S385" s="2" t="n">
        <v>2242.75</v>
      </c>
      <c r="T385" s="2" t="n">
        <v>0</v>
      </c>
      <c r="U385" s="2" t="str">
        <f aca="false">IF(ISBLANK(T385),"Yes","No")</f>
        <v>No</v>
      </c>
      <c r="V385" s="2" t="n">
        <f aca="false">IF(ISBLANK(T385),0,IF(ISNUMBER(T385),T385,VALUE(LEFT(T385,LEN(T385)-1))/100))</f>
        <v>0</v>
      </c>
      <c r="W385" s="2" t="str">
        <f aca="false">IF(AND(V385&gt;=0,V385&lt;=0.25),"Valid","Invalid")</f>
        <v>Valid</v>
      </c>
      <c r="X385" s="2" t="n">
        <v>4485.5</v>
      </c>
      <c r="Y385" s="2" t="n">
        <f aca="false">R385*S385*(1-V385)</f>
        <v>4485.5</v>
      </c>
      <c r="Z385" s="2" t="str">
        <f aca="false">IF(ABS(X385-Y385)&gt;1,"Mismatch","OK")</f>
        <v>OK</v>
      </c>
      <c r="AA385" s="2" t="n">
        <v>3131.86</v>
      </c>
      <c r="AB385" s="2" t="n">
        <v>1353.64</v>
      </c>
      <c r="AC385" s="2" t="n">
        <f aca="false">Y385-AA385</f>
        <v>1353.64</v>
      </c>
      <c r="AD385" s="2" t="str">
        <f aca="false">IF(ABS(AB385-AC385)&gt;1,"Mismatch","OK")</f>
        <v>OK</v>
      </c>
      <c r="AE385" s="4" t="n">
        <f aca="false">IF(Y385=0,0,AC385/Y385)</f>
        <v>0.301781295284807</v>
      </c>
      <c r="AF385" s="2" t="s">
        <v>52</v>
      </c>
      <c r="AG385" s="2" t="s">
        <v>88</v>
      </c>
      <c r="AH385" s="2" t="str">
        <f aca="false">IF(AND(AG385="Completed",AF385&lt;&gt;"Paid"),"Inconsistent","OK")</f>
        <v>OK</v>
      </c>
      <c r="AI385" s="2" t="n">
        <f aca="false">IF(OR(ISBLANK(B385),ISBLANK(C385)),"",C385-B385)</f>
        <v>7</v>
      </c>
      <c r="AJ385" s="2" t="str">
        <f aca="false">IF(AI385="","Unknown",IF(AI385&lt;0,"Invalid","OK"))</f>
        <v>OK</v>
      </c>
      <c r="AK385" s="2" t="str">
        <f aca="false">IF(ISBLANK(B385),"",TEXT(B385,"mmm"))</f>
        <v>Jun</v>
      </c>
      <c r="AL385" s="2" t="n">
        <f aca="false">IF(ISBLANK(B385),"",YEAR(B385))</f>
        <v>2025</v>
      </c>
      <c r="AM385" s="2" t="s">
        <v>41</v>
      </c>
      <c r="AN385" s="2" t="str">
        <f aca="false">IF(OR(W385="Invalid",AJ385="Invalid",AH385="Inconsistent",Z385="Mismatch",AD385="Mismatch",AM385="Yes",D385="Yes",E385="Yes"),"Invalid",IF(OR(J385="Yes",Q385="Yes",U385="Yes"),"Warning","Clean"))</f>
        <v>Clean</v>
      </c>
    </row>
    <row r="386" customFormat="false" ht="15" hidden="false" customHeight="false" outlineLevel="0" collapsed="false">
      <c r="A386" s="2" t="s">
        <v>1277</v>
      </c>
      <c r="B386" s="3" t="n">
        <v>45366</v>
      </c>
      <c r="C386" s="3" t="n">
        <v>45371</v>
      </c>
      <c r="D386" s="2" t="s">
        <v>41</v>
      </c>
      <c r="E386" s="2" t="s">
        <v>41</v>
      </c>
      <c r="F386" s="2" t="s">
        <v>1278</v>
      </c>
      <c r="G386" s="2" t="s">
        <v>161</v>
      </c>
      <c r="H386" s="2" t="s">
        <v>44</v>
      </c>
      <c r="I386" s="2" t="s">
        <v>58</v>
      </c>
      <c r="J386" s="2" t="s">
        <v>41</v>
      </c>
      <c r="K386" s="2" t="s">
        <v>250</v>
      </c>
      <c r="L386" s="2" t="s">
        <v>251</v>
      </c>
      <c r="M386" s="2" t="s">
        <v>94</v>
      </c>
      <c r="N386" s="2" t="s">
        <v>100</v>
      </c>
      <c r="O386" s="2" t="s">
        <v>1279</v>
      </c>
      <c r="P386" s="2" t="s">
        <v>79</v>
      </c>
      <c r="Q386" s="2" t="s">
        <v>41</v>
      </c>
      <c r="R386" s="2" t="n">
        <v>2</v>
      </c>
      <c r="S386" s="2" t="n">
        <v>1881.4</v>
      </c>
      <c r="T386" s="2" t="n">
        <v>0.25</v>
      </c>
      <c r="U386" s="2" t="str">
        <f aca="false">IF(ISBLANK(T386),"Yes","No")</f>
        <v>No</v>
      </c>
      <c r="V386" s="2" t="n">
        <f aca="false">IF(ISBLANK(T386),0,IF(ISNUMBER(T386),T386,VALUE(LEFT(T386,LEN(T386)-1))/100))</f>
        <v>0.25</v>
      </c>
      <c r="W386" s="2" t="str">
        <f aca="false">IF(AND(V386&gt;=0,V386&lt;=0.25),"Valid","Invalid")</f>
        <v>Valid</v>
      </c>
      <c r="X386" s="2" t="n">
        <v>2822.1</v>
      </c>
      <c r="Y386" s="2" t="n">
        <f aca="false">R386*S386*(1-V386)</f>
        <v>2822.1</v>
      </c>
      <c r="Z386" s="2" t="str">
        <f aca="false">IF(ABS(X386-Y386)&gt;1,"Mismatch","OK")</f>
        <v>OK</v>
      </c>
      <c r="AA386" s="2" t="n">
        <v>1624.57</v>
      </c>
      <c r="AB386" s="2" t="n">
        <v>1197.53</v>
      </c>
      <c r="AC386" s="2" t="n">
        <f aca="false">Y386-AA386</f>
        <v>1197.53</v>
      </c>
      <c r="AD386" s="2" t="str">
        <f aca="false">IF(ABS(AB386-AC386)&gt;1,"Mismatch","OK")</f>
        <v>OK</v>
      </c>
      <c r="AE386" s="4" t="n">
        <f aca="false">IF(Y386=0,0,AC386/Y386)</f>
        <v>0.424340030473761</v>
      </c>
      <c r="AF386" s="2" t="s">
        <v>52</v>
      </c>
      <c r="AG386" s="2" t="s">
        <v>123</v>
      </c>
      <c r="AH386" s="2" t="str">
        <f aca="false">IF(AND(AG386="Completed",AF386&lt;&gt;"Paid"),"Inconsistent","OK")</f>
        <v>OK</v>
      </c>
      <c r="AI386" s="2" t="n">
        <f aca="false">IF(OR(ISBLANK(B386),ISBLANK(C386)),"",C386-B386)</f>
        <v>5</v>
      </c>
      <c r="AJ386" s="2" t="str">
        <f aca="false">IF(AI386="","Unknown",IF(AI386&lt;0,"Invalid","OK"))</f>
        <v>OK</v>
      </c>
      <c r="AK386" s="2" t="str">
        <f aca="false">IF(ISBLANK(B386),"",TEXT(B386,"mmm"))</f>
        <v>Mar</v>
      </c>
      <c r="AL386" s="2" t="n">
        <f aca="false">IF(ISBLANK(B386),"",YEAR(B386))</f>
        <v>2024</v>
      </c>
      <c r="AM386" s="2" t="s">
        <v>41</v>
      </c>
      <c r="AN386" s="2" t="str">
        <f aca="false">IF(OR(W386="Invalid",AJ386="Invalid",AH386="Inconsistent",Z386="Mismatch",AD386="Mismatch",AM386="Yes",D386="Yes",E386="Yes"),"Invalid",IF(OR(J386="Yes",Q386="Yes",U386="Yes"),"Warning","Clean"))</f>
        <v>Clean</v>
      </c>
    </row>
    <row r="387" customFormat="false" ht="15" hidden="false" customHeight="false" outlineLevel="0" collapsed="false">
      <c r="A387" s="2" t="s">
        <v>1280</v>
      </c>
      <c r="B387" s="3" t="n">
        <v>45832</v>
      </c>
      <c r="C387" s="3" t="n">
        <v>45838</v>
      </c>
      <c r="D387" s="2" t="s">
        <v>41</v>
      </c>
      <c r="E387" s="2" t="s">
        <v>41</v>
      </c>
      <c r="F387" s="2" t="s">
        <v>1281</v>
      </c>
      <c r="G387" s="2" t="s">
        <v>73</v>
      </c>
      <c r="H387" s="2" t="s">
        <v>44</v>
      </c>
      <c r="I387" s="2" t="s">
        <v>45</v>
      </c>
      <c r="J387" s="2" t="s">
        <v>41</v>
      </c>
      <c r="K387" s="2" t="s">
        <v>258</v>
      </c>
      <c r="L387" s="2" t="s">
        <v>259</v>
      </c>
      <c r="M387" s="2" t="s">
        <v>48</v>
      </c>
      <c r="N387" s="2" t="s">
        <v>111</v>
      </c>
      <c r="O387" s="2" t="s">
        <v>1282</v>
      </c>
      <c r="P387" s="2" t="s">
        <v>79</v>
      </c>
      <c r="Q387" s="2" t="s">
        <v>41</v>
      </c>
      <c r="R387" s="2" t="n">
        <v>6</v>
      </c>
      <c r="S387" s="2" t="n">
        <v>365.76</v>
      </c>
      <c r="T387" s="2" t="n">
        <v>0.1</v>
      </c>
      <c r="U387" s="2" t="str">
        <f aca="false">IF(ISBLANK(T387),"Yes","No")</f>
        <v>No</v>
      </c>
      <c r="V387" s="2" t="n">
        <f aca="false">IF(ISBLANK(T387),0,IF(ISNUMBER(T387),T387,VALUE(LEFT(T387,LEN(T387)-1))/100))</f>
        <v>0.1</v>
      </c>
      <c r="W387" s="2" t="str">
        <f aca="false">IF(AND(V387&gt;=0,V387&lt;=0.25),"Valid","Invalid")</f>
        <v>Valid</v>
      </c>
      <c r="X387" s="2" t="n">
        <v>1975.1</v>
      </c>
      <c r="Y387" s="2" t="n">
        <f aca="false">R387*S387*(1-V387)</f>
        <v>1975.104</v>
      </c>
      <c r="Z387" s="2" t="str">
        <f aca="false">IF(ABS(X387-Y387)&gt;1,"Mismatch","OK")</f>
        <v>OK</v>
      </c>
      <c r="AA387" s="2" t="n">
        <v>1115.35</v>
      </c>
      <c r="AB387" s="2" t="n">
        <v>859.75</v>
      </c>
      <c r="AC387" s="2" t="n">
        <f aca="false">Y387-AA387</f>
        <v>859.754</v>
      </c>
      <c r="AD387" s="2" t="str">
        <f aca="false">IF(ABS(AB387-AC387)&gt;1,"Mismatch","OK")</f>
        <v>OK</v>
      </c>
      <c r="AE387" s="4" t="n">
        <f aca="false">IF(Y387=0,0,AC387/Y387)</f>
        <v>0.435295559119925</v>
      </c>
      <c r="AF387" s="2" t="s">
        <v>52</v>
      </c>
      <c r="AG387" s="2" t="s">
        <v>53</v>
      </c>
      <c r="AH387" s="2" t="str">
        <f aca="false">IF(AND(AG387="Completed",AF387&lt;&gt;"Paid"),"Inconsistent","OK")</f>
        <v>OK</v>
      </c>
      <c r="AI387" s="2" t="n">
        <f aca="false">IF(OR(ISBLANK(B387),ISBLANK(C387)),"",C387-B387)</f>
        <v>6</v>
      </c>
      <c r="AJ387" s="2" t="str">
        <f aca="false">IF(AI387="","Unknown",IF(AI387&lt;0,"Invalid","OK"))</f>
        <v>OK</v>
      </c>
      <c r="AK387" s="2" t="str">
        <f aca="false">IF(ISBLANK(B387),"",TEXT(B387,"mmm"))</f>
        <v>Jun</v>
      </c>
      <c r="AL387" s="2" t="n">
        <f aca="false">IF(ISBLANK(B387),"",YEAR(B387))</f>
        <v>2025</v>
      </c>
      <c r="AM387" s="2" t="s">
        <v>41</v>
      </c>
      <c r="AN387" s="2" t="str">
        <f aca="false">IF(OR(W387="Invalid",AJ387="Invalid",AH387="Inconsistent",Z387="Mismatch",AD387="Mismatch",AM387="Yes",D387="Yes",E387="Yes"),"Invalid",IF(OR(J387="Yes",Q387="Yes",U387="Yes"),"Warning","Clean"))</f>
        <v>Clean</v>
      </c>
    </row>
    <row r="388" customFormat="false" ht="15" hidden="false" customHeight="false" outlineLevel="0" collapsed="false">
      <c r="A388" s="2" t="s">
        <v>1283</v>
      </c>
      <c r="B388" s="3" t="n">
        <v>45700</v>
      </c>
      <c r="C388" s="3" t="n">
        <v>45702</v>
      </c>
      <c r="D388" s="2" t="s">
        <v>41</v>
      </c>
      <c r="E388" s="2" t="s">
        <v>41</v>
      </c>
      <c r="F388" s="2" t="s">
        <v>1284</v>
      </c>
      <c r="G388" s="2" t="s">
        <v>152</v>
      </c>
      <c r="H388" s="2" t="s">
        <v>44</v>
      </c>
      <c r="I388" s="2" t="s">
        <v>83</v>
      </c>
      <c r="J388" s="2" t="s">
        <v>41</v>
      </c>
      <c r="K388" s="2" t="s">
        <v>84</v>
      </c>
      <c r="L388" s="2" t="s">
        <v>85</v>
      </c>
      <c r="M388" s="2" t="s">
        <v>61</v>
      </c>
      <c r="N388" s="2" t="s">
        <v>77</v>
      </c>
      <c r="O388" s="2" t="s">
        <v>1285</v>
      </c>
      <c r="P388" s="2" t="s">
        <v>51</v>
      </c>
      <c r="Q388" s="2" t="s">
        <v>41</v>
      </c>
      <c r="R388" s="2" t="n">
        <v>8</v>
      </c>
      <c r="S388" s="2" t="n">
        <v>2786.66</v>
      </c>
      <c r="T388" s="2" t="n">
        <v>0.1</v>
      </c>
      <c r="U388" s="2" t="str">
        <f aca="false">IF(ISBLANK(T388),"Yes","No")</f>
        <v>No</v>
      </c>
      <c r="V388" s="2" t="n">
        <f aca="false">IF(ISBLANK(T388),0,IF(ISNUMBER(T388),T388,VALUE(LEFT(T388,LEN(T388)-1))/100))</f>
        <v>0.1</v>
      </c>
      <c r="W388" s="2" t="str">
        <f aca="false">IF(AND(V388&gt;=0,V388&lt;=0.25),"Valid","Invalid")</f>
        <v>Valid</v>
      </c>
      <c r="X388" s="2" t="n">
        <v>20063.95</v>
      </c>
      <c r="Y388" s="2" t="n">
        <f aca="false">R388*S388*(1-V388)</f>
        <v>20063.952</v>
      </c>
      <c r="Z388" s="2" t="str">
        <f aca="false">IF(ABS(X388-Y388)&gt;1,"Mismatch","OK")</f>
        <v>OK</v>
      </c>
      <c r="AA388" s="2" t="n">
        <v>14363.38</v>
      </c>
      <c r="AB388" s="2" t="n">
        <v>5700.57</v>
      </c>
      <c r="AC388" s="2" t="n">
        <f aca="false">Y388-AA388</f>
        <v>5700.572</v>
      </c>
      <c r="AD388" s="2" t="str">
        <f aca="false">IF(ABS(AB388-AC388)&gt;1,"Mismatch","OK")</f>
        <v>OK</v>
      </c>
      <c r="AE388" s="4" t="n">
        <f aca="false">IF(Y388=0,0,AC388/Y388)</f>
        <v>0.284120097575991</v>
      </c>
      <c r="AF388" s="2" t="s">
        <v>52</v>
      </c>
      <c r="AG388" s="2" t="s">
        <v>53</v>
      </c>
      <c r="AH388" s="2" t="str">
        <f aca="false">IF(AND(AG388="Completed",AF388&lt;&gt;"Paid"),"Inconsistent","OK")</f>
        <v>OK</v>
      </c>
      <c r="AI388" s="2" t="n">
        <f aca="false">IF(OR(ISBLANK(B388),ISBLANK(C388)),"",C388-B388)</f>
        <v>2</v>
      </c>
      <c r="AJ388" s="2" t="str">
        <f aca="false">IF(AI388="","Unknown",IF(AI388&lt;0,"Invalid","OK"))</f>
        <v>OK</v>
      </c>
      <c r="AK388" s="2" t="str">
        <f aca="false">IF(ISBLANK(B388),"",TEXT(B388,"mmm"))</f>
        <v>Feb</v>
      </c>
      <c r="AL388" s="2" t="n">
        <f aca="false">IF(ISBLANK(B388),"",YEAR(B388))</f>
        <v>2025</v>
      </c>
      <c r="AM388" s="2" t="s">
        <v>41</v>
      </c>
      <c r="AN388" s="2" t="str">
        <f aca="false">IF(OR(W388="Invalid",AJ388="Invalid",AH388="Inconsistent",Z388="Mismatch",AD388="Mismatch",AM388="Yes",D388="Yes",E388="Yes"),"Invalid",IF(OR(J388="Yes",Q388="Yes",U388="Yes"),"Warning","Clean"))</f>
        <v>Clean</v>
      </c>
    </row>
    <row r="389" customFormat="false" ht="15" hidden="false" customHeight="false" outlineLevel="0" collapsed="false">
      <c r="A389" s="2" t="s">
        <v>1286</v>
      </c>
      <c r="B389" s="3" t="n">
        <v>45879</v>
      </c>
      <c r="C389" s="3" t="n">
        <v>45882</v>
      </c>
      <c r="D389" s="2" t="s">
        <v>41</v>
      </c>
      <c r="E389" s="2" t="s">
        <v>41</v>
      </c>
      <c r="F389" s="2" t="s">
        <v>1287</v>
      </c>
      <c r="G389" s="2" t="s">
        <v>134</v>
      </c>
      <c r="H389" s="2" t="s">
        <v>57</v>
      </c>
      <c r="I389" s="2" t="s">
        <v>83</v>
      </c>
      <c r="J389" s="2" t="s">
        <v>41</v>
      </c>
      <c r="K389" s="2" t="s">
        <v>92</v>
      </c>
      <c r="L389" s="2" t="s">
        <v>93</v>
      </c>
      <c r="M389" s="2" t="s">
        <v>61</v>
      </c>
      <c r="N389" s="2" t="s">
        <v>86</v>
      </c>
      <c r="O389" s="2" t="s">
        <v>1288</v>
      </c>
      <c r="P389" s="2" t="s">
        <v>79</v>
      </c>
      <c r="Q389" s="2" t="s">
        <v>41</v>
      </c>
      <c r="R389" s="2" t="n">
        <v>5</v>
      </c>
      <c r="S389" s="2" t="n">
        <v>352.86</v>
      </c>
      <c r="T389" s="2" t="n">
        <v>0</v>
      </c>
      <c r="U389" s="2" t="str">
        <f aca="false">IF(ISBLANK(T389),"Yes","No")</f>
        <v>No</v>
      </c>
      <c r="V389" s="2" t="n">
        <f aca="false">IF(ISBLANK(T389),0,IF(ISNUMBER(T389),T389,VALUE(LEFT(T389,LEN(T389)-1))/100))</f>
        <v>0</v>
      </c>
      <c r="W389" s="2" t="str">
        <f aca="false">IF(AND(V389&gt;=0,V389&lt;=0.25),"Valid","Invalid")</f>
        <v>Valid</v>
      </c>
      <c r="X389" s="2" t="n">
        <v>1764.3</v>
      </c>
      <c r="Y389" s="2" t="n">
        <f aca="false">R389*S389*(1-V389)</f>
        <v>1764.3</v>
      </c>
      <c r="Z389" s="2" t="str">
        <f aca="false">IF(ABS(X389-Y389)&gt;1,"Mismatch","OK")</f>
        <v>OK</v>
      </c>
      <c r="AA389" s="2" t="n">
        <v>1332.49</v>
      </c>
      <c r="AB389" s="2" t="n">
        <v>431.81</v>
      </c>
      <c r="AC389" s="2" t="n">
        <f aca="false">Y389-AA389</f>
        <v>431.81</v>
      </c>
      <c r="AD389" s="2" t="str">
        <f aca="false">IF(ABS(AB389-AC389)&gt;1,"Mismatch","OK")</f>
        <v>OK</v>
      </c>
      <c r="AE389" s="4" t="n">
        <f aca="false">IF(Y389=0,0,AC389/Y389)</f>
        <v>0.244748625517202</v>
      </c>
      <c r="AF389" s="2" t="s">
        <v>131</v>
      </c>
      <c r="AG389" s="2" t="s">
        <v>88</v>
      </c>
      <c r="AH389" s="2" t="str">
        <f aca="false">IF(AND(AG389="Completed",AF389&lt;&gt;"Paid"),"Inconsistent","OK")</f>
        <v>OK</v>
      </c>
      <c r="AI389" s="2" t="n">
        <f aca="false">IF(OR(ISBLANK(B389),ISBLANK(C389)),"",C389-B389)</f>
        <v>3</v>
      </c>
      <c r="AJ389" s="2" t="str">
        <f aca="false">IF(AI389="","Unknown",IF(AI389&lt;0,"Invalid","OK"))</f>
        <v>OK</v>
      </c>
      <c r="AK389" s="2" t="str">
        <f aca="false">IF(ISBLANK(B389),"",TEXT(B389,"mmm"))</f>
        <v>Aug</v>
      </c>
      <c r="AL389" s="2" t="n">
        <f aca="false">IF(ISBLANK(B389),"",YEAR(B389))</f>
        <v>2025</v>
      </c>
      <c r="AM389" s="2" t="s">
        <v>41</v>
      </c>
      <c r="AN389" s="2" t="str">
        <f aca="false">IF(OR(W389="Invalid",AJ389="Invalid",AH389="Inconsistent",Z389="Mismatch",AD389="Mismatch",AM389="Yes",D389="Yes",E389="Yes"),"Invalid",IF(OR(J389="Yes",Q389="Yes",U389="Yes"),"Warning","Clean"))</f>
        <v>Clean</v>
      </c>
    </row>
    <row r="390" customFormat="false" ht="15" hidden="false" customHeight="false" outlineLevel="0" collapsed="false">
      <c r="A390" s="2" t="s">
        <v>1289</v>
      </c>
      <c r="B390" s="3" t="n">
        <v>45425</v>
      </c>
      <c r="C390" s="3" t="n">
        <v>45430</v>
      </c>
      <c r="D390" s="2" t="s">
        <v>41</v>
      </c>
      <c r="E390" s="2" t="s">
        <v>41</v>
      </c>
      <c r="F390" s="2" t="s">
        <v>1290</v>
      </c>
      <c r="G390" s="2" t="s">
        <v>67</v>
      </c>
      <c r="H390" s="2" t="s">
        <v>57</v>
      </c>
      <c r="I390" s="2" t="s">
        <v>83</v>
      </c>
      <c r="J390" s="2" t="s">
        <v>41</v>
      </c>
      <c r="K390" s="2" t="s">
        <v>200</v>
      </c>
      <c r="L390" s="2" t="s">
        <v>201</v>
      </c>
      <c r="M390" s="2" t="s">
        <v>61</v>
      </c>
      <c r="N390" s="2" t="s">
        <v>86</v>
      </c>
      <c r="O390" s="2" t="s">
        <v>1291</v>
      </c>
      <c r="P390" s="2" t="s">
        <v>79</v>
      </c>
      <c r="Q390" s="2" t="s">
        <v>41</v>
      </c>
      <c r="R390" s="2" t="n">
        <v>3</v>
      </c>
      <c r="S390" s="2" t="n">
        <v>3128.59</v>
      </c>
      <c r="T390" s="2" t="n">
        <v>0</v>
      </c>
      <c r="U390" s="2" t="str">
        <f aca="false">IF(ISBLANK(T390),"Yes","No")</f>
        <v>No</v>
      </c>
      <c r="V390" s="2" t="n">
        <f aca="false">IF(ISBLANK(T390),0,IF(ISNUMBER(T390),T390,VALUE(LEFT(T390,LEN(T390)-1))/100))</f>
        <v>0</v>
      </c>
      <c r="W390" s="2" t="str">
        <f aca="false">IF(AND(V390&gt;=0,V390&lt;=0.25),"Valid","Invalid")</f>
        <v>Valid</v>
      </c>
      <c r="X390" s="2" t="n">
        <v>9385.77</v>
      </c>
      <c r="Y390" s="2" t="n">
        <f aca="false">R390*S390*(1-V390)</f>
        <v>9385.77</v>
      </c>
      <c r="Z390" s="2" t="str">
        <f aca="false">IF(ABS(X390-Y390)&gt;1,"Mismatch","OK")</f>
        <v>OK</v>
      </c>
      <c r="AA390" s="2" t="n">
        <v>6872.44</v>
      </c>
      <c r="AB390" s="2" t="n">
        <v>2783.66</v>
      </c>
      <c r="AC390" s="2" t="n">
        <f aca="false">Y390-AA390</f>
        <v>2513.33</v>
      </c>
      <c r="AD390" s="2" t="str">
        <f aca="false">IF(ABS(AB390-AC390)&gt;1,"Mismatch","OK")</f>
        <v>Mismatch</v>
      </c>
      <c r="AE390" s="4" t="n">
        <f aca="false">IF(Y390=0,0,AC390/Y390)</f>
        <v>0.267780906627799</v>
      </c>
      <c r="AF390" s="2" t="s">
        <v>52</v>
      </c>
      <c r="AG390" s="2" t="s">
        <v>53</v>
      </c>
      <c r="AH390" s="2" t="str">
        <f aca="false">IF(AND(AG390="Completed",AF390&lt;&gt;"Paid"),"Inconsistent","OK")</f>
        <v>OK</v>
      </c>
      <c r="AI390" s="2" t="n">
        <f aca="false">IF(OR(ISBLANK(B390),ISBLANK(C390)),"",C390-B390)</f>
        <v>5</v>
      </c>
      <c r="AJ390" s="2" t="str">
        <f aca="false">IF(AI390="","Unknown",IF(AI390&lt;0,"Invalid","OK"))</f>
        <v>OK</v>
      </c>
      <c r="AK390" s="2" t="str">
        <f aca="false">IF(ISBLANK(B390),"",TEXT(B390,"mmm"))</f>
        <v>May</v>
      </c>
      <c r="AL390" s="2" t="n">
        <f aca="false">IF(ISBLANK(B390),"",YEAR(B390))</f>
        <v>2024</v>
      </c>
      <c r="AM390" s="2" t="s">
        <v>41</v>
      </c>
      <c r="AN390" s="2" t="str">
        <f aca="false">IF(OR(W390="Invalid",AJ390="Invalid",AH390="Inconsistent",Z390="Mismatch",AD390="Mismatch",AM390="Yes",D390="Yes",E390="Yes"),"Invalid",IF(OR(J390="Yes",Q390="Yes",U390="Yes"),"Warning","Clean"))</f>
        <v>Invalid</v>
      </c>
    </row>
    <row r="391" customFormat="false" ht="15" hidden="false" customHeight="false" outlineLevel="0" collapsed="false">
      <c r="A391" s="2" t="s">
        <v>1292</v>
      </c>
      <c r="B391" s="3" t="n">
        <v>45387</v>
      </c>
      <c r="C391" s="3" t="n">
        <v>45395</v>
      </c>
      <c r="D391" s="2" t="s">
        <v>41</v>
      </c>
      <c r="E391" s="2" t="s">
        <v>41</v>
      </c>
      <c r="F391" s="2" t="s">
        <v>1293</v>
      </c>
      <c r="G391" s="2" t="s">
        <v>182</v>
      </c>
      <c r="H391" s="2" t="s">
        <v>110</v>
      </c>
      <c r="I391" s="2" t="s">
        <v>83</v>
      </c>
      <c r="J391" s="2" t="s">
        <v>41</v>
      </c>
      <c r="K391" s="2" t="s">
        <v>200</v>
      </c>
      <c r="L391" s="2" t="s">
        <v>201</v>
      </c>
      <c r="M391" s="2" t="s">
        <v>94</v>
      </c>
      <c r="N391" s="2" t="s">
        <v>296</v>
      </c>
      <c r="O391" s="2" t="s">
        <v>1294</v>
      </c>
      <c r="P391" s="2" t="s">
        <v>51</v>
      </c>
      <c r="Q391" s="2" t="s">
        <v>41</v>
      </c>
      <c r="R391" s="2" t="n">
        <v>5</v>
      </c>
      <c r="S391" s="2" t="n">
        <v>1937.54</v>
      </c>
      <c r="T391" s="2" t="n">
        <v>0.2</v>
      </c>
      <c r="U391" s="2" t="str">
        <f aca="false">IF(ISBLANK(T391),"Yes","No")</f>
        <v>No</v>
      </c>
      <c r="V391" s="2" t="n">
        <f aca="false">IF(ISBLANK(T391),0,IF(ISNUMBER(T391),T391,VALUE(LEFT(T391,LEN(T391)-1))/100))</f>
        <v>0.2</v>
      </c>
      <c r="W391" s="2" t="str">
        <f aca="false">IF(AND(V391&gt;=0,V391&lt;=0.25),"Valid","Invalid")</f>
        <v>Valid</v>
      </c>
      <c r="X391" s="2" t="n">
        <v>7750.16</v>
      </c>
      <c r="Y391" s="2" t="n">
        <f aca="false">R391*S391*(1-V391)</f>
        <v>7750.16</v>
      </c>
      <c r="Z391" s="2" t="str">
        <f aca="false">IF(ABS(X391-Y391)&gt;1,"Mismatch","OK")</f>
        <v>OK</v>
      </c>
      <c r="AA391" s="2" t="n">
        <v>5434.3</v>
      </c>
      <c r="AB391" s="2" t="n">
        <v>2315.86</v>
      </c>
      <c r="AC391" s="2" t="n">
        <f aca="false">Y391-AA391</f>
        <v>2315.86</v>
      </c>
      <c r="AD391" s="2" t="str">
        <f aca="false">IF(ABS(AB391-AC391)&gt;1,"Mismatch","OK")</f>
        <v>OK</v>
      </c>
      <c r="AE391" s="4" t="n">
        <f aca="false">IF(Y391=0,0,AC391/Y391)</f>
        <v>0.298814476088236</v>
      </c>
      <c r="AF391" s="2" t="s">
        <v>131</v>
      </c>
      <c r="AG391" s="2" t="s">
        <v>88</v>
      </c>
      <c r="AH391" s="2" t="str">
        <f aca="false">IF(AND(AG391="Completed",AF391&lt;&gt;"Paid"),"Inconsistent","OK")</f>
        <v>OK</v>
      </c>
      <c r="AI391" s="2" t="n">
        <f aca="false">IF(OR(ISBLANK(B391),ISBLANK(C391)),"",C391-B391)</f>
        <v>8</v>
      </c>
      <c r="AJ391" s="2" t="str">
        <f aca="false">IF(AI391="","Unknown",IF(AI391&lt;0,"Invalid","OK"))</f>
        <v>OK</v>
      </c>
      <c r="AK391" s="2" t="str">
        <f aca="false">IF(ISBLANK(B391),"",TEXT(B391,"mmm"))</f>
        <v>Apr</v>
      </c>
      <c r="AL391" s="2" t="n">
        <f aca="false">IF(ISBLANK(B391),"",YEAR(B391))</f>
        <v>2024</v>
      </c>
      <c r="AM391" s="2" t="s">
        <v>41</v>
      </c>
      <c r="AN391" s="2" t="str">
        <f aca="false">IF(OR(W391="Invalid",AJ391="Invalid",AH391="Inconsistent",Z391="Mismatch",AD391="Mismatch",AM391="Yes",D391="Yes",E391="Yes"),"Invalid",IF(OR(J391="Yes",Q391="Yes",U391="Yes"),"Warning","Clean"))</f>
        <v>Clean</v>
      </c>
    </row>
    <row r="392" customFormat="false" ht="15" hidden="false" customHeight="false" outlineLevel="0" collapsed="false">
      <c r="A392" s="2" t="s">
        <v>1295</v>
      </c>
      <c r="B392" s="3" t="n">
        <v>45602</v>
      </c>
      <c r="C392" s="3" t="n">
        <v>45607</v>
      </c>
      <c r="D392" s="2" t="s">
        <v>41</v>
      </c>
      <c r="E392" s="2" t="s">
        <v>41</v>
      </c>
      <c r="F392" s="2" t="s">
        <v>1296</v>
      </c>
      <c r="G392" s="2" t="s">
        <v>67</v>
      </c>
      <c r="H392" s="2" t="s">
        <v>44</v>
      </c>
      <c r="I392" s="2" t="s">
        <v>83</v>
      </c>
      <c r="J392" s="2" t="s">
        <v>41</v>
      </c>
      <c r="K392" s="2" t="s">
        <v>200</v>
      </c>
      <c r="L392" s="2" t="s">
        <v>201</v>
      </c>
      <c r="M392" s="2" t="s">
        <v>61</v>
      </c>
      <c r="N392" s="2" t="s">
        <v>77</v>
      </c>
      <c r="O392" s="2" t="s">
        <v>1297</v>
      </c>
      <c r="P392" s="2" t="s">
        <v>79</v>
      </c>
      <c r="Q392" s="2" t="s">
        <v>41</v>
      </c>
      <c r="R392" s="2" t="n">
        <v>4</v>
      </c>
      <c r="S392" s="2" t="n">
        <v>1917.26</v>
      </c>
      <c r="T392" s="2" t="n">
        <v>0.2</v>
      </c>
      <c r="U392" s="2" t="str">
        <f aca="false">IF(ISBLANK(T392),"Yes","No")</f>
        <v>No</v>
      </c>
      <c r="V392" s="2" t="n">
        <f aca="false">IF(ISBLANK(T392),0,IF(ISNUMBER(T392),T392,VALUE(LEFT(T392,LEN(T392)-1))/100))</f>
        <v>0.2</v>
      </c>
      <c r="W392" s="2" t="str">
        <f aca="false">IF(AND(V392&gt;=0,V392&lt;=0.25),"Valid","Invalid")</f>
        <v>Valid</v>
      </c>
      <c r="X392" s="2" t="n">
        <v>6135.23</v>
      </c>
      <c r="Y392" s="2" t="n">
        <f aca="false">R392*S392*(1-V392)</f>
        <v>6135.232</v>
      </c>
      <c r="Z392" s="2" t="str">
        <f aca="false">IF(ABS(X392-Y392)&gt;1,"Mismatch","OK")</f>
        <v>OK</v>
      </c>
      <c r="AA392" s="2" t="n">
        <v>3439.79</v>
      </c>
      <c r="AB392" s="2" t="n">
        <v>2695.44</v>
      </c>
      <c r="AC392" s="2" t="n">
        <f aca="false">Y392-AA392</f>
        <v>2695.442</v>
      </c>
      <c r="AD392" s="2" t="str">
        <f aca="false">IF(ABS(AB392-AC392)&gt;1,"Mismatch","OK")</f>
        <v>OK</v>
      </c>
      <c r="AE392" s="4" t="n">
        <f aca="false">IF(Y392=0,0,AC392/Y392)</f>
        <v>0.439338235294118</v>
      </c>
      <c r="AF392" s="2" t="s">
        <v>52</v>
      </c>
      <c r="AG392" s="2" t="s">
        <v>53</v>
      </c>
      <c r="AH392" s="2" t="str">
        <f aca="false">IF(AND(AG392="Completed",AF392&lt;&gt;"Paid"),"Inconsistent","OK")</f>
        <v>OK</v>
      </c>
      <c r="AI392" s="2" t="n">
        <f aca="false">IF(OR(ISBLANK(B392),ISBLANK(C392)),"",C392-B392)</f>
        <v>5</v>
      </c>
      <c r="AJ392" s="2" t="str">
        <f aca="false">IF(AI392="","Unknown",IF(AI392&lt;0,"Invalid","OK"))</f>
        <v>OK</v>
      </c>
      <c r="AK392" s="2" t="str">
        <f aca="false">IF(ISBLANK(B392),"",TEXT(B392,"mmm"))</f>
        <v>Nov</v>
      </c>
      <c r="AL392" s="2" t="n">
        <f aca="false">IF(ISBLANK(B392),"",YEAR(B392))</f>
        <v>2024</v>
      </c>
      <c r="AM392" s="2" t="s">
        <v>41</v>
      </c>
      <c r="AN392" s="2" t="str">
        <f aca="false">IF(OR(W392="Invalid",AJ392="Invalid",AH392="Inconsistent",Z392="Mismatch",AD392="Mismatch",AM392="Yes",D392="Yes",E392="Yes"),"Invalid",IF(OR(J392="Yes",Q392="Yes",U392="Yes"),"Warning","Clean"))</f>
        <v>Clean</v>
      </c>
    </row>
    <row r="393" customFormat="false" ht="15" hidden="false" customHeight="false" outlineLevel="0" collapsed="false">
      <c r="A393" s="2" t="s">
        <v>1298</v>
      </c>
      <c r="B393" s="3" t="n">
        <v>45702</v>
      </c>
      <c r="C393" s="3" t="n">
        <v>45702</v>
      </c>
      <c r="D393" s="2" t="s">
        <v>41</v>
      </c>
      <c r="E393" s="2" t="s">
        <v>41</v>
      </c>
      <c r="F393" s="2" t="s">
        <v>1299</v>
      </c>
      <c r="G393" s="2" t="s">
        <v>182</v>
      </c>
      <c r="H393" s="2" t="s">
        <v>44</v>
      </c>
      <c r="I393" s="2" t="s">
        <v>74</v>
      </c>
      <c r="J393" s="2" t="s">
        <v>41</v>
      </c>
      <c r="K393" s="2" t="s">
        <v>195</v>
      </c>
      <c r="L393" s="2" t="s">
        <v>196</v>
      </c>
      <c r="M393" s="2" t="s">
        <v>48</v>
      </c>
      <c r="N393" s="2" t="s">
        <v>144</v>
      </c>
      <c r="O393" s="2" t="s">
        <v>1300</v>
      </c>
      <c r="P393" s="2" t="s">
        <v>70</v>
      </c>
      <c r="Q393" s="2" t="s">
        <v>41</v>
      </c>
      <c r="R393" s="2" t="n">
        <v>1</v>
      </c>
      <c r="S393" s="2" t="n">
        <v>714.43</v>
      </c>
      <c r="T393" s="2" t="n">
        <v>0</v>
      </c>
      <c r="U393" s="2" t="str">
        <f aca="false">IF(ISBLANK(T393),"Yes","No")</f>
        <v>No</v>
      </c>
      <c r="V393" s="2" t="n">
        <f aca="false">IF(ISBLANK(T393),0,IF(ISNUMBER(T393),T393,VALUE(LEFT(T393,LEN(T393)-1))/100))</f>
        <v>0</v>
      </c>
      <c r="W393" s="2" t="str">
        <f aca="false">IF(AND(V393&gt;=0,V393&lt;=0.25),"Valid","Invalid")</f>
        <v>Valid</v>
      </c>
      <c r="X393" s="2" t="n">
        <v>714.43</v>
      </c>
      <c r="Y393" s="2" t="n">
        <f aca="false">R393*S393*(1-V393)</f>
        <v>714.43</v>
      </c>
      <c r="Z393" s="2" t="str">
        <f aca="false">IF(ABS(X393-Y393)&gt;1,"Mismatch","OK")</f>
        <v>OK</v>
      </c>
      <c r="AA393" s="2" t="n">
        <v>565.44</v>
      </c>
      <c r="AB393" s="2" t="n">
        <v>148.99</v>
      </c>
      <c r="AC393" s="2" t="n">
        <f aca="false">Y393-AA393</f>
        <v>148.99</v>
      </c>
      <c r="AD393" s="2" t="str">
        <f aca="false">IF(ABS(AB393-AC393)&gt;1,"Mismatch","OK")</f>
        <v>OK</v>
      </c>
      <c r="AE393" s="4" t="n">
        <f aca="false">IF(Y393=0,0,AC393/Y393)</f>
        <v>0.208543874137424</v>
      </c>
      <c r="AF393" s="2" t="s">
        <v>52</v>
      </c>
      <c r="AG393" s="2" t="s">
        <v>53</v>
      </c>
      <c r="AH393" s="2" t="str">
        <f aca="false">IF(AND(AG393="Completed",AF393&lt;&gt;"Paid"),"Inconsistent","OK")</f>
        <v>OK</v>
      </c>
      <c r="AI393" s="2" t="n">
        <f aca="false">IF(OR(ISBLANK(B393),ISBLANK(C393)),"",C393-B393)</f>
        <v>0</v>
      </c>
      <c r="AJ393" s="2" t="str">
        <f aca="false">IF(AI393="","Unknown",IF(AI393&lt;0,"Invalid","OK"))</f>
        <v>OK</v>
      </c>
      <c r="AK393" s="2" t="str">
        <f aca="false">IF(ISBLANK(B393),"",TEXT(B393,"mmm"))</f>
        <v>Feb</v>
      </c>
      <c r="AL393" s="2" t="n">
        <f aca="false">IF(ISBLANK(B393),"",YEAR(B393))</f>
        <v>2025</v>
      </c>
      <c r="AM393" s="2" t="s">
        <v>41</v>
      </c>
      <c r="AN393" s="2" t="str">
        <f aca="false">IF(OR(W393="Invalid",AJ393="Invalid",AH393="Inconsistent",Z393="Mismatch",AD393="Mismatch",AM393="Yes",D393="Yes",E393="Yes"),"Invalid",IF(OR(J393="Yes",Q393="Yes",U393="Yes"),"Warning","Clean"))</f>
        <v>Clean</v>
      </c>
    </row>
    <row r="394" customFormat="false" ht="15" hidden="false" customHeight="false" outlineLevel="0" collapsed="false">
      <c r="A394" s="2" t="s">
        <v>1301</v>
      </c>
      <c r="B394" s="3" t="n">
        <v>45341</v>
      </c>
      <c r="C394" s="3" t="n">
        <v>45344</v>
      </c>
      <c r="D394" s="2" t="s">
        <v>41</v>
      </c>
      <c r="E394" s="2" t="s">
        <v>41</v>
      </c>
      <c r="F394" s="2" t="s">
        <v>1302</v>
      </c>
      <c r="G394" s="2" t="s">
        <v>109</v>
      </c>
      <c r="H394" s="2" t="s">
        <v>57</v>
      </c>
      <c r="I394" s="2" t="s">
        <v>74</v>
      </c>
      <c r="J394" s="2" t="s">
        <v>41</v>
      </c>
      <c r="K394" s="2" t="s">
        <v>205</v>
      </c>
      <c r="L394" s="2" t="s">
        <v>206</v>
      </c>
      <c r="M394" s="2" t="s">
        <v>61</v>
      </c>
      <c r="N394" s="2" t="s">
        <v>77</v>
      </c>
      <c r="O394" s="2" t="s">
        <v>1303</v>
      </c>
      <c r="P394" s="2" t="s">
        <v>64</v>
      </c>
      <c r="Q394" s="2" t="s">
        <v>41</v>
      </c>
      <c r="R394" s="2" t="n">
        <v>9</v>
      </c>
      <c r="S394" s="2" t="n">
        <v>4053.01</v>
      </c>
      <c r="T394" s="2" t="n">
        <v>0</v>
      </c>
      <c r="U394" s="2" t="str">
        <f aca="false">IF(ISBLANK(T394),"Yes","No")</f>
        <v>No</v>
      </c>
      <c r="V394" s="2" t="n">
        <f aca="false">IF(ISBLANK(T394),0,IF(ISNUMBER(T394),T394,VALUE(LEFT(T394,LEN(T394)-1))/100))</f>
        <v>0</v>
      </c>
      <c r="W394" s="2" t="str">
        <f aca="false">IF(AND(V394&gt;=0,V394&lt;=0.25),"Valid","Invalid")</f>
        <v>Valid</v>
      </c>
      <c r="X394" s="2" t="n">
        <v>36477.09</v>
      </c>
      <c r="Y394" s="2" t="n">
        <f aca="false">R394*S394*(1-V394)</f>
        <v>36477.09</v>
      </c>
      <c r="Z394" s="2" t="str">
        <f aca="false">IF(ABS(X394-Y394)&gt;1,"Mismatch","OK")</f>
        <v>OK</v>
      </c>
      <c r="AA394" s="2" t="n">
        <v>24525.48</v>
      </c>
      <c r="AB394" s="2" t="n">
        <v>11951.61</v>
      </c>
      <c r="AC394" s="2" t="n">
        <f aca="false">Y394-AA394</f>
        <v>11951.61</v>
      </c>
      <c r="AD394" s="2" t="str">
        <f aca="false">IF(ABS(AB394-AC394)&gt;1,"Mismatch","OK")</f>
        <v>OK</v>
      </c>
      <c r="AE394" s="4" t="n">
        <f aca="false">IF(Y394=0,0,AC394/Y394)</f>
        <v>0.327647024474814</v>
      </c>
      <c r="AF394" s="2" t="s">
        <v>52</v>
      </c>
      <c r="AG394" s="2" t="s">
        <v>53</v>
      </c>
      <c r="AH394" s="2" t="str">
        <f aca="false">IF(AND(AG394="Completed",AF394&lt;&gt;"Paid"),"Inconsistent","OK")</f>
        <v>OK</v>
      </c>
      <c r="AI394" s="2" t="n">
        <f aca="false">IF(OR(ISBLANK(B394),ISBLANK(C394)),"",C394-B394)</f>
        <v>3</v>
      </c>
      <c r="AJ394" s="2" t="str">
        <f aca="false">IF(AI394="","Unknown",IF(AI394&lt;0,"Invalid","OK"))</f>
        <v>OK</v>
      </c>
      <c r="AK394" s="2" t="str">
        <f aca="false">IF(ISBLANK(B394),"",TEXT(B394,"mmm"))</f>
        <v>Feb</v>
      </c>
      <c r="AL394" s="2" t="n">
        <f aca="false">IF(ISBLANK(B394),"",YEAR(B394))</f>
        <v>2024</v>
      </c>
      <c r="AM394" s="2" t="s">
        <v>41</v>
      </c>
      <c r="AN394" s="2" t="str">
        <f aca="false">IF(OR(W394="Invalid",AJ394="Invalid",AH394="Inconsistent",Z394="Mismatch",AD394="Mismatch",AM394="Yes",D394="Yes",E394="Yes"),"Invalid",IF(OR(J394="Yes",Q394="Yes",U394="Yes"),"Warning","Clean"))</f>
        <v>Clean</v>
      </c>
    </row>
    <row r="395" customFormat="false" ht="15" hidden="false" customHeight="false" outlineLevel="0" collapsed="false">
      <c r="A395" s="2" t="s">
        <v>1304</v>
      </c>
      <c r="B395" s="3" t="n">
        <v>45527</v>
      </c>
      <c r="C395" s="3" t="n">
        <v>45533</v>
      </c>
      <c r="D395" s="2" t="s">
        <v>41</v>
      </c>
      <c r="E395" s="2" t="s">
        <v>41</v>
      </c>
      <c r="F395" s="2" t="s">
        <v>1305</v>
      </c>
      <c r="G395" s="2" t="s">
        <v>56</v>
      </c>
      <c r="H395" s="2" t="s">
        <v>110</v>
      </c>
      <c r="I395" s="2" t="s">
        <v>45</v>
      </c>
      <c r="J395" s="2" t="s">
        <v>41</v>
      </c>
      <c r="K395" s="2" t="s">
        <v>156</v>
      </c>
      <c r="L395" s="2" t="s">
        <v>157</v>
      </c>
      <c r="M395" s="2" t="s">
        <v>48</v>
      </c>
      <c r="N395" s="2" t="s">
        <v>111</v>
      </c>
      <c r="O395" s="2" t="s">
        <v>1306</v>
      </c>
      <c r="P395" s="2" t="s">
        <v>64</v>
      </c>
      <c r="Q395" s="2" t="s">
        <v>41</v>
      </c>
      <c r="R395" s="2" t="n">
        <v>2</v>
      </c>
      <c r="S395" s="2" t="n">
        <v>1936.91</v>
      </c>
      <c r="T395" s="2" t="n">
        <v>0.05</v>
      </c>
      <c r="U395" s="2" t="str">
        <f aca="false">IF(ISBLANK(T395),"Yes","No")</f>
        <v>No</v>
      </c>
      <c r="V395" s="2" t="n">
        <f aca="false">IF(ISBLANK(T395),0,IF(ISNUMBER(T395),T395,VALUE(LEFT(T395,LEN(T395)-1))/100))</f>
        <v>0.05</v>
      </c>
      <c r="W395" s="2" t="str">
        <f aca="false">IF(AND(V395&gt;=0,V395&lt;=0.25),"Valid","Invalid")</f>
        <v>Valid</v>
      </c>
      <c r="X395" s="2" t="n">
        <v>3680.13</v>
      </c>
      <c r="Y395" s="2" t="n">
        <f aca="false">R395*S395*(1-V395)</f>
        <v>3680.129</v>
      </c>
      <c r="Z395" s="2" t="str">
        <f aca="false">IF(ABS(X395-Y395)&gt;1,"Mismatch","OK")</f>
        <v>OK</v>
      </c>
      <c r="AA395" s="2" t="n">
        <v>2967.46</v>
      </c>
      <c r="AB395" s="2" t="n">
        <v>712.67</v>
      </c>
      <c r="AC395" s="2" t="n">
        <f aca="false">Y395-AA395</f>
        <v>712.669</v>
      </c>
      <c r="AD395" s="2" t="str">
        <f aca="false">IF(ABS(AB395-AC395)&gt;1,"Mismatch","OK")</f>
        <v>OK</v>
      </c>
      <c r="AE395" s="4" t="n">
        <f aca="false">IF(Y395=0,0,AC395/Y395)</f>
        <v>0.193653265958883</v>
      </c>
      <c r="AF395" s="2" t="s">
        <v>52</v>
      </c>
      <c r="AG395" s="2" t="s">
        <v>53</v>
      </c>
      <c r="AH395" s="2" t="str">
        <f aca="false">IF(AND(AG395="Completed",AF395&lt;&gt;"Paid"),"Inconsistent","OK")</f>
        <v>OK</v>
      </c>
      <c r="AI395" s="2" t="n">
        <f aca="false">IF(OR(ISBLANK(B395),ISBLANK(C395)),"",C395-B395)</f>
        <v>6</v>
      </c>
      <c r="AJ395" s="2" t="str">
        <f aca="false">IF(AI395="","Unknown",IF(AI395&lt;0,"Invalid","OK"))</f>
        <v>OK</v>
      </c>
      <c r="AK395" s="2" t="str">
        <f aca="false">IF(ISBLANK(B395),"",TEXT(B395,"mmm"))</f>
        <v>Aug</v>
      </c>
      <c r="AL395" s="2" t="n">
        <f aca="false">IF(ISBLANK(B395),"",YEAR(B395))</f>
        <v>2024</v>
      </c>
      <c r="AM395" s="2" t="s">
        <v>41</v>
      </c>
      <c r="AN395" s="2" t="str">
        <f aca="false">IF(OR(W395="Invalid",AJ395="Invalid",AH395="Inconsistent",Z395="Mismatch",AD395="Mismatch",AM395="Yes",D395="Yes",E395="Yes"),"Invalid",IF(OR(J395="Yes",Q395="Yes",U395="Yes"),"Warning","Clean"))</f>
        <v>Clean</v>
      </c>
    </row>
    <row r="396" customFormat="false" ht="15" hidden="false" customHeight="false" outlineLevel="0" collapsed="false">
      <c r="A396" s="2" t="s">
        <v>1307</v>
      </c>
      <c r="B396" s="3" t="n">
        <v>45385</v>
      </c>
      <c r="C396" s="3" t="n">
        <v>45386</v>
      </c>
      <c r="D396" s="2" t="s">
        <v>41</v>
      </c>
      <c r="E396" s="2" t="s">
        <v>41</v>
      </c>
      <c r="F396" s="2" t="s">
        <v>1308</v>
      </c>
      <c r="G396" s="2" t="s">
        <v>286</v>
      </c>
      <c r="H396" s="2" t="s">
        <v>44</v>
      </c>
      <c r="I396" s="2" t="s">
        <v>83</v>
      </c>
      <c r="J396" s="2" t="s">
        <v>41</v>
      </c>
      <c r="K396" s="2" t="s">
        <v>84</v>
      </c>
      <c r="L396" s="2" t="s">
        <v>85</v>
      </c>
      <c r="M396" s="2" t="s">
        <v>61</v>
      </c>
      <c r="N396" s="2" t="s">
        <v>77</v>
      </c>
      <c r="O396" s="2" t="s">
        <v>1309</v>
      </c>
      <c r="P396" s="2" t="s">
        <v>70</v>
      </c>
      <c r="Q396" s="2" t="s">
        <v>41</v>
      </c>
      <c r="R396" s="2" t="n">
        <v>7</v>
      </c>
      <c r="S396" s="2" t="n">
        <v>3945.21</v>
      </c>
      <c r="T396" s="2" t="n">
        <v>0</v>
      </c>
      <c r="U396" s="2" t="str">
        <f aca="false">IF(ISBLANK(T396),"Yes","No")</f>
        <v>No</v>
      </c>
      <c r="V396" s="2" t="n">
        <f aca="false">IF(ISBLANK(T396),0,IF(ISNUMBER(T396),T396,VALUE(LEFT(T396,LEN(T396)-1))/100))</f>
        <v>0</v>
      </c>
      <c r="W396" s="2" t="str">
        <f aca="false">IF(AND(V396&gt;=0,V396&lt;=0.25),"Valid","Invalid")</f>
        <v>Valid</v>
      </c>
      <c r="X396" s="2" t="n">
        <v>27616.47</v>
      </c>
      <c r="Y396" s="2" t="n">
        <f aca="false">R396*S396*(1-V396)</f>
        <v>27616.47</v>
      </c>
      <c r="Z396" s="2" t="str">
        <f aca="false">IF(ABS(X396-Y396)&gt;1,"Mismatch","OK")</f>
        <v>OK</v>
      </c>
      <c r="AA396" s="2" t="n">
        <v>21225.26</v>
      </c>
      <c r="AB396" s="2" t="n">
        <v>6391.21</v>
      </c>
      <c r="AC396" s="2" t="n">
        <f aca="false">Y396-AA396</f>
        <v>6391.21</v>
      </c>
      <c r="AD396" s="2" t="str">
        <f aca="false">IF(ABS(AB396-AC396)&gt;1,"Mismatch","OK")</f>
        <v>OK</v>
      </c>
      <c r="AE396" s="4" t="n">
        <f aca="false">IF(Y396=0,0,AC396/Y396)</f>
        <v>0.231427477878237</v>
      </c>
      <c r="AF396" s="2" t="s">
        <v>52</v>
      </c>
      <c r="AG396" s="2" t="s">
        <v>53</v>
      </c>
      <c r="AH396" s="2" t="str">
        <f aca="false">IF(AND(AG396="Completed",AF396&lt;&gt;"Paid"),"Inconsistent","OK")</f>
        <v>OK</v>
      </c>
      <c r="AI396" s="2" t="n">
        <f aca="false">IF(OR(ISBLANK(B396),ISBLANK(C396)),"",C396-B396)</f>
        <v>1</v>
      </c>
      <c r="AJ396" s="2" t="str">
        <f aca="false">IF(AI396="","Unknown",IF(AI396&lt;0,"Invalid","OK"))</f>
        <v>OK</v>
      </c>
      <c r="AK396" s="2" t="str">
        <f aca="false">IF(ISBLANK(B396),"",TEXT(B396,"mmm"))</f>
        <v>Apr</v>
      </c>
      <c r="AL396" s="2" t="n">
        <f aca="false">IF(ISBLANK(B396),"",YEAR(B396))</f>
        <v>2024</v>
      </c>
      <c r="AM396" s="2" t="s">
        <v>41</v>
      </c>
      <c r="AN396" s="2" t="str">
        <f aca="false">IF(OR(W396="Invalid",AJ396="Invalid",AH396="Inconsistent",Z396="Mismatch",AD396="Mismatch",AM396="Yes",D396="Yes",E396="Yes"),"Invalid",IF(OR(J396="Yes",Q396="Yes",U396="Yes"),"Warning","Clean"))</f>
        <v>Clean</v>
      </c>
    </row>
    <row r="397" customFormat="false" ht="15" hidden="false" customHeight="false" outlineLevel="0" collapsed="false">
      <c r="A397" s="2" t="s">
        <v>1310</v>
      </c>
      <c r="B397" s="3" t="n">
        <v>45449</v>
      </c>
      <c r="C397" s="3" t="n">
        <v>45450</v>
      </c>
      <c r="D397" s="2" t="s">
        <v>41</v>
      </c>
      <c r="E397" s="2" t="s">
        <v>41</v>
      </c>
      <c r="F397" s="2" t="s">
        <v>1311</v>
      </c>
      <c r="G397" s="2" t="s">
        <v>138</v>
      </c>
      <c r="H397" s="2" t="s">
        <v>115</v>
      </c>
      <c r="I397" s="2" t="s">
        <v>74</v>
      </c>
      <c r="J397" s="2" t="s">
        <v>41</v>
      </c>
      <c r="K397" s="2" t="s">
        <v>269</v>
      </c>
      <c r="L397" s="2" t="s">
        <v>270</v>
      </c>
      <c r="M397" s="2" t="s">
        <v>61</v>
      </c>
      <c r="N397" s="2" t="s">
        <v>62</v>
      </c>
      <c r="O397" s="2" t="s">
        <v>1312</v>
      </c>
      <c r="P397" s="2" t="s">
        <v>64</v>
      </c>
      <c r="Q397" s="2" t="s">
        <v>41</v>
      </c>
      <c r="R397" s="2" t="n">
        <v>7</v>
      </c>
      <c r="S397" s="2" t="n">
        <v>861.91</v>
      </c>
      <c r="T397" s="2" t="n">
        <v>0.05</v>
      </c>
      <c r="U397" s="2" t="str">
        <f aca="false">IF(ISBLANK(T397),"Yes","No")</f>
        <v>No</v>
      </c>
      <c r="V397" s="2" t="n">
        <f aca="false">IF(ISBLANK(T397),0,IF(ISNUMBER(T397),T397,VALUE(LEFT(T397,LEN(T397)-1))/100))</f>
        <v>0.05</v>
      </c>
      <c r="W397" s="2" t="str">
        <f aca="false">IF(AND(V397&gt;=0,V397&lt;=0.25),"Valid","Invalid")</f>
        <v>Valid</v>
      </c>
      <c r="X397" s="2" t="n">
        <v>5731.7</v>
      </c>
      <c r="Y397" s="2" t="n">
        <f aca="false">R397*S397*(1-V397)</f>
        <v>5731.7015</v>
      </c>
      <c r="Z397" s="2" t="str">
        <f aca="false">IF(ABS(X397-Y397)&gt;1,"Mismatch","OK")</f>
        <v>OK</v>
      </c>
      <c r="AA397" s="2" t="n">
        <v>4115.56</v>
      </c>
      <c r="AB397" s="2" t="n">
        <v>1616.14</v>
      </c>
      <c r="AC397" s="2" t="n">
        <f aca="false">Y397-AA397</f>
        <v>1616.1415</v>
      </c>
      <c r="AD397" s="2" t="str">
        <f aca="false">IF(ABS(AB397-AC397)&gt;1,"Mismatch","OK")</f>
        <v>OK</v>
      </c>
      <c r="AE397" s="4" t="n">
        <f aca="false">IF(Y397=0,0,AC397/Y397)</f>
        <v>0.281965398930841</v>
      </c>
      <c r="AF397" s="2" t="s">
        <v>52</v>
      </c>
      <c r="AG397" s="2" t="s">
        <v>53</v>
      </c>
      <c r="AH397" s="2" t="str">
        <f aca="false">IF(AND(AG397="Completed",AF397&lt;&gt;"Paid"),"Inconsistent","OK")</f>
        <v>OK</v>
      </c>
      <c r="AI397" s="2" t="n">
        <f aca="false">IF(OR(ISBLANK(B397),ISBLANK(C397)),"",C397-B397)</f>
        <v>1</v>
      </c>
      <c r="AJ397" s="2" t="str">
        <f aca="false">IF(AI397="","Unknown",IF(AI397&lt;0,"Invalid","OK"))</f>
        <v>OK</v>
      </c>
      <c r="AK397" s="2" t="str">
        <f aca="false">IF(ISBLANK(B397),"",TEXT(B397,"mmm"))</f>
        <v>Jun</v>
      </c>
      <c r="AL397" s="2" t="n">
        <f aca="false">IF(ISBLANK(B397),"",YEAR(B397))</f>
        <v>2024</v>
      </c>
      <c r="AM397" s="2" t="s">
        <v>41</v>
      </c>
      <c r="AN397" s="2" t="str">
        <f aca="false">IF(OR(W397="Invalid",AJ397="Invalid",AH397="Inconsistent",Z397="Mismatch",AD397="Mismatch",AM397="Yes",D397="Yes",E397="Yes"),"Invalid",IF(OR(J397="Yes",Q397="Yes",U397="Yes"),"Warning","Clean"))</f>
        <v>Clean</v>
      </c>
    </row>
    <row r="398" customFormat="false" ht="15" hidden="false" customHeight="false" outlineLevel="0" collapsed="false">
      <c r="A398" s="2" t="s">
        <v>1313</v>
      </c>
      <c r="B398" s="3" t="n">
        <v>45761</v>
      </c>
      <c r="C398" s="3" t="n">
        <v>45769</v>
      </c>
      <c r="D398" s="2" t="s">
        <v>41</v>
      </c>
      <c r="E398" s="2" t="s">
        <v>41</v>
      </c>
      <c r="F398" s="2" t="s">
        <v>1314</v>
      </c>
      <c r="G398" s="2" t="s">
        <v>109</v>
      </c>
      <c r="H398" s="2" t="s">
        <v>57</v>
      </c>
      <c r="I398" s="2" t="s">
        <v>74</v>
      </c>
      <c r="J398" s="2" t="s">
        <v>41</v>
      </c>
      <c r="K398" s="2" t="s">
        <v>195</v>
      </c>
      <c r="L398" s="2" t="s">
        <v>196</v>
      </c>
      <c r="M398" s="2" t="s">
        <v>94</v>
      </c>
      <c r="N398" s="2" t="s">
        <v>296</v>
      </c>
      <c r="O398" s="2" t="s">
        <v>1315</v>
      </c>
      <c r="P398" s="2" t="s">
        <v>79</v>
      </c>
      <c r="Q398" s="2" t="s">
        <v>41</v>
      </c>
      <c r="R398" s="2" t="n">
        <v>2</v>
      </c>
      <c r="S398" s="2" t="n">
        <v>638.73</v>
      </c>
      <c r="T398" s="2" t="n">
        <v>0.05</v>
      </c>
      <c r="U398" s="2" t="str">
        <f aca="false">IF(ISBLANK(T398),"Yes","No")</f>
        <v>No</v>
      </c>
      <c r="V398" s="2" t="n">
        <f aca="false">IF(ISBLANK(T398),0,IF(ISNUMBER(T398),T398,VALUE(LEFT(T398,LEN(T398)-1))/100))</f>
        <v>0.05</v>
      </c>
      <c r="W398" s="2" t="str">
        <f aca="false">IF(AND(V398&gt;=0,V398&lt;=0.25),"Valid","Invalid")</f>
        <v>Valid</v>
      </c>
      <c r="X398" s="2" t="n">
        <v>1213.59</v>
      </c>
      <c r="Y398" s="2" t="n">
        <f aca="false">R398*S398*(1-V398)</f>
        <v>1213.587</v>
      </c>
      <c r="Z398" s="2" t="str">
        <f aca="false">IF(ABS(X398-Y398)&gt;1,"Mismatch","OK")</f>
        <v>OK</v>
      </c>
      <c r="AA398" s="2" t="n">
        <v>956.22</v>
      </c>
      <c r="AB398" s="2" t="n">
        <v>257.37</v>
      </c>
      <c r="AC398" s="2" t="n">
        <f aca="false">Y398-AA398</f>
        <v>257.367</v>
      </c>
      <c r="AD398" s="2" t="str">
        <f aca="false">IF(ABS(AB398-AC398)&gt;1,"Mismatch","OK")</f>
        <v>OK</v>
      </c>
      <c r="AE398" s="4" t="n">
        <f aca="false">IF(Y398=0,0,AC398/Y398)</f>
        <v>0.212071322451542</v>
      </c>
      <c r="AF398" s="2" t="s">
        <v>52</v>
      </c>
      <c r="AG398" s="2" t="s">
        <v>53</v>
      </c>
      <c r="AH398" s="2" t="str">
        <f aca="false">IF(AND(AG398="Completed",AF398&lt;&gt;"Paid"),"Inconsistent","OK")</f>
        <v>OK</v>
      </c>
      <c r="AI398" s="2" t="n">
        <f aca="false">IF(OR(ISBLANK(B398),ISBLANK(C398)),"",C398-B398)</f>
        <v>8</v>
      </c>
      <c r="AJ398" s="2" t="str">
        <f aca="false">IF(AI398="","Unknown",IF(AI398&lt;0,"Invalid","OK"))</f>
        <v>OK</v>
      </c>
      <c r="AK398" s="2" t="str">
        <f aca="false">IF(ISBLANK(B398),"",TEXT(B398,"mmm"))</f>
        <v>Apr</v>
      </c>
      <c r="AL398" s="2" t="n">
        <f aca="false">IF(ISBLANK(B398),"",YEAR(B398))</f>
        <v>2025</v>
      </c>
      <c r="AM398" s="2" t="s">
        <v>41</v>
      </c>
      <c r="AN398" s="2" t="str">
        <f aca="false">IF(OR(W398="Invalid",AJ398="Invalid",AH398="Inconsistent",Z398="Mismatch",AD398="Mismatch",AM398="Yes",D398="Yes",E398="Yes"),"Invalid",IF(OR(J398="Yes",Q398="Yes",U398="Yes"),"Warning","Clean"))</f>
        <v>Clean</v>
      </c>
    </row>
    <row r="399" customFormat="false" ht="15" hidden="false" customHeight="false" outlineLevel="0" collapsed="false">
      <c r="A399" s="2" t="s">
        <v>1316</v>
      </c>
      <c r="B399" s="3" t="n">
        <v>45817</v>
      </c>
      <c r="C399" s="3" t="n">
        <v>45818</v>
      </c>
      <c r="D399" s="2" t="s">
        <v>41</v>
      </c>
      <c r="E399" s="2" t="s">
        <v>41</v>
      </c>
      <c r="F399" s="2" t="s">
        <v>1317</v>
      </c>
      <c r="G399" s="2" t="s">
        <v>152</v>
      </c>
      <c r="H399" s="2" t="s">
        <v>57</v>
      </c>
      <c r="I399" s="2" t="s">
        <v>45</v>
      </c>
      <c r="J399" s="2" t="s">
        <v>41</v>
      </c>
      <c r="K399" s="2" t="s">
        <v>156</v>
      </c>
      <c r="L399" s="2" t="s">
        <v>157</v>
      </c>
      <c r="M399" s="2" t="s">
        <v>61</v>
      </c>
      <c r="N399" s="2" t="s">
        <v>62</v>
      </c>
      <c r="O399" s="2" t="s">
        <v>1318</v>
      </c>
      <c r="P399" s="2" t="s">
        <v>51</v>
      </c>
      <c r="Q399" s="2" t="s">
        <v>41</v>
      </c>
      <c r="R399" s="2" t="n">
        <v>2</v>
      </c>
      <c r="S399" s="2" t="n">
        <v>1731.88</v>
      </c>
      <c r="T399" s="2" t="n">
        <v>0</v>
      </c>
      <c r="U399" s="2" t="str">
        <f aca="false">IF(ISBLANK(T399),"Yes","No")</f>
        <v>No</v>
      </c>
      <c r="V399" s="2" t="n">
        <f aca="false">IF(ISBLANK(T399),0,IF(ISNUMBER(T399),T399,VALUE(LEFT(T399,LEN(T399)-1))/100))</f>
        <v>0</v>
      </c>
      <c r="W399" s="2" t="str">
        <f aca="false">IF(AND(V399&gt;=0,V399&lt;=0.25),"Valid","Invalid")</f>
        <v>Valid</v>
      </c>
      <c r="X399" s="2" t="n">
        <v>3463.76</v>
      </c>
      <c r="Y399" s="2" t="n">
        <f aca="false">R399*S399*(1-V399)</f>
        <v>3463.76</v>
      </c>
      <c r="Z399" s="2" t="str">
        <f aca="false">IF(ABS(X399-Y399)&gt;1,"Mismatch","OK")</f>
        <v>OK</v>
      </c>
      <c r="AA399" s="2" t="n">
        <v>2143.74</v>
      </c>
      <c r="AB399" s="2" t="n">
        <v>1320.02</v>
      </c>
      <c r="AC399" s="2" t="n">
        <f aca="false">Y399-AA399</f>
        <v>1320.02</v>
      </c>
      <c r="AD399" s="2" t="str">
        <f aca="false">IF(ABS(AB399-AC399)&gt;1,"Mismatch","OK")</f>
        <v>OK</v>
      </c>
      <c r="AE399" s="4" t="n">
        <f aca="false">IF(Y399=0,0,AC399/Y399)</f>
        <v>0.38109453310853</v>
      </c>
      <c r="AF399" s="2" t="s">
        <v>52</v>
      </c>
      <c r="AG399" s="2" t="s">
        <v>53</v>
      </c>
      <c r="AH399" s="2" t="str">
        <f aca="false">IF(AND(AG399="Completed",AF399&lt;&gt;"Paid"),"Inconsistent","OK")</f>
        <v>OK</v>
      </c>
      <c r="AI399" s="2" t="n">
        <f aca="false">IF(OR(ISBLANK(B399),ISBLANK(C399)),"",C399-B399)</f>
        <v>1</v>
      </c>
      <c r="AJ399" s="2" t="str">
        <f aca="false">IF(AI399="","Unknown",IF(AI399&lt;0,"Invalid","OK"))</f>
        <v>OK</v>
      </c>
      <c r="AK399" s="2" t="str">
        <f aca="false">IF(ISBLANK(B399),"",TEXT(B399,"mmm"))</f>
        <v>Jun</v>
      </c>
      <c r="AL399" s="2" t="n">
        <f aca="false">IF(ISBLANK(B399),"",YEAR(B399))</f>
        <v>2025</v>
      </c>
      <c r="AM399" s="2" t="s">
        <v>41</v>
      </c>
      <c r="AN399" s="2" t="str">
        <f aca="false">IF(OR(W399="Invalid",AJ399="Invalid",AH399="Inconsistent",Z399="Mismatch",AD399="Mismatch",AM399="Yes",D399="Yes",E399="Yes"),"Invalid",IF(OR(J399="Yes",Q399="Yes",U399="Yes"),"Warning","Clean"))</f>
        <v>Clean</v>
      </c>
    </row>
    <row r="400" customFormat="false" ht="15" hidden="false" customHeight="false" outlineLevel="0" collapsed="false">
      <c r="A400" s="2" t="s">
        <v>1319</v>
      </c>
      <c r="B400" s="3" t="n">
        <v>45492</v>
      </c>
      <c r="C400" s="3" t="n">
        <v>45499</v>
      </c>
      <c r="D400" s="2" t="s">
        <v>41</v>
      </c>
      <c r="E400" s="2" t="s">
        <v>41</v>
      </c>
      <c r="F400" s="2" t="s">
        <v>1320</v>
      </c>
      <c r="G400" s="2" t="s">
        <v>91</v>
      </c>
      <c r="H400" s="2" t="s">
        <v>110</v>
      </c>
      <c r="I400" s="2" t="s">
        <v>45</v>
      </c>
      <c r="J400" s="2" t="s">
        <v>41</v>
      </c>
      <c r="K400" s="2" t="s">
        <v>142</v>
      </c>
      <c r="L400" s="2" t="s">
        <v>143</v>
      </c>
      <c r="M400" s="2" t="s">
        <v>94</v>
      </c>
      <c r="N400" s="2" t="s">
        <v>296</v>
      </c>
      <c r="O400" s="2" t="s">
        <v>1321</v>
      </c>
      <c r="P400" s="2" t="s">
        <v>64</v>
      </c>
      <c r="Q400" s="2" t="s">
        <v>41</v>
      </c>
      <c r="R400" s="2" t="n">
        <v>2</v>
      </c>
      <c r="S400" s="2" t="n">
        <v>1263.65</v>
      </c>
      <c r="T400" s="2" t="n">
        <v>0.2</v>
      </c>
      <c r="U400" s="2" t="str">
        <f aca="false">IF(ISBLANK(T400),"Yes","No")</f>
        <v>No</v>
      </c>
      <c r="V400" s="2" t="n">
        <f aca="false">IF(ISBLANK(T400),0,IF(ISNUMBER(T400),T400,VALUE(LEFT(T400,LEN(T400)-1))/100))</f>
        <v>0.2</v>
      </c>
      <c r="W400" s="2" t="str">
        <f aca="false">IF(AND(V400&gt;=0,V400&lt;=0.25),"Valid","Invalid")</f>
        <v>Valid</v>
      </c>
      <c r="X400" s="2" t="n">
        <v>2021.84</v>
      </c>
      <c r="Y400" s="2" t="n">
        <f aca="false">R400*S400*(1-V400)</f>
        <v>2021.84</v>
      </c>
      <c r="Z400" s="2" t="str">
        <f aca="false">IF(ABS(X400-Y400)&gt;1,"Mismatch","OK")</f>
        <v>OK</v>
      </c>
      <c r="AA400" s="2" t="n">
        <v>1355.22</v>
      </c>
      <c r="AB400" s="2" t="n">
        <v>666.62</v>
      </c>
      <c r="AC400" s="2" t="n">
        <f aca="false">Y400-AA400</f>
        <v>666.62</v>
      </c>
      <c r="AD400" s="2" t="str">
        <f aca="false">IF(ABS(AB400-AC400)&gt;1,"Mismatch","OK")</f>
        <v>OK</v>
      </c>
      <c r="AE400" s="4" t="n">
        <f aca="false">IF(Y400=0,0,AC400/Y400)</f>
        <v>0.329709571479445</v>
      </c>
      <c r="AF400" s="2" t="s">
        <v>52</v>
      </c>
      <c r="AG400" s="2" t="s">
        <v>53</v>
      </c>
      <c r="AH400" s="2" t="str">
        <f aca="false">IF(AND(AG400="Completed",AF400&lt;&gt;"Paid"),"Inconsistent","OK")</f>
        <v>OK</v>
      </c>
      <c r="AI400" s="2" t="n">
        <f aca="false">IF(OR(ISBLANK(B400),ISBLANK(C400)),"",C400-B400)</f>
        <v>7</v>
      </c>
      <c r="AJ400" s="2" t="str">
        <f aca="false">IF(AI400="","Unknown",IF(AI400&lt;0,"Invalid","OK"))</f>
        <v>OK</v>
      </c>
      <c r="AK400" s="2" t="str">
        <f aca="false">IF(ISBLANK(B400),"",TEXT(B400,"mmm"))</f>
        <v>Jul</v>
      </c>
      <c r="AL400" s="2" t="n">
        <f aca="false">IF(ISBLANK(B400),"",YEAR(B400))</f>
        <v>2024</v>
      </c>
      <c r="AM400" s="2" t="s">
        <v>41</v>
      </c>
      <c r="AN400" s="2" t="str">
        <f aca="false">IF(OR(W400="Invalid",AJ400="Invalid",AH400="Inconsistent",Z400="Mismatch",AD400="Mismatch",AM400="Yes",D400="Yes",E400="Yes"),"Invalid",IF(OR(J400="Yes",Q400="Yes",U400="Yes"),"Warning","Clean"))</f>
        <v>Clean</v>
      </c>
    </row>
    <row r="401" customFormat="false" ht="15" hidden="false" customHeight="false" outlineLevel="0" collapsed="false">
      <c r="A401" s="2" t="s">
        <v>1322</v>
      </c>
      <c r="B401" s="3" t="n">
        <v>45771</v>
      </c>
      <c r="C401" s="3" t="n">
        <v>45776</v>
      </c>
      <c r="D401" s="2" t="s">
        <v>41</v>
      </c>
      <c r="E401" s="2" t="s">
        <v>41</v>
      </c>
      <c r="F401" s="2" t="s">
        <v>1323</v>
      </c>
      <c r="G401" s="2" t="s">
        <v>182</v>
      </c>
      <c r="H401" s="2" t="s">
        <v>57</v>
      </c>
      <c r="I401" s="2" t="s">
        <v>74</v>
      </c>
      <c r="J401" s="2" t="s">
        <v>41</v>
      </c>
      <c r="K401" s="2" t="s">
        <v>104</v>
      </c>
      <c r="L401" s="2" t="s">
        <v>105</v>
      </c>
      <c r="M401" s="2" t="s">
        <v>48</v>
      </c>
      <c r="N401" s="2" t="s">
        <v>49</v>
      </c>
      <c r="O401" s="2" t="s">
        <v>1324</v>
      </c>
      <c r="P401" s="2" t="s">
        <v>64</v>
      </c>
      <c r="Q401" s="2" t="s">
        <v>41</v>
      </c>
      <c r="R401" s="2" t="n">
        <v>1</v>
      </c>
      <c r="S401" s="2" t="n">
        <v>4358.5</v>
      </c>
      <c r="T401" s="2" t="n">
        <v>0.25</v>
      </c>
      <c r="U401" s="2" t="str">
        <f aca="false">IF(ISBLANK(T401),"Yes","No")</f>
        <v>No</v>
      </c>
      <c r="V401" s="2" t="n">
        <f aca="false">IF(ISBLANK(T401),0,IF(ISNUMBER(T401),T401,VALUE(LEFT(T401,LEN(T401)-1))/100))</f>
        <v>0.25</v>
      </c>
      <c r="W401" s="2" t="str">
        <f aca="false">IF(AND(V401&gt;=0,V401&lt;=0.25),"Valid","Invalid")</f>
        <v>Valid</v>
      </c>
      <c r="X401" s="2" t="n">
        <v>3268.88</v>
      </c>
      <c r="Y401" s="2" t="n">
        <f aca="false">R401*S401*(1-V401)</f>
        <v>3268.875</v>
      </c>
      <c r="Z401" s="2" t="str">
        <f aca="false">IF(ABS(X401-Y401)&gt;1,"Mismatch","OK")</f>
        <v>OK</v>
      </c>
      <c r="AA401" s="2" t="n">
        <v>1993.74</v>
      </c>
      <c r="AB401" s="2" t="n">
        <v>1275.14</v>
      </c>
      <c r="AC401" s="2" t="n">
        <f aca="false">Y401-AA401</f>
        <v>1275.135</v>
      </c>
      <c r="AD401" s="2" t="str">
        <f aca="false">IF(ABS(AB401-AC401)&gt;1,"Mismatch","OK")</f>
        <v>OK</v>
      </c>
      <c r="AE401" s="4" t="n">
        <f aca="false">IF(Y401=0,0,AC401/Y401)</f>
        <v>0.39008374440748</v>
      </c>
      <c r="AF401" s="2" t="s">
        <v>52</v>
      </c>
      <c r="AG401" s="2" t="s">
        <v>53</v>
      </c>
      <c r="AH401" s="2" t="str">
        <f aca="false">IF(AND(AG401="Completed",AF401&lt;&gt;"Paid"),"Inconsistent","OK")</f>
        <v>OK</v>
      </c>
      <c r="AI401" s="2" t="n">
        <f aca="false">IF(OR(ISBLANK(B401),ISBLANK(C401)),"",C401-B401)</f>
        <v>5</v>
      </c>
      <c r="AJ401" s="2" t="str">
        <f aca="false">IF(AI401="","Unknown",IF(AI401&lt;0,"Invalid","OK"))</f>
        <v>OK</v>
      </c>
      <c r="AK401" s="2" t="str">
        <f aca="false">IF(ISBLANK(B401),"",TEXT(B401,"mmm"))</f>
        <v>Apr</v>
      </c>
      <c r="AL401" s="2" t="n">
        <f aca="false">IF(ISBLANK(B401),"",YEAR(B401))</f>
        <v>2025</v>
      </c>
      <c r="AM401" s="2" t="s">
        <v>41</v>
      </c>
      <c r="AN401" s="2" t="str">
        <f aca="false">IF(OR(W401="Invalid",AJ401="Invalid",AH401="Inconsistent",Z401="Mismatch",AD401="Mismatch",AM401="Yes",D401="Yes",E401="Yes"),"Invalid",IF(OR(J401="Yes",Q401="Yes",U401="Yes"),"Warning","Clean"))</f>
        <v>Clean</v>
      </c>
    </row>
    <row r="402" customFormat="false" ht="15" hidden="false" customHeight="false" outlineLevel="0" collapsed="false">
      <c r="A402" s="2" t="s">
        <v>1325</v>
      </c>
      <c r="B402" s="3" t="n">
        <v>45814</v>
      </c>
      <c r="C402" s="3" t="n">
        <v>45819</v>
      </c>
      <c r="D402" s="2" t="s">
        <v>41</v>
      </c>
      <c r="E402" s="2" t="s">
        <v>41</v>
      </c>
      <c r="F402" s="2" t="s">
        <v>1326</v>
      </c>
      <c r="G402" s="2" t="s">
        <v>152</v>
      </c>
      <c r="H402" s="2" t="s">
        <v>57</v>
      </c>
      <c r="I402" s="2" t="s">
        <v>45</v>
      </c>
      <c r="J402" s="2" t="s">
        <v>41</v>
      </c>
      <c r="K402" s="2" t="s">
        <v>156</v>
      </c>
      <c r="L402" s="2" t="s">
        <v>157</v>
      </c>
      <c r="M402" s="2" t="s">
        <v>48</v>
      </c>
      <c r="N402" s="2" t="s">
        <v>49</v>
      </c>
      <c r="O402" s="2" t="s">
        <v>1327</v>
      </c>
      <c r="P402" s="2" t="s">
        <v>64</v>
      </c>
      <c r="Q402" s="2" t="s">
        <v>41</v>
      </c>
      <c r="R402" s="2" t="n">
        <v>7</v>
      </c>
      <c r="S402" s="2" t="n">
        <v>878.09</v>
      </c>
      <c r="T402" s="2" t="n">
        <v>-0.1</v>
      </c>
      <c r="U402" s="2" t="str">
        <f aca="false">IF(ISBLANK(T402),"Yes","No")</f>
        <v>No</v>
      </c>
      <c r="V402" s="2" t="n">
        <f aca="false">IF(ISBLANK(T402),0,IF(ISNUMBER(T402),T402,VALUE(LEFT(T402,LEN(T402)-1))/100))</f>
        <v>-0.1</v>
      </c>
      <c r="W402" s="2" t="str">
        <f aca="false">IF(AND(V402&gt;=0,V402&lt;=0.25),"Valid","Invalid")</f>
        <v>Invalid</v>
      </c>
      <c r="X402" s="2" t="n">
        <v>5839.3</v>
      </c>
      <c r="Y402" s="2" t="n">
        <f aca="false">R402*S402*(1-V402)</f>
        <v>6761.293</v>
      </c>
      <c r="Z402" s="2" t="str">
        <f aca="false">IF(ABS(X402-Y402)&gt;1,"Mismatch","OK")</f>
        <v>Mismatch</v>
      </c>
      <c r="AA402" s="2" t="n">
        <v>4877.38</v>
      </c>
      <c r="AB402" s="2" t="n">
        <v>961.92</v>
      </c>
      <c r="AC402" s="2" t="n">
        <f aca="false">Y402-AA402</f>
        <v>1883.913</v>
      </c>
      <c r="AD402" s="2" t="str">
        <f aca="false">IF(ABS(AB402-AC402)&gt;1,"Mismatch","OK")</f>
        <v>Mismatch</v>
      </c>
      <c r="AE402" s="4" t="n">
        <f aca="false">IF(Y402=0,0,AC402/Y402)</f>
        <v>0.278632060465358</v>
      </c>
      <c r="AF402" s="2" t="s">
        <v>52</v>
      </c>
      <c r="AG402" s="2" t="s">
        <v>53</v>
      </c>
      <c r="AH402" s="2" t="str">
        <f aca="false">IF(AND(AG402="Completed",AF402&lt;&gt;"Paid"),"Inconsistent","OK")</f>
        <v>OK</v>
      </c>
      <c r="AI402" s="2" t="n">
        <f aca="false">IF(OR(ISBLANK(B402),ISBLANK(C402)),"",C402-B402)</f>
        <v>5</v>
      </c>
      <c r="AJ402" s="2" t="str">
        <f aca="false">IF(AI402="","Unknown",IF(AI402&lt;0,"Invalid","OK"))</f>
        <v>OK</v>
      </c>
      <c r="AK402" s="2" t="str">
        <f aca="false">IF(ISBLANK(B402),"",TEXT(B402,"mmm"))</f>
        <v>Jun</v>
      </c>
      <c r="AL402" s="2" t="n">
        <f aca="false">IF(ISBLANK(B402),"",YEAR(B402))</f>
        <v>2025</v>
      </c>
      <c r="AM402" s="2" t="s">
        <v>41</v>
      </c>
      <c r="AN402" s="2" t="str">
        <f aca="false">IF(OR(W402="Invalid",AJ402="Invalid",AH402="Inconsistent",Z402="Mismatch",AD402="Mismatch",AM402="Yes",D402="Yes",E402="Yes"),"Invalid",IF(OR(J402="Yes",Q402="Yes",U402="Yes"),"Warning","Clean"))</f>
        <v>Invalid</v>
      </c>
    </row>
    <row r="403" customFormat="false" ht="15" hidden="false" customHeight="false" outlineLevel="0" collapsed="false">
      <c r="A403" s="2" t="s">
        <v>1328</v>
      </c>
      <c r="B403" s="3" t="n">
        <v>45725</v>
      </c>
      <c r="C403" s="3" t="n">
        <v>45732</v>
      </c>
      <c r="D403" s="2" t="s">
        <v>41</v>
      </c>
      <c r="E403" s="2" t="s">
        <v>41</v>
      </c>
      <c r="F403" s="2" t="s">
        <v>1329</v>
      </c>
      <c r="G403" s="2" t="s">
        <v>73</v>
      </c>
      <c r="H403" s="2" t="s">
        <v>57</v>
      </c>
      <c r="I403" s="2" t="s">
        <v>58</v>
      </c>
      <c r="J403" s="2" t="s">
        <v>41</v>
      </c>
      <c r="K403" s="2" t="s">
        <v>250</v>
      </c>
      <c r="L403" s="2" t="s">
        <v>251</v>
      </c>
      <c r="M403" s="2" t="s">
        <v>61</v>
      </c>
      <c r="N403" s="2" t="s">
        <v>62</v>
      </c>
      <c r="O403" s="2" t="s">
        <v>1330</v>
      </c>
      <c r="P403" s="2" t="s">
        <v>64</v>
      </c>
      <c r="Q403" s="2" t="s">
        <v>41</v>
      </c>
      <c r="R403" s="2" t="n">
        <v>3</v>
      </c>
      <c r="S403" s="2" t="n">
        <v>2625.85</v>
      </c>
      <c r="T403" s="2" t="n">
        <v>0</v>
      </c>
      <c r="U403" s="2" t="str">
        <f aca="false">IF(ISBLANK(T403),"Yes","No")</f>
        <v>No</v>
      </c>
      <c r="V403" s="2" t="n">
        <f aca="false">IF(ISBLANK(T403),0,IF(ISNUMBER(T403),T403,VALUE(LEFT(T403,LEN(T403)-1))/100))</f>
        <v>0</v>
      </c>
      <c r="W403" s="2" t="str">
        <f aca="false">IF(AND(V403&gt;=0,V403&lt;=0.25),"Valid","Invalid")</f>
        <v>Valid</v>
      </c>
      <c r="X403" s="2" t="n">
        <v>7877.55</v>
      </c>
      <c r="Y403" s="2" t="n">
        <f aca="false">R403*S403*(1-V403)</f>
        <v>7877.55</v>
      </c>
      <c r="Z403" s="2" t="str">
        <f aca="false">IF(ABS(X403-Y403)&gt;1,"Mismatch","OK")</f>
        <v>OK</v>
      </c>
      <c r="AA403" s="2" t="n">
        <v>5562.77</v>
      </c>
      <c r="AB403" s="2" t="n">
        <v>2314.78</v>
      </c>
      <c r="AC403" s="2" t="n">
        <f aca="false">Y403-AA403</f>
        <v>2314.78</v>
      </c>
      <c r="AD403" s="2" t="str">
        <f aca="false">IF(ABS(AB403-AC403)&gt;1,"Mismatch","OK")</f>
        <v>OK</v>
      </c>
      <c r="AE403" s="4" t="n">
        <f aca="false">IF(Y403=0,0,AC403/Y403)</f>
        <v>0.293845167596524</v>
      </c>
      <c r="AF403" s="2" t="s">
        <v>52</v>
      </c>
      <c r="AG403" s="2" t="s">
        <v>53</v>
      </c>
      <c r="AH403" s="2" t="str">
        <f aca="false">IF(AND(AG403="Completed",AF403&lt;&gt;"Paid"),"Inconsistent","OK")</f>
        <v>OK</v>
      </c>
      <c r="AI403" s="2" t="n">
        <f aca="false">IF(OR(ISBLANK(B403),ISBLANK(C403)),"",C403-B403)</f>
        <v>7</v>
      </c>
      <c r="AJ403" s="2" t="str">
        <f aca="false">IF(AI403="","Unknown",IF(AI403&lt;0,"Invalid","OK"))</f>
        <v>OK</v>
      </c>
      <c r="AK403" s="2" t="str">
        <f aca="false">IF(ISBLANK(B403),"",TEXT(B403,"mmm"))</f>
        <v>Mar</v>
      </c>
      <c r="AL403" s="2" t="n">
        <f aca="false">IF(ISBLANK(B403),"",YEAR(B403))</f>
        <v>2025</v>
      </c>
      <c r="AM403" s="2" t="s">
        <v>41</v>
      </c>
      <c r="AN403" s="2" t="str">
        <f aca="false">IF(OR(W403="Invalid",AJ403="Invalid",AH403="Inconsistent",Z403="Mismatch",AD403="Mismatch",AM403="Yes",D403="Yes",E403="Yes"),"Invalid",IF(OR(J403="Yes",Q403="Yes",U403="Yes"),"Warning","Clean"))</f>
        <v>Clean</v>
      </c>
    </row>
    <row r="404" customFormat="false" ht="15" hidden="false" customHeight="false" outlineLevel="0" collapsed="false">
      <c r="A404" s="2" t="s">
        <v>1331</v>
      </c>
      <c r="B404" s="3" t="n">
        <v>45373</v>
      </c>
      <c r="C404" s="3" t="n">
        <v>45373</v>
      </c>
      <c r="D404" s="2" t="s">
        <v>41</v>
      </c>
      <c r="E404" s="2" t="s">
        <v>41</v>
      </c>
      <c r="F404" s="2" t="s">
        <v>1332</v>
      </c>
      <c r="G404" s="2" t="s">
        <v>134</v>
      </c>
      <c r="H404" s="2" t="s">
        <v>57</v>
      </c>
      <c r="I404" s="2" t="s">
        <v>74</v>
      </c>
      <c r="J404" s="2" t="s">
        <v>41</v>
      </c>
      <c r="K404" s="2" t="s">
        <v>195</v>
      </c>
      <c r="L404" s="2" t="s">
        <v>196</v>
      </c>
      <c r="M404" s="2" t="s">
        <v>61</v>
      </c>
      <c r="N404" s="2" t="s">
        <v>62</v>
      </c>
      <c r="O404" s="2" t="s">
        <v>1333</v>
      </c>
      <c r="P404" s="2" t="s">
        <v>225</v>
      </c>
      <c r="Q404" s="2" t="s">
        <v>226</v>
      </c>
      <c r="R404" s="2" t="n">
        <v>3</v>
      </c>
      <c r="S404" s="2" t="n">
        <v>1365.26</v>
      </c>
      <c r="T404" s="2" t="n">
        <v>0</v>
      </c>
      <c r="U404" s="2" t="str">
        <f aca="false">IF(ISBLANK(T404),"Yes","No")</f>
        <v>No</v>
      </c>
      <c r="V404" s="2" t="n">
        <f aca="false">IF(ISBLANK(T404),0,IF(ISNUMBER(T404),T404,VALUE(LEFT(T404,LEN(T404)-1))/100))</f>
        <v>0</v>
      </c>
      <c r="W404" s="2" t="str">
        <f aca="false">IF(AND(V404&gt;=0,V404&lt;=0.25),"Valid","Invalid")</f>
        <v>Valid</v>
      </c>
      <c r="X404" s="2" t="n">
        <v>4095.78</v>
      </c>
      <c r="Y404" s="2" t="n">
        <f aca="false">R404*S404*(1-V404)</f>
        <v>4095.78</v>
      </c>
      <c r="Z404" s="2" t="str">
        <f aca="false">IF(ABS(X404-Y404)&gt;1,"Mismatch","OK")</f>
        <v>OK</v>
      </c>
      <c r="AA404" s="2" t="n">
        <v>2807.77</v>
      </c>
      <c r="AB404" s="2" t="n">
        <v>1288.01</v>
      </c>
      <c r="AC404" s="2" t="n">
        <f aca="false">Y404-AA404</f>
        <v>1288.01</v>
      </c>
      <c r="AD404" s="2" t="str">
        <f aca="false">IF(ABS(AB404-AC404)&gt;1,"Mismatch","OK")</f>
        <v>OK</v>
      </c>
      <c r="AE404" s="4" t="n">
        <f aca="false">IF(Y404=0,0,AC404/Y404)</f>
        <v>0.314472457016734</v>
      </c>
      <c r="AF404" s="2" t="s">
        <v>52</v>
      </c>
      <c r="AG404" s="2" t="s">
        <v>53</v>
      </c>
      <c r="AH404" s="2" t="str">
        <f aca="false">IF(AND(AG404="Completed",AF404&lt;&gt;"Paid"),"Inconsistent","OK")</f>
        <v>OK</v>
      </c>
      <c r="AI404" s="2" t="n">
        <f aca="false">IF(OR(ISBLANK(B404),ISBLANK(C404)),"",C404-B404)</f>
        <v>0</v>
      </c>
      <c r="AJ404" s="2" t="str">
        <f aca="false">IF(AI404="","Unknown",IF(AI404&lt;0,"Invalid","OK"))</f>
        <v>OK</v>
      </c>
      <c r="AK404" s="2" t="str">
        <f aca="false">IF(ISBLANK(B404),"",TEXT(B404,"mmm"))</f>
        <v>Mar</v>
      </c>
      <c r="AL404" s="2" t="n">
        <f aca="false">IF(ISBLANK(B404),"",YEAR(B404))</f>
        <v>2024</v>
      </c>
      <c r="AM404" s="2" t="s">
        <v>41</v>
      </c>
      <c r="AN404" s="2" t="str">
        <f aca="false">IF(OR(W404="Invalid",AJ404="Invalid",AH404="Inconsistent",Z404="Mismatch",AD404="Mismatch",AM404="Yes",D404="Yes",E404="Yes"),"Invalid",IF(OR(J404="Yes",Q404="Yes",U404="Yes"),"Warning","Clean"))</f>
        <v>Warning</v>
      </c>
    </row>
    <row r="405" customFormat="false" ht="15" hidden="false" customHeight="false" outlineLevel="0" collapsed="false">
      <c r="A405" s="2" t="s">
        <v>1334</v>
      </c>
      <c r="B405" s="3" t="n">
        <v>45565</v>
      </c>
      <c r="C405" s="3" t="n">
        <v>45569</v>
      </c>
      <c r="D405" s="2" t="s">
        <v>41</v>
      </c>
      <c r="E405" s="2" t="s">
        <v>41</v>
      </c>
      <c r="F405" s="2" t="s">
        <v>1335</v>
      </c>
      <c r="G405" s="2" t="s">
        <v>73</v>
      </c>
      <c r="H405" s="2" t="s">
        <v>57</v>
      </c>
      <c r="I405" s="2" t="s">
        <v>74</v>
      </c>
      <c r="J405" s="2" t="s">
        <v>41</v>
      </c>
      <c r="K405" s="2" t="s">
        <v>205</v>
      </c>
      <c r="L405" s="2" t="s">
        <v>206</v>
      </c>
      <c r="M405" s="2" t="s">
        <v>48</v>
      </c>
      <c r="N405" s="2" t="s">
        <v>49</v>
      </c>
      <c r="O405" s="2" t="s">
        <v>1336</v>
      </c>
      <c r="P405" s="2" t="s">
        <v>64</v>
      </c>
      <c r="Q405" s="2" t="s">
        <v>41</v>
      </c>
      <c r="R405" s="2" t="n">
        <v>5</v>
      </c>
      <c r="S405" s="2" t="n">
        <v>3512.25</v>
      </c>
      <c r="T405" s="2" t="n">
        <v>0.05</v>
      </c>
      <c r="U405" s="2" t="str">
        <f aca="false">IF(ISBLANK(T405),"Yes","No")</f>
        <v>No</v>
      </c>
      <c r="V405" s="2" t="n">
        <f aca="false">IF(ISBLANK(T405),0,IF(ISNUMBER(T405),T405,VALUE(LEFT(T405,LEN(T405)-1))/100))</f>
        <v>0.05</v>
      </c>
      <c r="W405" s="2" t="str">
        <f aca="false">IF(AND(V405&gt;=0,V405&lt;=0.25),"Valid","Invalid")</f>
        <v>Valid</v>
      </c>
      <c r="X405" s="2" t="n">
        <v>16683.19</v>
      </c>
      <c r="Y405" s="2" t="n">
        <f aca="false">R405*S405*(1-V405)</f>
        <v>16683.1875</v>
      </c>
      <c r="Z405" s="2" t="str">
        <f aca="false">IF(ABS(X405-Y405)&gt;1,"Mismatch","OK")</f>
        <v>OK</v>
      </c>
      <c r="AA405" s="2" t="n">
        <v>10301.16</v>
      </c>
      <c r="AB405" s="2" t="n">
        <v>6382.03</v>
      </c>
      <c r="AC405" s="2" t="n">
        <f aca="false">Y405-AA405</f>
        <v>6382.0275</v>
      </c>
      <c r="AD405" s="2" t="str">
        <f aca="false">IF(ABS(AB405-AC405)&gt;1,"Mismatch","OK")</f>
        <v>OK</v>
      </c>
      <c r="AE405" s="4" t="n">
        <f aca="false">IF(Y405=0,0,AC405/Y405)</f>
        <v>0.382542454791688</v>
      </c>
      <c r="AF405" s="2" t="s">
        <v>52</v>
      </c>
      <c r="AG405" s="2" t="s">
        <v>123</v>
      </c>
      <c r="AH405" s="2" t="str">
        <f aca="false">IF(AND(AG405="Completed",AF405&lt;&gt;"Paid"),"Inconsistent","OK")</f>
        <v>OK</v>
      </c>
      <c r="AI405" s="2" t="n">
        <f aca="false">IF(OR(ISBLANK(B405),ISBLANK(C405)),"",C405-B405)</f>
        <v>4</v>
      </c>
      <c r="AJ405" s="2" t="str">
        <f aca="false">IF(AI405="","Unknown",IF(AI405&lt;0,"Invalid","OK"))</f>
        <v>OK</v>
      </c>
      <c r="AK405" s="2" t="str">
        <f aca="false">IF(ISBLANK(B405),"",TEXT(B405,"mmm"))</f>
        <v>Sep</v>
      </c>
      <c r="AL405" s="2" t="n">
        <f aca="false">IF(ISBLANK(B405),"",YEAR(B405))</f>
        <v>2024</v>
      </c>
      <c r="AM405" s="2" t="s">
        <v>41</v>
      </c>
      <c r="AN405" s="2" t="str">
        <f aca="false">IF(OR(W405="Invalid",AJ405="Invalid",AH405="Inconsistent",Z405="Mismatch",AD405="Mismatch",AM405="Yes",D405="Yes",E405="Yes"),"Invalid",IF(OR(J405="Yes",Q405="Yes",U405="Yes"),"Warning","Clean"))</f>
        <v>Clean</v>
      </c>
    </row>
    <row r="406" customFormat="false" ht="15" hidden="false" customHeight="false" outlineLevel="0" collapsed="false">
      <c r="A406" s="2" t="s">
        <v>1337</v>
      </c>
      <c r="B406" s="3" t="n">
        <v>45318</v>
      </c>
      <c r="C406" s="3" t="n">
        <v>45325</v>
      </c>
      <c r="D406" s="2" t="s">
        <v>41</v>
      </c>
      <c r="E406" s="2" t="s">
        <v>41</v>
      </c>
      <c r="F406" s="2" t="s">
        <v>1338</v>
      </c>
      <c r="G406" s="2" t="s">
        <v>109</v>
      </c>
      <c r="H406" s="2" t="s">
        <v>110</v>
      </c>
      <c r="I406" s="2" t="s">
        <v>83</v>
      </c>
      <c r="J406" s="2" t="s">
        <v>41</v>
      </c>
      <c r="K406" s="2" t="s">
        <v>46</v>
      </c>
      <c r="L406" s="2" t="s">
        <v>129</v>
      </c>
      <c r="M406" s="2" t="s">
        <v>61</v>
      </c>
      <c r="N406" s="2" t="s">
        <v>86</v>
      </c>
      <c r="O406" s="2" t="s">
        <v>1339</v>
      </c>
      <c r="P406" s="2" t="s">
        <v>64</v>
      </c>
      <c r="Q406" s="2" t="s">
        <v>41</v>
      </c>
      <c r="R406" s="2" t="n">
        <v>3</v>
      </c>
      <c r="S406" s="2" t="n">
        <v>359.61</v>
      </c>
      <c r="T406" s="2" t="n">
        <v>0</v>
      </c>
      <c r="U406" s="2" t="str">
        <f aca="false">IF(ISBLANK(T406),"Yes","No")</f>
        <v>No</v>
      </c>
      <c r="V406" s="2" t="n">
        <f aca="false">IF(ISBLANK(T406),0,IF(ISNUMBER(T406),T406,VALUE(LEFT(T406,LEN(T406)-1))/100))</f>
        <v>0</v>
      </c>
      <c r="W406" s="2" t="str">
        <f aca="false">IF(AND(V406&gt;=0,V406&lt;=0.25),"Valid","Invalid")</f>
        <v>Valid</v>
      </c>
      <c r="X406" s="2" t="n">
        <v>1078.83</v>
      </c>
      <c r="Y406" s="2" t="n">
        <f aca="false">R406*S406*(1-V406)</f>
        <v>1078.83</v>
      </c>
      <c r="Z406" s="2" t="str">
        <f aca="false">IF(ABS(X406-Y406)&gt;1,"Mismatch","OK")</f>
        <v>OK</v>
      </c>
      <c r="AA406" s="2" t="n">
        <v>926.35</v>
      </c>
      <c r="AB406" s="2" t="n">
        <v>152.48</v>
      </c>
      <c r="AC406" s="2" t="n">
        <f aca="false">Y406-AA406</f>
        <v>152.48</v>
      </c>
      <c r="AD406" s="2" t="str">
        <f aca="false">IF(ABS(AB406-AC406)&gt;1,"Mismatch","OK")</f>
        <v>OK</v>
      </c>
      <c r="AE406" s="4" t="n">
        <f aca="false">IF(Y406=0,0,AC406/Y406)</f>
        <v>0.14133830167867</v>
      </c>
      <c r="AF406" s="2" t="s">
        <v>52</v>
      </c>
      <c r="AG406" s="2" t="s">
        <v>53</v>
      </c>
      <c r="AH406" s="2" t="str">
        <f aca="false">IF(AND(AG406="Completed",AF406&lt;&gt;"Paid"),"Inconsistent","OK")</f>
        <v>OK</v>
      </c>
      <c r="AI406" s="2" t="n">
        <f aca="false">IF(OR(ISBLANK(B406),ISBLANK(C406)),"",C406-B406)</f>
        <v>7</v>
      </c>
      <c r="AJ406" s="2" t="str">
        <f aca="false">IF(AI406="","Unknown",IF(AI406&lt;0,"Invalid","OK"))</f>
        <v>OK</v>
      </c>
      <c r="AK406" s="2" t="str">
        <f aca="false">IF(ISBLANK(B406),"",TEXT(B406,"mmm"))</f>
        <v>Jan</v>
      </c>
      <c r="AL406" s="2" t="n">
        <f aca="false">IF(ISBLANK(B406),"",YEAR(B406))</f>
        <v>2024</v>
      </c>
      <c r="AM406" s="2" t="s">
        <v>41</v>
      </c>
      <c r="AN406" s="2" t="str">
        <f aca="false">IF(OR(W406="Invalid",AJ406="Invalid",AH406="Inconsistent",Z406="Mismatch",AD406="Mismatch",AM406="Yes",D406="Yes",E406="Yes"),"Invalid",IF(OR(J406="Yes",Q406="Yes",U406="Yes"),"Warning","Clean"))</f>
        <v>Clean</v>
      </c>
    </row>
    <row r="407" customFormat="false" ht="15" hidden="false" customHeight="false" outlineLevel="0" collapsed="false">
      <c r="A407" s="2" t="s">
        <v>1340</v>
      </c>
      <c r="B407" s="3" t="n">
        <v>45558</v>
      </c>
      <c r="C407" s="3" t="n">
        <v>45559</v>
      </c>
      <c r="D407" s="2" t="s">
        <v>41</v>
      </c>
      <c r="E407" s="2" t="s">
        <v>41</v>
      </c>
      <c r="F407" s="2" t="s">
        <v>1341</v>
      </c>
      <c r="G407" s="2" t="s">
        <v>109</v>
      </c>
      <c r="H407" s="2" t="s">
        <v>115</v>
      </c>
      <c r="I407" s="2" t="s">
        <v>83</v>
      </c>
      <c r="J407" s="2" t="s">
        <v>41</v>
      </c>
      <c r="K407" s="2" t="s">
        <v>200</v>
      </c>
      <c r="L407" s="2" t="s">
        <v>201</v>
      </c>
      <c r="M407" s="2" t="s">
        <v>61</v>
      </c>
      <c r="N407" s="2" t="s">
        <v>178</v>
      </c>
      <c r="O407" s="2" t="s">
        <v>1342</v>
      </c>
      <c r="P407" s="2" t="s">
        <v>225</v>
      </c>
      <c r="Q407" s="2" t="s">
        <v>226</v>
      </c>
      <c r="R407" s="2" t="n">
        <v>7</v>
      </c>
      <c r="S407" s="2" t="n">
        <v>3878.01</v>
      </c>
      <c r="T407" s="2" t="n">
        <v>0.1</v>
      </c>
      <c r="U407" s="2" t="str">
        <f aca="false">IF(ISBLANK(T407),"Yes","No")</f>
        <v>No</v>
      </c>
      <c r="V407" s="2" t="n">
        <f aca="false">IF(ISBLANK(T407),0,IF(ISNUMBER(T407),T407,VALUE(LEFT(T407,LEN(T407)-1))/100))</f>
        <v>0.1</v>
      </c>
      <c r="W407" s="2" t="str">
        <f aca="false">IF(AND(V407&gt;=0,V407&lt;=0.25),"Valid","Invalid")</f>
        <v>Valid</v>
      </c>
      <c r="X407" s="2" t="n">
        <v>24431.46</v>
      </c>
      <c r="Y407" s="2" t="n">
        <f aca="false">R407*S407*(1-V407)</f>
        <v>24431.463</v>
      </c>
      <c r="Z407" s="2" t="str">
        <f aca="false">IF(ABS(X407-Y407)&gt;1,"Mismatch","OK")</f>
        <v>OK</v>
      </c>
      <c r="AA407" s="2" t="n">
        <v>18202.36</v>
      </c>
      <c r="AB407" s="2" t="n">
        <v>6229.1</v>
      </c>
      <c r="AC407" s="2" t="n">
        <f aca="false">Y407-AA407</f>
        <v>6229.103</v>
      </c>
      <c r="AD407" s="2" t="str">
        <f aca="false">IF(ABS(AB407-AC407)&gt;1,"Mismatch","OK")</f>
        <v>OK</v>
      </c>
      <c r="AE407" s="4" t="n">
        <f aca="false">IF(Y407=0,0,AC407/Y407)</f>
        <v>0.254962340978107</v>
      </c>
      <c r="AF407" s="2" t="s">
        <v>52</v>
      </c>
      <c r="AG407" s="2" t="s">
        <v>53</v>
      </c>
      <c r="AH407" s="2" t="str">
        <f aca="false">IF(AND(AG407="Completed",AF407&lt;&gt;"Paid"),"Inconsistent","OK")</f>
        <v>OK</v>
      </c>
      <c r="AI407" s="2" t="n">
        <f aca="false">IF(OR(ISBLANK(B407),ISBLANK(C407)),"",C407-B407)</f>
        <v>1</v>
      </c>
      <c r="AJ407" s="2" t="str">
        <f aca="false">IF(AI407="","Unknown",IF(AI407&lt;0,"Invalid","OK"))</f>
        <v>OK</v>
      </c>
      <c r="AK407" s="2" t="str">
        <f aca="false">IF(ISBLANK(B407),"",TEXT(B407,"mmm"))</f>
        <v>Sep</v>
      </c>
      <c r="AL407" s="2" t="n">
        <f aca="false">IF(ISBLANK(B407),"",YEAR(B407))</f>
        <v>2024</v>
      </c>
      <c r="AM407" s="2" t="s">
        <v>41</v>
      </c>
      <c r="AN407" s="2" t="str">
        <f aca="false">IF(OR(W407="Invalid",AJ407="Invalid",AH407="Inconsistent",Z407="Mismatch",AD407="Mismatch",AM407="Yes",D407="Yes",E407="Yes"),"Invalid",IF(OR(J407="Yes",Q407="Yes",U407="Yes"),"Warning","Clean"))</f>
        <v>Warning</v>
      </c>
    </row>
    <row r="408" customFormat="false" ht="15" hidden="false" customHeight="false" outlineLevel="0" collapsed="false">
      <c r="A408" s="2" t="s">
        <v>1343</v>
      </c>
      <c r="B408" s="3" t="n">
        <v>45713</v>
      </c>
      <c r="C408" s="3" t="n">
        <v>45713</v>
      </c>
      <c r="D408" s="2" t="s">
        <v>41</v>
      </c>
      <c r="E408" s="2" t="s">
        <v>41</v>
      </c>
      <c r="F408" s="2" t="s">
        <v>1344</v>
      </c>
      <c r="G408" s="2" t="s">
        <v>286</v>
      </c>
      <c r="H408" s="2" t="s">
        <v>57</v>
      </c>
      <c r="I408" s="2" t="s">
        <v>83</v>
      </c>
      <c r="J408" s="2" t="s">
        <v>41</v>
      </c>
      <c r="K408" s="2" t="s">
        <v>210</v>
      </c>
      <c r="L408" s="2" t="s">
        <v>211</v>
      </c>
      <c r="M408" s="2" t="s">
        <v>61</v>
      </c>
      <c r="N408" s="2" t="s">
        <v>77</v>
      </c>
      <c r="O408" s="2" t="s">
        <v>1345</v>
      </c>
      <c r="P408" s="2" t="s">
        <v>79</v>
      </c>
      <c r="Q408" s="2" t="s">
        <v>41</v>
      </c>
      <c r="R408" s="2" t="n">
        <v>2</v>
      </c>
      <c r="S408" s="2" t="n">
        <v>3924.2</v>
      </c>
      <c r="T408" s="2" t="n">
        <v>0.25</v>
      </c>
      <c r="U408" s="2" t="str">
        <f aca="false">IF(ISBLANK(T408),"Yes","No")</f>
        <v>No</v>
      </c>
      <c r="V408" s="2" t="n">
        <f aca="false">IF(ISBLANK(T408),0,IF(ISNUMBER(T408),T408,VALUE(LEFT(T408,LEN(T408)-1))/100))</f>
        <v>0.25</v>
      </c>
      <c r="W408" s="2" t="str">
        <f aca="false">IF(AND(V408&gt;=0,V408&lt;=0.25),"Valid","Invalid")</f>
        <v>Valid</v>
      </c>
      <c r="X408" s="2" t="n">
        <v>5886.3</v>
      </c>
      <c r="Y408" s="2" t="n">
        <f aca="false">R408*S408*(1-V408)</f>
        <v>5886.3</v>
      </c>
      <c r="Z408" s="2" t="str">
        <f aca="false">IF(ABS(X408-Y408)&gt;1,"Mismatch","OK")</f>
        <v>OK</v>
      </c>
      <c r="AA408" s="2" t="n">
        <v>3621.76</v>
      </c>
      <c r="AB408" s="2" t="n">
        <v>2264.54</v>
      </c>
      <c r="AC408" s="2" t="n">
        <f aca="false">Y408-AA408</f>
        <v>2264.54</v>
      </c>
      <c r="AD408" s="2" t="str">
        <f aca="false">IF(ABS(AB408-AC408)&gt;1,"Mismatch","OK")</f>
        <v>OK</v>
      </c>
      <c r="AE408" s="4" t="n">
        <f aca="false">IF(Y408=0,0,AC408/Y408)</f>
        <v>0.384713657136062</v>
      </c>
      <c r="AF408" s="2" t="s">
        <v>131</v>
      </c>
      <c r="AG408" s="2" t="s">
        <v>123</v>
      </c>
      <c r="AH408" s="2" t="str">
        <f aca="false">IF(AND(AG408="Completed",AF408&lt;&gt;"Paid"),"Inconsistent","OK")</f>
        <v>OK</v>
      </c>
      <c r="AI408" s="2" t="n">
        <f aca="false">IF(OR(ISBLANK(B408),ISBLANK(C408)),"",C408-B408)</f>
        <v>0</v>
      </c>
      <c r="AJ408" s="2" t="str">
        <f aca="false">IF(AI408="","Unknown",IF(AI408&lt;0,"Invalid","OK"))</f>
        <v>OK</v>
      </c>
      <c r="AK408" s="2" t="str">
        <f aca="false">IF(ISBLANK(B408),"",TEXT(B408,"mmm"))</f>
        <v>Feb</v>
      </c>
      <c r="AL408" s="2" t="n">
        <f aca="false">IF(ISBLANK(B408),"",YEAR(B408))</f>
        <v>2025</v>
      </c>
      <c r="AM408" s="2" t="s">
        <v>41</v>
      </c>
      <c r="AN408" s="2" t="str">
        <f aca="false">IF(OR(W408="Invalid",AJ408="Invalid",AH408="Inconsistent",Z408="Mismatch",AD408="Mismatch",AM408="Yes",D408="Yes",E408="Yes"),"Invalid",IF(OR(J408="Yes",Q408="Yes",U408="Yes"),"Warning","Clean"))</f>
        <v>Clean</v>
      </c>
    </row>
    <row r="409" customFormat="false" ht="15" hidden="false" customHeight="false" outlineLevel="0" collapsed="false">
      <c r="A409" s="2" t="s">
        <v>1346</v>
      </c>
      <c r="B409" s="3" t="n">
        <v>45424</v>
      </c>
      <c r="C409" s="3" t="n">
        <v>45425</v>
      </c>
      <c r="D409" s="2" t="s">
        <v>41</v>
      </c>
      <c r="E409" s="2" t="s">
        <v>41</v>
      </c>
      <c r="F409" s="2" t="s">
        <v>1347</v>
      </c>
      <c r="G409" s="2" t="s">
        <v>138</v>
      </c>
      <c r="H409" s="2" t="s">
        <v>110</v>
      </c>
      <c r="I409" s="2" t="s">
        <v>83</v>
      </c>
      <c r="J409" s="2" t="s">
        <v>41</v>
      </c>
      <c r="K409" s="2" t="s">
        <v>210</v>
      </c>
      <c r="L409" s="2" t="s">
        <v>211</v>
      </c>
      <c r="M409" s="2" t="s">
        <v>48</v>
      </c>
      <c r="N409" s="2" t="s">
        <v>111</v>
      </c>
      <c r="O409" s="2" t="s">
        <v>1348</v>
      </c>
      <c r="P409" s="2" t="s">
        <v>51</v>
      </c>
      <c r="Q409" s="2" t="s">
        <v>41</v>
      </c>
      <c r="R409" s="2" t="n">
        <v>3</v>
      </c>
      <c r="S409" s="2" t="n">
        <v>2644.55</v>
      </c>
      <c r="T409" s="2" t="n">
        <v>0</v>
      </c>
      <c r="U409" s="2" t="str">
        <f aca="false">IF(ISBLANK(T409),"Yes","No")</f>
        <v>No</v>
      </c>
      <c r="V409" s="2" t="n">
        <f aca="false">IF(ISBLANK(T409),0,IF(ISNUMBER(T409),T409,VALUE(LEFT(T409,LEN(T409)-1))/100))</f>
        <v>0</v>
      </c>
      <c r="W409" s="2" t="str">
        <f aca="false">IF(AND(V409&gt;=0,V409&lt;=0.25),"Valid","Invalid")</f>
        <v>Valid</v>
      </c>
      <c r="X409" s="2" t="n">
        <v>7933.65</v>
      </c>
      <c r="Y409" s="2" t="n">
        <f aca="false">R409*S409*(1-V409)</f>
        <v>7933.65</v>
      </c>
      <c r="Z409" s="2" t="str">
        <f aca="false">IF(ABS(X409-Y409)&gt;1,"Mismatch","OK")</f>
        <v>OK</v>
      </c>
      <c r="AA409" s="2" t="n">
        <v>5698.42</v>
      </c>
      <c r="AB409" s="2" t="n">
        <v>2235.23</v>
      </c>
      <c r="AC409" s="2" t="n">
        <f aca="false">Y409-AA409</f>
        <v>2235.23</v>
      </c>
      <c r="AD409" s="2" t="str">
        <f aca="false">IF(ABS(AB409-AC409)&gt;1,"Mismatch","OK")</f>
        <v>OK</v>
      </c>
      <c r="AE409" s="4" t="n">
        <f aca="false">IF(Y409=0,0,AC409/Y409)</f>
        <v>0.281740434730547</v>
      </c>
      <c r="AF409" s="2" t="s">
        <v>52</v>
      </c>
      <c r="AG409" s="2" t="s">
        <v>53</v>
      </c>
      <c r="AH409" s="2" t="str">
        <f aca="false">IF(AND(AG409="Completed",AF409&lt;&gt;"Paid"),"Inconsistent","OK")</f>
        <v>OK</v>
      </c>
      <c r="AI409" s="2" t="n">
        <f aca="false">IF(OR(ISBLANK(B409),ISBLANK(C409)),"",C409-B409)</f>
        <v>1</v>
      </c>
      <c r="AJ409" s="2" t="str">
        <f aca="false">IF(AI409="","Unknown",IF(AI409&lt;0,"Invalid","OK"))</f>
        <v>OK</v>
      </c>
      <c r="AK409" s="2" t="str">
        <f aca="false">IF(ISBLANK(B409),"",TEXT(B409,"mmm"))</f>
        <v>May</v>
      </c>
      <c r="AL409" s="2" t="n">
        <f aca="false">IF(ISBLANK(B409),"",YEAR(B409))</f>
        <v>2024</v>
      </c>
      <c r="AM409" s="2" t="s">
        <v>41</v>
      </c>
      <c r="AN409" s="2" t="str">
        <f aca="false">IF(OR(W409="Invalid",AJ409="Invalid",AH409="Inconsistent",Z409="Mismatch",AD409="Mismatch",AM409="Yes",D409="Yes",E409="Yes"),"Invalid",IF(OR(J409="Yes",Q409="Yes",U409="Yes"),"Warning","Clean"))</f>
        <v>Clean</v>
      </c>
    </row>
    <row r="410" customFormat="false" ht="15" hidden="false" customHeight="false" outlineLevel="0" collapsed="false">
      <c r="A410" s="2" t="s">
        <v>1349</v>
      </c>
      <c r="B410" s="3" t="n">
        <v>45870</v>
      </c>
      <c r="C410" s="3" t="n">
        <v>45872</v>
      </c>
      <c r="D410" s="2" t="s">
        <v>41</v>
      </c>
      <c r="E410" s="2" t="s">
        <v>41</v>
      </c>
      <c r="F410" s="2" t="s">
        <v>1350</v>
      </c>
      <c r="G410" s="2" t="s">
        <v>152</v>
      </c>
      <c r="H410" s="2" t="s">
        <v>44</v>
      </c>
      <c r="I410" s="2" t="s">
        <v>83</v>
      </c>
      <c r="J410" s="2" t="s">
        <v>41</v>
      </c>
      <c r="K410" s="2" t="s">
        <v>84</v>
      </c>
      <c r="L410" s="2" t="s">
        <v>85</v>
      </c>
      <c r="M410" s="2" t="s">
        <v>61</v>
      </c>
      <c r="N410" s="2" t="s">
        <v>86</v>
      </c>
      <c r="O410" s="2" t="s">
        <v>1351</v>
      </c>
      <c r="P410" s="2" t="s">
        <v>70</v>
      </c>
      <c r="Q410" s="2" t="s">
        <v>41</v>
      </c>
      <c r="R410" s="2" t="n">
        <v>4</v>
      </c>
      <c r="S410" s="2" t="n">
        <v>1773.46</v>
      </c>
      <c r="T410" s="2" t="n">
        <v>0</v>
      </c>
      <c r="U410" s="2" t="str">
        <f aca="false">IF(ISBLANK(T410),"Yes","No")</f>
        <v>No</v>
      </c>
      <c r="V410" s="2" t="n">
        <f aca="false">IF(ISBLANK(T410),0,IF(ISNUMBER(T410),T410,VALUE(LEFT(T410,LEN(T410)-1))/100))</f>
        <v>0</v>
      </c>
      <c r="W410" s="2" t="str">
        <f aca="false">IF(AND(V410&gt;=0,V410&lt;=0.25),"Valid","Invalid")</f>
        <v>Valid</v>
      </c>
      <c r="X410" s="2" t="n">
        <v>7093.84</v>
      </c>
      <c r="Y410" s="2" t="n">
        <f aca="false">R410*S410*(1-V410)</f>
        <v>7093.84</v>
      </c>
      <c r="Z410" s="2" t="str">
        <f aca="false">IF(ABS(X410-Y410)&gt;1,"Mismatch","OK")</f>
        <v>OK</v>
      </c>
      <c r="AA410" s="2" t="n">
        <v>4587.49</v>
      </c>
      <c r="AB410" s="2" t="n">
        <v>2506.35</v>
      </c>
      <c r="AC410" s="2" t="n">
        <f aca="false">Y410-AA410</f>
        <v>2506.35</v>
      </c>
      <c r="AD410" s="2" t="str">
        <f aca="false">IF(ABS(AB410-AC410)&gt;1,"Mismatch","OK")</f>
        <v>OK</v>
      </c>
      <c r="AE410" s="4" t="n">
        <f aca="false">IF(Y410=0,0,AC410/Y410)</f>
        <v>0.353313579105252</v>
      </c>
      <c r="AF410" s="2" t="s">
        <v>175</v>
      </c>
      <c r="AG410" s="2" t="s">
        <v>123</v>
      </c>
      <c r="AH410" s="2" t="str">
        <f aca="false">IF(AND(AG410="Completed",AF410&lt;&gt;"Paid"),"Inconsistent","OK")</f>
        <v>OK</v>
      </c>
      <c r="AI410" s="2" t="n">
        <f aca="false">IF(OR(ISBLANK(B410),ISBLANK(C410)),"",C410-B410)</f>
        <v>2</v>
      </c>
      <c r="AJ410" s="2" t="str">
        <f aca="false">IF(AI410="","Unknown",IF(AI410&lt;0,"Invalid","OK"))</f>
        <v>OK</v>
      </c>
      <c r="AK410" s="2" t="str">
        <f aca="false">IF(ISBLANK(B410),"",TEXT(B410,"mmm"))</f>
        <v>Aug</v>
      </c>
      <c r="AL410" s="2" t="n">
        <f aca="false">IF(ISBLANK(B410),"",YEAR(B410))</f>
        <v>2025</v>
      </c>
      <c r="AM410" s="2" t="s">
        <v>41</v>
      </c>
      <c r="AN410" s="2" t="str">
        <f aca="false">IF(OR(W410="Invalid",AJ410="Invalid",AH410="Inconsistent",Z410="Mismatch",AD410="Mismatch",AM410="Yes",D410="Yes",E410="Yes"),"Invalid",IF(OR(J410="Yes",Q410="Yes",U410="Yes"),"Warning","Clean"))</f>
        <v>Clean</v>
      </c>
    </row>
    <row r="411" customFormat="false" ht="15" hidden="false" customHeight="false" outlineLevel="0" collapsed="false">
      <c r="A411" s="2" t="s">
        <v>1352</v>
      </c>
      <c r="B411" s="3" t="n">
        <v>45701</v>
      </c>
      <c r="C411" s="3" t="n">
        <v>45703</v>
      </c>
      <c r="D411" s="2" t="s">
        <v>41</v>
      </c>
      <c r="E411" s="2" t="s">
        <v>41</v>
      </c>
      <c r="F411" s="2" t="s">
        <v>1353</v>
      </c>
      <c r="G411" s="2" t="s">
        <v>43</v>
      </c>
      <c r="H411" s="2" t="s">
        <v>44</v>
      </c>
      <c r="I411" s="2" t="s">
        <v>58</v>
      </c>
      <c r="J411" s="2" t="s">
        <v>41</v>
      </c>
      <c r="K411" s="2" t="s">
        <v>186</v>
      </c>
      <c r="L411" s="2" t="s">
        <v>187</v>
      </c>
      <c r="M411" s="2" t="s">
        <v>94</v>
      </c>
      <c r="N411" s="2" t="s">
        <v>95</v>
      </c>
      <c r="O411" s="2" t="s">
        <v>1354</v>
      </c>
      <c r="P411" s="2" t="s">
        <v>64</v>
      </c>
      <c r="Q411" s="2" t="s">
        <v>41</v>
      </c>
      <c r="R411" s="2" t="n">
        <v>1</v>
      </c>
      <c r="S411" s="2" t="n">
        <v>3025.46</v>
      </c>
      <c r="T411" s="2" t="n">
        <v>0.25</v>
      </c>
      <c r="U411" s="2" t="str">
        <f aca="false">IF(ISBLANK(T411),"Yes","No")</f>
        <v>No</v>
      </c>
      <c r="V411" s="2" t="n">
        <f aca="false">IF(ISBLANK(T411),0,IF(ISNUMBER(T411),T411,VALUE(LEFT(T411,LEN(T411)-1))/100))</f>
        <v>0.25</v>
      </c>
      <c r="W411" s="2" t="str">
        <f aca="false">IF(AND(V411&gt;=0,V411&lt;=0.25),"Valid","Invalid")</f>
        <v>Valid</v>
      </c>
      <c r="X411" s="2" t="n">
        <v>2269.1</v>
      </c>
      <c r="Y411" s="2" t="n">
        <f aca="false">R411*S411*(1-V411)</f>
        <v>2269.095</v>
      </c>
      <c r="Z411" s="2" t="str">
        <f aca="false">IF(ABS(X411-Y411)&gt;1,"Mismatch","OK")</f>
        <v>OK</v>
      </c>
      <c r="AA411" s="2" t="n">
        <v>1593.59</v>
      </c>
      <c r="AB411" s="2" t="n">
        <v>675.51</v>
      </c>
      <c r="AC411" s="2" t="n">
        <f aca="false">Y411-AA411</f>
        <v>675.505</v>
      </c>
      <c r="AD411" s="2" t="str">
        <f aca="false">IF(ABS(AB411-AC411)&gt;1,"Mismatch","OK")</f>
        <v>OK</v>
      </c>
      <c r="AE411" s="4" t="n">
        <f aca="false">IF(Y411=0,0,AC411/Y411)</f>
        <v>0.297697980913095</v>
      </c>
      <c r="AF411" s="2" t="s">
        <v>122</v>
      </c>
      <c r="AG411" s="2" t="s">
        <v>123</v>
      </c>
      <c r="AH411" s="2" t="str">
        <f aca="false">IF(AND(AG411="Completed",AF411&lt;&gt;"Paid"),"Inconsistent","OK")</f>
        <v>OK</v>
      </c>
      <c r="AI411" s="2" t="n">
        <f aca="false">IF(OR(ISBLANK(B411),ISBLANK(C411)),"",C411-B411)</f>
        <v>2</v>
      </c>
      <c r="AJ411" s="2" t="str">
        <f aca="false">IF(AI411="","Unknown",IF(AI411&lt;0,"Invalid","OK"))</f>
        <v>OK</v>
      </c>
      <c r="AK411" s="2" t="str">
        <f aca="false">IF(ISBLANK(B411),"",TEXT(B411,"mmm"))</f>
        <v>Feb</v>
      </c>
      <c r="AL411" s="2" t="n">
        <f aca="false">IF(ISBLANK(B411),"",YEAR(B411))</f>
        <v>2025</v>
      </c>
      <c r="AM411" s="2" t="s">
        <v>41</v>
      </c>
      <c r="AN411" s="2" t="str">
        <f aca="false">IF(OR(W411="Invalid",AJ411="Invalid",AH411="Inconsistent",Z411="Mismatch",AD411="Mismatch",AM411="Yes",D411="Yes",E411="Yes"),"Invalid",IF(OR(J411="Yes",Q411="Yes",U411="Yes"),"Warning","Clean"))</f>
        <v>Clean</v>
      </c>
    </row>
    <row r="412" customFormat="false" ht="15" hidden="false" customHeight="false" outlineLevel="0" collapsed="false">
      <c r="A412" s="2" t="s">
        <v>1355</v>
      </c>
      <c r="B412" s="3" t="n">
        <v>45394</v>
      </c>
      <c r="C412" s="3" t="n">
        <v>45402</v>
      </c>
      <c r="D412" s="2" t="s">
        <v>41</v>
      </c>
      <c r="E412" s="2" t="s">
        <v>41</v>
      </c>
      <c r="F412" s="2" t="s">
        <v>1356</v>
      </c>
      <c r="G412" s="2" t="s">
        <v>182</v>
      </c>
      <c r="H412" s="2" t="s">
        <v>44</v>
      </c>
      <c r="I412" s="2" t="s">
        <v>83</v>
      </c>
      <c r="J412" s="2" t="s">
        <v>41</v>
      </c>
      <c r="K412" s="2" t="s">
        <v>210</v>
      </c>
      <c r="L412" s="2" t="s">
        <v>211</v>
      </c>
      <c r="M412" s="2" t="s">
        <v>61</v>
      </c>
      <c r="N412" s="2" t="s">
        <v>62</v>
      </c>
      <c r="O412" s="2" t="s">
        <v>1357</v>
      </c>
      <c r="P412" s="2" t="s">
        <v>70</v>
      </c>
      <c r="Q412" s="2" t="s">
        <v>41</v>
      </c>
      <c r="R412" s="2" t="n">
        <v>9</v>
      </c>
      <c r="S412" s="2" t="n">
        <v>1302.61</v>
      </c>
      <c r="T412" s="2" t="n">
        <v>0.2</v>
      </c>
      <c r="U412" s="2" t="str">
        <f aca="false">IF(ISBLANK(T412),"Yes","No")</f>
        <v>No</v>
      </c>
      <c r="V412" s="2" t="n">
        <f aca="false">IF(ISBLANK(T412),0,IF(ISNUMBER(T412),T412,VALUE(LEFT(T412,LEN(T412)-1))/100))</f>
        <v>0.2</v>
      </c>
      <c r="W412" s="2" t="str">
        <f aca="false">IF(AND(V412&gt;=0,V412&lt;=0.25),"Valid","Invalid")</f>
        <v>Valid</v>
      </c>
      <c r="X412" s="2" t="n">
        <v>9378.79</v>
      </c>
      <c r="Y412" s="2" t="n">
        <f aca="false">R412*S412*(1-V412)</f>
        <v>9378.792</v>
      </c>
      <c r="Z412" s="2" t="str">
        <f aca="false">IF(ABS(X412-Y412)&gt;1,"Mismatch","OK")</f>
        <v>OK</v>
      </c>
      <c r="AA412" s="2" t="n">
        <v>6774.48</v>
      </c>
      <c r="AB412" s="2" t="n">
        <v>2604.31</v>
      </c>
      <c r="AC412" s="2" t="n">
        <f aca="false">Y412-AA412</f>
        <v>2604.312</v>
      </c>
      <c r="AD412" s="2" t="str">
        <f aca="false">IF(ABS(AB412-AC412)&gt;1,"Mismatch","OK")</f>
        <v>OK</v>
      </c>
      <c r="AE412" s="4" t="n">
        <f aca="false">IF(Y412=0,0,AC412/Y412)</f>
        <v>0.277680963603842</v>
      </c>
      <c r="AF412" s="2" t="s">
        <v>52</v>
      </c>
      <c r="AG412" s="2" t="s">
        <v>53</v>
      </c>
      <c r="AH412" s="2" t="str">
        <f aca="false">IF(AND(AG412="Completed",AF412&lt;&gt;"Paid"),"Inconsistent","OK")</f>
        <v>OK</v>
      </c>
      <c r="AI412" s="2" t="n">
        <f aca="false">IF(OR(ISBLANK(B412),ISBLANK(C412)),"",C412-B412)</f>
        <v>8</v>
      </c>
      <c r="AJ412" s="2" t="str">
        <f aca="false">IF(AI412="","Unknown",IF(AI412&lt;0,"Invalid","OK"))</f>
        <v>OK</v>
      </c>
      <c r="AK412" s="2" t="str">
        <f aca="false">IF(ISBLANK(B412),"",TEXT(B412,"mmm"))</f>
        <v>Apr</v>
      </c>
      <c r="AL412" s="2" t="n">
        <f aca="false">IF(ISBLANK(B412),"",YEAR(B412))</f>
        <v>2024</v>
      </c>
      <c r="AM412" s="2" t="s">
        <v>41</v>
      </c>
      <c r="AN412" s="2" t="str">
        <f aca="false">IF(OR(W412="Invalid",AJ412="Invalid",AH412="Inconsistent",Z412="Mismatch",AD412="Mismatch",AM412="Yes",D412="Yes",E412="Yes"),"Invalid",IF(OR(J412="Yes",Q412="Yes",U412="Yes"),"Warning","Clean"))</f>
        <v>Clean</v>
      </c>
    </row>
    <row r="413" customFormat="false" ht="15" hidden="false" customHeight="false" outlineLevel="0" collapsed="false">
      <c r="A413" s="2" t="s">
        <v>1358</v>
      </c>
      <c r="B413" s="3" t="n">
        <v>45892</v>
      </c>
      <c r="C413" s="3" t="n">
        <v>45897</v>
      </c>
      <c r="D413" s="2" t="s">
        <v>41</v>
      </c>
      <c r="E413" s="2" t="s">
        <v>41</v>
      </c>
      <c r="F413" s="2" t="s">
        <v>1359</v>
      </c>
      <c r="G413" s="2" t="s">
        <v>73</v>
      </c>
      <c r="H413" s="2" t="s">
        <v>115</v>
      </c>
      <c r="I413" s="2" t="s">
        <v>83</v>
      </c>
      <c r="J413" s="2" t="s">
        <v>41</v>
      </c>
      <c r="K413" s="2" t="s">
        <v>46</v>
      </c>
      <c r="L413" s="2" t="s">
        <v>129</v>
      </c>
      <c r="M413" s="2" t="s">
        <v>61</v>
      </c>
      <c r="N413" s="2" t="s">
        <v>62</v>
      </c>
      <c r="O413" s="2" t="s">
        <v>1360</v>
      </c>
      <c r="P413" s="2" t="s">
        <v>70</v>
      </c>
      <c r="Q413" s="2" t="s">
        <v>41</v>
      </c>
      <c r="R413" s="2" t="n">
        <v>1</v>
      </c>
      <c r="S413" s="2" t="n">
        <v>4167.81</v>
      </c>
      <c r="T413" s="2" t="n">
        <v>0.2</v>
      </c>
      <c r="U413" s="2" t="str">
        <f aca="false">IF(ISBLANK(T413),"Yes","No")</f>
        <v>No</v>
      </c>
      <c r="V413" s="2" t="n">
        <f aca="false">IF(ISBLANK(T413),0,IF(ISNUMBER(T413),T413,VALUE(LEFT(T413,LEN(T413)-1))/100))</f>
        <v>0.2</v>
      </c>
      <c r="W413" s="2" t="str">
        <f aca="false">IF(AND(V413&gt;=0,V413&lt;=0.25),"Valid","Invalid")</f>
        <v>Valid</v>
      </c>
      <c r="X413" s="2" t="n">
        <v>3334.25</v>
      </c>
      <c r="Y413" s="2" t="n">
        <f aca="false">R413*S413*(1-V413)</f>
        <v>3334.248</v>
      </c>
      <c r="Z413" s="2" t="str">
        <f aca="false">IF(ABS(X413-Y413)&gt;1,"Mismatch","OK")</f>
        <v>OK</v>
      </c>
      <c r="AA413" s="2" t="n">
        <v>2768.77</v>
      </c>
      <c r="AB413" s="2" t="n">
        <v>565.48</v>
      </c>
      <c r="AC413" s="2" t="n">
        <f aca="false">Y413-AA413</f>
        <v>565.478000000001</v>
      </c>
      <c r="AD413" s="2" t="str">
        <f aca="false">IF(ABS(AB413-AC413)&gt;1,"Mismatch","OK")</f>
        <v>OK</v>
      </c>
      <c r="AE413" s="4" t="n">
        <f aca="false">IF(Y413=0,0,AC413/Y413)</f>
        <v>0.169596862620897</v>
      </c>
      <c r="AF413" s="2" t="s">
        <v>175</v>
      </c>
      <c r="AG413" s="2" t="s">
        <v>123</v>
      </c>
      <c r="AH413" s="2" t="str">
        <f aca="false">IF(AND(AG413="Completed",AF413&lt;&gt;"Paid"),"Inconsistent","OK")</f>
        <v>OK</v>
      </c>
      <c r="AI413" s="2" t="n">
        <f aca="false">IF(OR(ISBLANK(B413),ISBLANK(C413)),"",C413-B413)</f>
        <v>5</v>
      </c>
      <c r="AJ413" s="2" t="str">
        <f aca="false">IF(AI413="","Unknown",IF(AI413&lt;0,"Invalid","OK"))</f>
        <v>OK</v>
      </c>
      <c r="AK413" s="2" t="str">
        <f aca="false">IF(ISBLANK(B413),"",TEXT(B413,"mmm"))</f>
        <v>Aug</v>
      </c>
      <c r="AL413" s="2" t="n">
        <f aca="false">IF(ISBLANK(B413),"",YEAR(B413))</f>
        <v>2025</v>
      </c>
      <c r="AM413" s="2" t="s">
        <v>41</v>
      </c>
      <c r="AN413" s="2" t="str">
        <f aca="false">IF(OR(W413="Invalid",AJ413="Invalid",AH413="Inconsistent",Z413="Mismatch",AD413="Mismatch",AM413="Yes",D413="Yes",E413="Yes"),"Invalid",IF(OR(J413="Yes",Q413="Yes",U413="Yes"),"Warning","Clean"))</f>
        <v>Clean</v>
      </c>
    </row>
    <row r="414" customFormat="false" ht="15" hidden="false" customHeight="false" outlineLevel="0" collapsed="false">
      <c r="A414" s="2" t="s">
        <v>1361</v>
      </c>
      <c r="B414" s="3" t="n">
        <v>45313</v>
      </c>
      <c r="C414" s="3" t="n">
        <v>45321</v>
      </c>
      <c r="D414" s="2" t="s">
        <v>41</v>
      </c>
      <c r="E414" s="2" t="s">
        <v>41</v>
      </c>
      <c r="F414" s="2" t="s">
        <v>1362</v>
      </c>
      <c r="G414" s="2" t="s">
        <v>67</v>
      </c>
      <c r="H414" s="2" t="s">
        <v>110</v>
      </c>
      <c r="I414" s="2" t="s">
        <v>74</v>
      </c>
      <c r="J414" s="2" t="s">
        <v>41</v>
      </c>
      <c r="K414" s="2" t="s">
        <v>195</v>
      </c>
      <c r="L414" s="2" t="s">
        <v>196</v>
      </c>
      <c r="M414" s="2" t="s">
        <v>61</v>
      </c>
      <c r="N414" s="2" t="s">
        <v>86</v>
      </c>
      <c r="O414" s="2" t="s">
        <v>1363</v>
      </c>
      <c r="P414" s="2" t="s">
        <v>64</v>
      </c>
      <c r="Q414" s="2" t="s">
        <v>41</v>
      </c>
      <c r="R414" s="2" t="n">
        <v>1</v>
      </c>
      <c r="S414" s="2" t="n">
        <v>2111.39</v>
      </c>
      <c r="T414" s="2" t="n">
        <v>0.25</v>
      </c>
      <c r="U414" s="2" t="str">
        <f aca="false">IF(ISBLANK(T414),"Yes","No")</f>
        <v>No</v>
      </c>
      <c r="V414" s="2" t="n">
        <f aca="false">IF(ISBLANK(T414),0,IF(ISNUMBER(T414),T414,VALUE(LEFT(T414,LEN(T414)-1))/100))</f>
        <v>0.25</v>
      </c>
      <c r="W414" s="2" t="str">
        <f aca="false">IF(AND(V414&gt;=0,V414&lt;=0.25),"Valid","Invalid")</f>
        <v>Valid</v>
      </c>
      <c r="X414" s="2" t="n">
        <v>1583.54</v>
      </c>
      <c r="Y414" s="2" t="n">
        <f aca="false">R414*S414*(1-V414)</f>
        <v>1583.5425</v>
      </c>
      <c r="Z414" s="2" t="str">
        <f aca="false">IF(ABS(X414-Y414)&gt;1,"Mismatch","OK")</f>
        <v>OK</v>
      </c>
      <c r="AA414" s="2" t="n">
        <v>1014.19</v>
      </c>
      <c r="AB414" s="2" t="n">
        <v>569.35</v>
      </c>
      <c r="AC414" s="2" t="n">
        <f aca="false">Y414-AA414</f>
        <v>569.3525</v>
      </c>
      <c r="AD414" s="2" t="str">
        <f aca="false">IF(ABS(AB414-AC414)&gt;1,"Mismatch","OK")</f>
        <v>OK</v>
      </c>
      <c r="AE414" s="4" t="n">
        <f aca="false">IF(Y414=0,0,AC414/Y414)</f>
        <v>0.359543555035624</v>
      </c>
      <c r="AF414" s="2" t="s">
        <v>52</v>
      </c>
      <c r="AG414" s="2" t="s">
        <v>53</v>
      </c>
      <c r="AH414" s="2" t="str">
        <f aca="false">IF(AND(AG414="Completed",AF414&lt;&gt;"Paid"),"Inconsistent","OK")</f>
        <v>OK</v>
      </c>
      <c r="AI414" s="2" t="n">
        <f aca="false">IF(OR(ISBLANK(B414),ISBLANK(C414)),"",C414-B414)</f>
        <v>8</v>
      </c>
      <c r="AJ414" s="2" t="str">
        <f aca="false">IF(AI414="","Unknown",IF(AI414&lt;0,"Invalid","OK"))</f>
        <v>OK</v>
      </c>
      <c r="AK414" s="2" t="str">
        <f aca="false">IF(ISBLANK(B414),"",TEXT(B414,"mmm"))</f>
        <v>Jan</v>
      </c>
      <c r="AL414" s="2" t="n">
        <f aca="false">IF(ISBLANK(B414),"",YEAR(B414))</f>
        <v>2024</v>
      </c>
      <c r="AM414" s="2" t="s">
        <v>41</v>
      </c>
      <c r="AN414" s="2" t="str">
        <f aca="false">IF(OR(W414="Invalid",AJ414="Invalid",AH414="Inconsistent",Z414="Mismatch",AD414="Mismatch",AM414="Yes",D414="Yes",E414="Yes"),"Invalid",IF(OR(J414="Yes",Q414="Yes",U414="Yes"),"Warning","Clean"))</f>
        <v>Clean</v>
      </c>
    </row>
    <row r="415" customFormat="false" ht="15" hidden="false" customHeight="false" outlineLevel="0" collapsed="false">
      <c r="A415" s="2" t="s">
        <v>1364</v>
      </c>
      <c r="B415" s="3" t="n">
        <v>45882</v>
      </c>
      <c r="C415" s="3" t="n">
        <v>45886</v>
      </c>
      <c r="D415" s="2" t="s">
        <v>41</v>
      </c>
      <c r="E415" s="2" t="s">
        <v>41</v>
      </c>
      <c r="F415" s="2" t="s">
        <v>1365</v>
      </c>
      <c r="G415" s="2" t="s">
        <v>99</v>
      </c>
      <c r="H415" s="2" t="s">
        <v>115</v>
      </c>
      <c r="I415" s="2" t="s">
        <v>83</v>
      </c>
      <c r="J415" s="2" t="s">
        <v>41</v>
      </c>
      <c r="K415" s="2" t="s">
        <v>92</v>
      </c>
      <c r="L415" s="2" t="s">
        <v>93</v>
      </c>
      <c r="M415" s="2" t="s">
        <v>94</v>
      </c>
      <c r="N415" s="2" t="s">
        <v>95</v>
      </c>
      <c r="O415" s="2" t="s">
        <v>1366</v>
      </c>
      <c r="P415" s="2" t="s">
        <v>51</v>
      </c>
      <c r="Q415" s="2" t="s">
        <v>41</v>
      </c>
      <c r="R415" s="2" t="n">
        <v>8</v>
      </c>
      <c r="S415" s="2" t="n">
        <v>1918.23</v>
      </c>
      <c r="T415" s="2" t="n">
        <v>0</v>
      </c>
      <c r="U415" s="2" t="str">
        <f aca="false">IF(ISBLANK(T415),"Yes","No")</f>
        <v>No</v>
      </c>
      <c r="V415" s="2" t="n">
        <f aca="false">IF(ISBLANK(T415),0,IF(ISNUMBER(T415),T415,VALUE(LEFT(T415,LEN(T415)-1))/100))</f>
        <v>0</v>
      </c>
      <c r="W415" s="2" t="str">
        <f aca="false">IF(AND(V415&gt;=0,V415&lt;=0.25),"Valid","Invalid")</f>
        <v>Valid</v>
      </c>
      <c r="X415" s="2" t="n">
        <v>15345.84</v>
      </c>
      <c r="Y415" s="2" t="n">
        <f aca="false">R415*S415*(1-V415)</f>
        <v>15345.84</v>
      </c>
      <c r="Z415" s="2" t="str">
        <f aca="false">IF(ABS(X415-Y415)&gt;1,"Mismatch","OK")</f>
        <v>OK</v>
      </c>
      <c r="AA415" s="2" t="n">
        <v>10735.33</v>
      </c>
      <c r="AB415" s="2" t="n">
        <v>4610.51</v>
      </c>
      <c r="AC415" s="2" t="n">
        <f aca="false">Y415-AA415</f>
        <v>4610.51</v>
      </c>
      <c r="AD415" s="2" t="str">
        <f aca="false">IF(ABS(AB415-AC415)&gt;1,"Mismatch","OK")</f>
        <v>OK</v>
      </c>
      <c r="AE415" s="4" t="n">
        <f aca="false">IF(Y415=0,0,AC415/Y415)</f>
        <v>0.300440379933585</v>
      </c>
      <c r="AF415" s="2" t="s">
        <v>131</v>
      </c>
      <c r="AG415" s="2" t="s">
        <v>88</v>
      </c>
      <c r="AH415" s="2" t="str">
        <f aca="false">IF(AND(AG415="Completed",AF415&lt;&gt;"Paid"),"Inconsistent","OK")</f>
        <v>OK</v>
      </c>
      <c r="AI415" s="2" t="n">
        <f aca="false">IF(OR(ISBLANK(B415),ISBLANK(C415)),"",C415-B415)</f>
        <v>4</v>
      </c>
      <c r="AJ415" s="2" t="str">
        <f aca="false">IF(AI415="","Unknown",IF(AI415&lt;0,"Invalid","OK"))</f>
        <v>OK</v>
      </c>
      <c r="AK415" s="2" t="str">
        <f aca="false">IF(ISBLANK(B415),"",TEXT(B415,"mmm"))</f>
        <v>Aug</v>
      </c>
      <c r="AL415" s="2" t="n">
        <f aca="false">IF(ISBLANK(B415),"",YEAR(B415))</f>
        <v>2025</v>
      </c>
      <c r="AM415" s="2" t="s">
        <v>41</v>
      </c>
      <c r="AN415" s="2" t="str">
        <f aca="false">IF(OR(W415="Invalid",AJ415="Invalid",AH415="Inconsistent",Z415="Mismatch",AD415="Mismatch",AM415="Yes",D415="Yes",E415="Yes"),"Invalid",IF(OR(J415="Yes",Q415="Yes",U415="Yes"),"Warning","Clean"))</f>
        <v>Clean</v>
      </c>
    </row>
    <row r="416" customFormat="false" ht="15" hidden="false" customHeight="false" outlineLevel="0" collapsed="false">
      <c r="A416" s="2" t="s">
        <v>1367</v>
      </c>
      <c r="B416" s="3" t="n">
        <v>45533</v>
      </c>
      <c r="C416" s="3" t="n">
        <v>45534</v>
      </c>
      <c r="D416" s="2" t="s">
        <v>41</v>
      </c>
      <c r="E416" s="2" t="s">
        <v>41</v>
      </c>
      <c r="F416" s="2" t="s">
        <v>1368</v>
      </c>
      <c r="G416" s="2" t="s">
        <v>73</v>
      </c>
      <c r="H416" s="2" t="s">
        <v>115</v>
      </c>
      <c r="I416" s="2" t="s">
        <v>58</v>
      </c>
      <c r="J416" s="2" t="s">
        <v>41</v>
      </c>
      <c r="K416" s="2" t="s">
        <v>186</v>
      </c>
      <c r="L416" s="2" t="s">
        <v>187</v>
      </c>
      <c r="M416" s="2" t="s">
        <v>48</v>
      </c>
      <c r="N416" s="2" t="s">
        <v>144</v>
      </c>
      <c r="O416" s="2" t="s">
        <v>1369</v>
      </c>
      <c r="P416" s="2" t="s">
        <v>70</v>
      </c>
      <c r="Q416" s="2" t="s">
        <v>41</v>
      </c>
      <c r="R416" s="2" t="n">
        <v>4</v>
      </c>
      <c r="S416" s="2" t="n">
        <v>2484.08</v>
      </c>
      <c r="T416" s="2" t="n">
        <v>0.05</v>
      </c>
      <c r="U416" s="2" t="str">
        <f aca="false">IF(ISBLANK(T416),"Yes","No")</f>
        <v>No</v>
      </c>
      <c r="V416" s="2" t="n">
        <f aca="false">IF(ISBLANK(T416),0,IF(ISNUMBER(T416),T416,VALUE(LEFT(T416,LEN(T416)-1))/100))</f>
        <v>0.05</v>
      </c>
      <c r="W416" s="2" t="str">
        <f aca="false">IF(AND(V416&gt;=0,V416&lt;=0.25),"Valid","Invalid")</f>
        <v>Valid</v>
      </c>
      <c r="X416" s="2" t="n">
        <v>9439.5</v>
      </c>
      <c r="Y416" s="2" t="n">
        <f aca="false">R416*S416*(1-V416)</f>
        <v>9439.504</v>
      </c>
      <c r="Z416" s="2" t="str">
        <f aca="false">IF(ABS(X416-Y416)&gt;1,"Mismatch","OK")</f>
        <v>OK</v>
      </c>
      <c r="AA416" s="2" t="n">
        <v>5519.39</v>
      </c>
      <c r="AB416" s="2" t="n">
        <v>3920.11</v>
      </c>
      <c r="AC416" s="2" t="n">
        <f aca="false">Y416-AA416</f>
        <v>3920.114</v>
      </c>
      <c r="AD416" s="2" t="str">
        <f aca="false">IF(ABS(AB416-AC416)&gt;1,"Mismatch","OK")</f>
        <v>OK</v>
      </c>
      <c r="AE416" s="4" t="n">
        <f aca="false">IF(Y416=0,0,AC416/Y416)</f>
        <v>0.4152881337833</v>
      </c>
      <c r="AF416" s="2" t="s">
        <v>52</v>
      </c>
      <c r="AG416" s="2" t="s">
        <v>53</v>
      </c>
      <c r="AH416" s="2" t="str">
        <f aca="false">IF(AND(AG416="Completed",AF416&lt;&gt;"Paid"),"Inconsistent","OK")</f>
        <v>OK</v>
      </c>
      <c r="AI416" s="2" t="n">
        <f aca="false">IF(OR(ISBLANK(B416),ISBLANK(C416)),"",C416-B416)</f>
        <v>1</v>
      </c>
      <c r="AJ416" s="2" t="str">
        <f aca="false">IF(AI416="","Unknown",IF(AI416&lt;0,"Invalid","OK"))</f>
        <v>OK</v>
      </c>
      <c r="AK416" s="2" t="str">
        <f aca="false">IF(ISBLANK(B416),"",TEXT(B416,"mmm"))</f>
        <v>Aug</v>
      </c>
      <c r="AL416" s="2" t="n">
        <f aca="false">IF(ISBLANK(B416),"",YEAR(B416))</f>
        <v>2024</v>
      </c>
      <c r="AM416" s="2" t="s">
        <v>41</v>
      </c>
      <c r="AN416" s="2" t="str">
        <f aca="false">IF(OR(W416="Invalid",AJ416="Invalid",AH416="Inconsistent",Z416="Mismatch",AD416="Mismatch",AM416="Yes",D416="Yes",E416="Yes"),"Invalid",IF(OR(J416="Yes",Q416="Yes",U416="Yes"),"Warning","Clean"))</f>
        <v>Clean</v>
      </c>
    </row>
    <row r="417" customFormat="false" ht="15" hidden="false" customHeight="false" outlineLevel="0" collapsed="false">
      <c r="A417" s="2" t="s">
        <v>1370</v>
      </c>
      <c r="B417" s="3" t="n">
        <v>45316</v>
      </c>
      <c r="C417" s="3" t="n">
        <v>45318</v>
      </c>
      <c r="D417" s="2" t="s">
        <v>41</v>
      </c>
      <c r="E417" s="2" t="s">
        <v>41</v>
      </c>
      <c r="F417" s="2" t="s">
        <v>1371</v>
      </c>
      <c r="G417" s="2" t="s">
        <v>148</v>
      </c>
      <c r="H417" s="2" t="s">
        <v>110</v>
      </c>
      <c r="I417" s="2" t="s">
        <v>74</v>
      </c>
      <c r="J417" s="2" t="s">
        <v>41</v>
      </c>
      <c r="K417" s="2" t="s">
        <v>195</v>
      </c>
      <c r="L417" s="2" t="s">
        <v>196</v>
      </c>
      <c r="M417" s="2" t="s">
        <v>48</v>
      </c>
      <c r="N417" s="2" t="s">
        <v>144</v>
      </c>
      <c r="O417" s="2" t="s">
        <v>1372</v>
      </c>
      <c r="P417" s="2" t="s">
        <v>64</v>
      </c>
      <c r="Q417" s="2" t="s">
        <v>41</v>
      </c>
      <c r="R417" s="2" t="n">
        <v>7</v>
      </c>
      <c r="S417" s="2" t="n">
        <v>1727.26</v>
      </c>
      <c r="T417" s="2" t="n">
        <v>0.15</v>
      </c>
      <c r="U417" s="2" t="str">
        <f aca="false">IF(ISBLANK(T417),"Yes","No")</f>
        <v>No</v>
      </c>
      <c r="V417" s="2" t="n">
        <f aca="false">IF(ISBLANK(T417),0,IF(ISNUMBER(T417),T417,VALUE(LEFT(T417,LEN(T417)-1))/100))</f>
        <v>0.15</v>
      </c>
      <c r="W417" s="2" t="str">
        <f aca="false">IF(AND(V417&gt;=0,V417&lt;=0.25),"Valid","Invalid")</f>
        <v>Valid</v>
      </c>
      <c r="X417" s="2" t="n">
        <v>10277.2</v>
      </c>
      <c r="Y417" s="2" t="n">
        <f aca="false">R417*S417*(1-V417)</f>
        <v>10277.197</v>
      </c>
      <c r="Z417" s="2" t="str">
        <f aca="false">IF(ABS(X417-Y417)&gt;1,"Mismatch","OK")</f>
        <v>OK</v>
      </c>
      <c r="AA417" s="2" t="n">
        <v>7906.5</v>
      </c>
      <c r="AB417" s="2" t="n">
        <v>2370.7</v>
      </c>
      <c r="AC417" s="2" t="n">
        <f aca="false">Y417-AA417</f>
        <v>2370.697</v>
      </c>
      <c r="AD417" s="2" t="str">
        <f aca="false">IF(ABS(AB417-AC417)&gt;1,"Mismatch","OK")</f>
        <v>OK</v>
      </c>
      <c r="AE417" s="4" t="n">
        <f aca="false">IF(Y417=0,0,AC417/Y417)</f>
        <v>0.230675445843842</v>
      </c>
      <c r="AF417" s="2" t="s">
        <v>52</v>
      </c>
      <c r="AG417" s="2" t="s">
        <v>123</v>
      </c>
      <c r="AH417" s="2" t="str">
        <f aca="false">IF(AND(AG417="Completed",AF417&lt;&gt;"Paid"),"Inconsistent","OK")</f>
        <v>OK</v>
      </c>
      <c r="AI417" s="2" t="n">
        <f aca="false">IF(OR(ISBLANK(B417),ISBLANK(C417)),"",C417-B417)</f>
        <v>2</v>
      </c>
      <c r="AJ417" s="2" t="str">
        <f aca="false">IF(AI417="","Unknown",IF(AI417&lt;0,"Invalid","OK"))</f>
        <v>OK</v>
      </c>
      <c r="AK417" s="2" t="str">
        <f aca="false">IF(ISBLANK(B417),"",TEXT(B417,"mmm"))</f>
        <v>Jan</v>
      </c>
      <c r="AL417" s="2" t="n">
        <f aca="false">IF(ISBLANK(B417),"",YEAR(B417))</f>
        <v>2024</v>
      </c>
      <c r="AM417" s="2" t="s">
        <v>41</v>
      </c>
      <c r="AN417" s="2" t="str">
        <f aca="false">IF(OR(W417="Invalid",AJ417="Invalid",AH417="Inconsistent",Z417="Mismatch",AD417="Mismatch",AM417="Yes",D417="Yes",E417="Yes"),"Invalid",IF(OR(J417="Yes",Q417="Yes",U417="Yes"),"Warning","Clean"))</f>
        <v>Clean</v>
      </c>
    </row>
    <row r="418" customFormat="false" ht="15" hidden="false" customHeight="false" outlineLevel="0" collapsed="false">
      <c r="A418" s="2" t="s">
        <v>1373</v>
      </c>
      <c r="B418" s="3" t="n">
        <v>45665</v>
      </c>
      <c r="C418" s="3" t="n">
        <v>45673</v>
      </c>
      <c r="D418" s="2" t="s">
        <v>41</v>
      </c>
      <c r="E418" s="2" t="s">
        <v>41</v>
      </c>
      <c r="F418" s="2" t="s">
        <v>1374</v>
      </c>
      <c r="G418" s="2" t="s">
        <v>99</v>
      </c>
      <c r="H418" s="2" t="s">
        <v>44</v>
      </c>
      <c r="I418" s="2" t="s">
        <v>74</v>
      </c>
      <c r="J418" s="2" t="s">
        <v>41</v>
      </c>
      <c r="K418" s="2" t="s">
        <v>75</v>
      </c>
      <c r="L418" s="2" t="s">
        <v>76</v>
      </c>
      <c r="M418" s="2" t="s">
        <v>61</v>
      </c>
      <c r="N418" s="2" t="s">
        <v>77</v>
      </c>
      <c r="O418" s="2" t="s">
        <v>1375</v>
      </c>
      <c r="P418" s="2" t="s">
        <v>70</v>
      </c>
      <c r="Q418" s="2" t="s">
        <v>41</v>
      </c>
      <c r="R418" s="2" t="n">
        <v>8</v>
      </c>
      <c r="S418" s="2" t="n">
        <v>638.95</v>
      </c>
      <c r="T418" s="2" t="n">
        <v>0.25</v>
      </c>
      <c r="U418" s="2" t="str">
        <f aca="false">IF(ISBLANK(T418),"Yes","No")</f>
        <v>No</v>
      </c>
      <c r="V418" s="2" t="n">
        <f aca="false">IF(ISBLANK(T418),0,IF(ISNUMBER(T418),T418,VALUE(LEFT(T418,LEN(T418)-1))/100))</f>
        <v>0.25</v>
      </c>
      <c r="W418" s="2" t="str">
        <f aca="false">IF(AND(V418&gt;=0,V418&lt;=0.25),"Valid","Invalid")</f>
        <v>Valid</v>
      </c>
      <c r="X418" s="2" t="n">
        <v>3833.7</v>
      </c>
      <c r="Y418" s="2" t="n">
        <f aca="false">R418*S418*(1-V418)</f>
        <v>3833.7</v>
      </c>
      <c r="Z418" s="2" t="str">
        <f aca="false">IF(ABS(X418-Y418)&gt;1,"Mismatch","OK")</f>
        <v>OK</v>
      </c>
      <c r="AA418" s="2" t="n">
        <v>2886.35</v>
      </c>
      <c r="AB418" s="2" t="n">
        <v>947.35</v>
      </c>
      <c r="AC418" s="2" t="n">
        <f aca="false">Y418-AA418</f>
        <v>947.35</v>
      </c>
      <c r="AD418" s="2" t="str">
        <f aca="false">IF(ABS(AB418-AC418)&gt;1,"Mismatch","OK")</f>
        <v>OK</v>
      </c>
      <c r="AE418" s="4" t="n">
        <f aca="false">IF(Y418=0,0,AC418/Y418)</f>
        <v>0.247111145890393</v>
      </c>
      <c r="AF418" s="2" t="s">
        <v>52</v>
      </c>
      <c r="AG418" s="2" t="s">
        <v>53</v>
      </c>
      <c r="AH418" s="2" t="str">
        <f aca="false">IF(AND(AG418="Completed",AF418&lt;&gt;"Paid"),"Inconsistent","OK")</f>
        <v>OK</v>
      </c>
      <c r="AI418" s="2" t="n">
        <f aca="false">IF(OR(ISBLANK(B418),ISBLANK(C418)),"",C418-B418)</f>
        <v>8</v>
      </c>
      <c r="AJ418" s="2" t="str">
        <f aca="false">IF(AI418="","Unknown",IF(AI418&lt;0,"Invalid","OK"))</f>
        <v>OK</v>
      </c>
      <c r="AK418" s="2" t="str">
        <f aca="false">IF(ISBLANK(B418),"",TEXT(B418,"mmm"))</f>
        <v>Jan</v>
      </c>
      <c r="AL418" s="2" t="n">
        <f aca="false">IF(ISBLANK(B418),"",YEAR(B418))</f>
        <v>2025</v>
      </c>
      <c r="AM418" s="2" t="s">
        <v>41</v>
      </c>
      <c r="AN418" s="2" t="str">
        <f aca="false">IF(OR(W418="Invalid",AJ418="Invalid",AH418="Inconsistent",Z418="Mismatch",AD418="Mismatch",AM418="Yes",D418="Yes",E418="Yes"),"Invalid",IF(OR(J418="Yes",Q418="Yes",U418="Yes"),"Warning","Clean"))</f>
        <v>Clean</v>
      </c>
    </row>
    <row r="419" customFormat="false" ht="15" hidden="false" customHeight="false" outlineLevel="0" collapsed="false">
      <c r="A419" s="2" t="s">
        <v>1376</v>
      </c>
      <c r="B419" s="3" t="n">
        <v>45686</v>
      </c>
      <c r="C419" s="3" t="n">
        <v>45693</v>
      </c>
      <c r="D419" s="2" t="s">
        <v>41</v>
      </c>
      <c r="E419" s="2" t="s">
        <v>41</v>
      </c>
      <c r="F419" s="2" t="s">
        <v>1377</v>
      </c>
      <c r="G419" s="2" t="s">
        <v>56</v>
      </c>
      <c r="H419" s="2" t="s">
        <v>44</v>
      </c>
      <c r="I419" s="2" t="s">
        <v>83</v>
      </c>
      <c r="J419" s="2" t="s">
        <v>41</v>
      </c>
      <c r="K419" s="2" t="s">
        <v>200</v>
      </c>
      <c r="L419" s="2" t="s">
        <v>201</v>
      </c>
      <c r="M419" s="2" t="s">
        <v>48</v>
      </c>
      <c r="N419" s="2" t="s">
        <v>68</v>
      </c>
      <c r="O419" s="2" t="s">
        <v>1378</v>
      </c>
      <c r="P419" s="2" t="s">
        <v>70</v>
      </c>
      <c r="Q419" s="2" t="s">
        <v>41</v>
      </c>
      <c r="R419" s="2" t="n">
        <v>6</v>
      </c>
      <c r="S419" s="2" t="n">
        <v>3863</v>
      </c>
      <c r="T419" s="2" t="n">
        <v>0.2</v>
      </c>
      <c r="U419" s="2" t="str">
        <f aca="false">IF(ISBLANK(T419),"Yes","No")</f>
        <v>No</v>
      </c>
      <c r="V419" s="2" t="n">
        <f aca="false">IF(ISBLANK(T419),0,IF(ISNUMBER(T419),T419,VALUE(LEFT(T419,LEN(T419)-1))/100))</f>
        <v>0.2</v>
      </c>
      <c r="W419" s="2" t="str">
        <f aca="false">IF(AND(V419&gt;=0,V419&lt;=0.25),"Valid","Invalid")</f>
        <v>Valid</v>
      </c>
      <c r="X419" s="2" t="n">
        <v>18542.4</v>
      </c>
      <c r="Y419" s="2" t="n">
        <f aca="false">R419*S419*(1-V419)</f>
        <v>18542.4</v>
      </c>
      <c r="Z419" s="2" t="str">
        <f aca="false">IF(ABS(X419-Y419)&gt;1,"Mismatch","OK")</f>
        <v>OK</v>
      </c>
      <c r="AA419" s="2" t="n">
        <v>11193.75</v>
      </c>
      <c r="AB419" s="2" t="n">
        <v>7348.65</v>
      </c>
      <c r="AC419" s="2" t="n">
        <f aca="false">Y419-AA419</f>
        <v>7348.65</v>
      </c>
      <c r="AD419" s="2" t="str">
        <f aca="false">IF(ABS(AB419-AC419)&gt;1,"Mismatch","OK")</f>
        <v>OK</v>
      </c>
      <c r="AE419" s="4" t="n">
        <f aca="false">IF(Y419=0,0,AC419/Y419)</f>
        <v>0.396316010872379</v>
      </c>
      <c r="AF419" s="2" t="s">
        <v>52</v>
      </c>
      <c r="AG419" s="2" t="s">
        <v>53</v>
      </c>
      <c r="AH419" s="2" t="str">
        <f aca="false">IF(AND(AG419="Completed",AF419&lt;&gt;"Paid"),"Inconsistent","OK")</f>
        <v>OK</v>
      </c>
      <c r="AI419" s="2" t="n">
        <f aca="false">IF(OR(ISBLANK(B419),ISBLANK(C419)),"",C419-B419)</f>
        <v>7</v>
      </c>
      <c r="AJ419" s="2" t="str">
        <f aca="false">IF(AI419="","Unknown",IF(AI419&lt;0,"Invalid","OK"))</f>
        <v>OK</v>
      </c>
      <c r="AK419" s="2" t="str">
        <f aca="false">IF(ISBLANK(B419),"",TEXT(B419,"mmm"))</f>
        <v>Jan</v>
      </c>
      <c r="AL419" s="2" t="n">
        <f aca="false">IF(ISBLANK(B419),"",YEAR(B419))</f>
        <v>2025</v>
      </c>
      <c r="AM419" s="2" t="s">
        <v>41</v>
      </c>
      <c r="AN419" s="2" t="str">
        <f aca="false">IF(OR(W419="Invalid",AJ419="Invalid",AH419="Inconsistent",Z419="Mismatch",AD419="Mismatch",AM419="Yes",D419="Yes",E419="Yes"),"Invalid",IF(OR(J419="Yes",Q419="Yes",U419="Yes"),"Warning","Clean"))</f>
        <v>Clean</v>
      </c>
    </row>
    <row r="420" customFormat="false" ht="15" hidden="false" customHeight="false" outlineLevel="0" collapsed="false">
      <c r="A420" s="2" t="s">
        <v>1379</v>
      </c>
      <c r="B420" s="3" t="n">
        <v>45605</v>
      </c>
      <c r="C420" s="3" t="n">
        <v>45613</v>
      </c>
      <c r="D420" s="2" t="s">
        <v>41</v>
      </c>
      <c r="E420" s="2" t="s">
        <v>41</v>
      </c>
      <c r="F420" s="2" t="s">
        <v>1380</v>
      </c>
      <c r="G420" s="2" t="s">
        <v>152</v>
      </c>
      <c r="H420" s="2" t="s">
        <v>110</v>
      </c>
      <c r="I420" s="2" t="s">
        <v>58</v>
      </c>
      <c r="J420" s="2" t="s">
        <v>41</v>
      </c>
      <c r="K420" s="2" t="s">
        <v>59</v>
      </c>
      <c r="L420" s="2" t="s">
        <v>60</v>
      </c>
      <c r="M420" s="2" t="s">
        <v>94</v>
      </c>
      <c r="N420" s="2" t="s">
        <v>100</v>
      </c>
      <c r="O420" s="2" t="s">
        <v>1381</v>
      </c>
      <c r="P420" s="2" t="s">
        <v>79</v>
      </c>
      <c r="Q420" s="2" t="s">
        <v>41</v>
      </c>
      <c r="R420" s="2" t="n">
        <v>6</v>
      </c>
      <c r="S420" s="2" t="n">
        <v>3660.4</v>
      </c>
      <c r="T420" s="2" t="n">
        <v>0</v>
      </c>
      <c r="U420" s="2" t="str">
        <f aca="false">IF(ISBLANK(T420),"Yes","No")</f>
        <v>No</v>
      </c>
      <c r="V420" s="2" t="n">
        <f aca="false">IF(ISBLANK(T420),0,IF(ISNUMBER(T420),T420,VALUE(LEFT(T420,LEN(T420)-1))/100))</f>
        <v>0</v>
      </c>
      <c r="W420" s="2" t="str">
        <f aca="false">IF(AND(V420&gt;=0,V420&lt;=0.25),"Valid","Invalid")</f>
        <v>Valid</v>
      </c>
      <c r="X420" s="2" t="n">
        <v>21962.4</v>
      </c>
      <c r="Y420" s="2" t="n">
        <f aca="false">R420*S420*(1-V420)</f>
        <v>21962.4</v>
      </c>
      <c r="Z420" s="2" t="str">
        <f aca="false">IF(ABS(X420-Y420)&gt;1,"Mismatch","OK")</f>
        <v>OK</v>
      </c>
      <c r="AA420" s="2" t="n">
        <v>15331.99</v>
      </c>
      <c r="AB420" s="2" t="n">
        <v>6630.41</v>
      </c>
      <c r="AC420" s="2" t="n">
        <f aca="false">Y420-AA420</f>
        <v>6630.41</v>
      </c>
      <c r="AD420" s="2" t="str">
        <f aca="false">IF(ABS(AB420-AC420)&gt;1,"Mismatch","OK")</f>
        <v>OK</v>
      </c>
      <c r="AE420" s="4" t="n">
        <f aca="false">IF(Y420=0,0,AC420/Y420)</f>
        <v>0.301898244272029</v>
      </c>
      <c r="AF420" s="2" t="s">
        <v>175</v>
      </c>
      <c r="AG420" s="2" t="s">
        <v>88</v>
      </c>
      <c r="AH420" s="2" t="str">
        <f aca="false">IF(AND(AG420="Completed",AF420&lt;&gt;"Paid"),"Inconsistent","OK")</f>
        <v>OK</v>
      </c>
      <c r="AI420" s="2" t="n">
        <f aca="false">IF(OR(ISBLANK(B420),ISBLANK(C420)),"",C420-B420)</f>
        <v>8</v>
      </c>
      <c r="AJ420" s="2" t="str">
        <f aca="false">IF(AI420="","Unknown",IF(AI420&lt;0,"Invalid","OK"))</f>
        <v>OK</v>
      </c>
      <c r="AK420" s="2" t="str">
        <f aca="false">IF(ISBLANK(B420),"",TEXT(B420,"mmm"))</f>
        <v>Nov</v>
      </c>
      <c r="AL420" s="2" t="n">
        <f aca="false">IF(ISBLANK(B420),"",YEAR(B420))</f>
        <v>2024</v>
      </c>
      <c r="AM420" s="2" t="s">
        <v>41</v>
      </c>
      <c r="AN420" s="2" t="str">
        <f aca="false">IF(OR(W420="Invalid",AJ420="Invalid",AH420="Inconsistent",Z420="Mismatch",AD420="Mismatch",AM420="Yes",D420="Yes",E420="Yes"),"Invalid",IF(OR(J420="Yes",Q420="Yes",U420="Yes"),"Warning","Clean"))</f>
        <v>Clean</v>
      </c>
    </row>
    <row r="421" customFormat="false" ht="15" hidden="false" customHeight="false" outlineLevel="0" collapsed="false">
      <c r="A421" s="2" t="s">
        <v>1382</v>
      </c>
      <c r="B421" s="3" t="n">
        <v>45926</v>
      </c>
      <c r="C421" s="3" t="n">
        <v>45930</v>
      </c>
      <c r="D421" s="2" t="s">
        <v>41</v>
      </c>
      <c r="E421" s="2" t="s">
        <v>41</v>
      </c>
      <c r="F421" s="2" t="s">
        <v>1383</v>
      </c>
      <c r="G421" s="2" t="s">
        <v>152</v>
      </c>
      <c r="H421" s="2" t="s">
        <v>115</v>
      </c>
      <c r="I421" s="2" t="s">
        <v>45</v>
      </c>
      <c r="J421" s="2" t="s">
        <v>41</v>
      </c>
      <c r="K421" s="2" t="s">
        <v>258</v>
      </c>
      <c r="L421" s="2" t="s">
        <v>259</v>
      </c>
      <c r="M421" s="2" t="s">
        <v>94</v>
      </c>
      <c r="N421" s="2" t="s">
        <v>191</v>
      </c>
      <c r="O421" s="2" t="s">
        <v>1384</v>
      </c>
      <c r="P421" s="2" t="s">
        <v>64</v>
      </c>
      <c r="Q421" s="2" t="s">
        <v>41</v>
      </c>
      <c r="R421" s="2" t="n">
        <v>2</v>
      </c>
      <c r="S421" s="2" t="n">
        <v>688.83</v>
      </c>
      <c r="T421" s="2" t="n">
        <v>0.05</v>
      </c>
      <c r="U421" s="2" t="str">
        <f aca="false">IF(ISBLANK(T421),"Yes","No")</f>
        <v>No</v>
      </c>
      <c r="V421" s="2" t="n">
        <f aca="false">IF(ISBLANK(T421),0,IF(ISNUMBER(T421),T421,VALUE(LEFT(T421,LEN(T421)-1))/100))</f>
        <v>0.05</v>
      </c>
      <c r="W421" s="2" t="str">
        <f aca="false">IF(AND(V421&gt;=0,V421&lt;=0.25),"Valid","Invalid")</f>
        <v>Valid</v>
      </c>
      <c r="X421" s="2" t="n">
        <v>1308.78</v>
      </c>
      <c r="Y421" s="2" t="n">
        <f aca="false">R421*S421*(1-V421)</f>
        <v>1308.777</v>
      </c>
      <c r="Z421" s="2" t="str">
        <f aca="false">IF(ABS(X421-Y421)&gt;1,"Mismatch","OK")</f>
        <v>OK</v>
      </c>
      <c r="AA421" s="2" t="n">
        <v>843</v>
      </c>
      <c r="AB421" s="2" t="n">
        <v>465.78</v>
      </c>
      <c r="AC421" s="2" t="n">
        <f aca="false">Y421-AA421</f>
        <v>465.777</v>
      </c>
      <c r="AD421" s="2" t="str">
        <f aca="false">IF(ABS(AB421-AC421)&gt;1,"Mismatch","OK")</f>
        <v>OK</v>
      </c>
      <c r="AE421" s="4" t="n">
        <f aca="false">IF(Y421=0,0,AC421/Y421)</f>
        <v>0.35588721378814</v>
      </c>
      <c r="AF421" s="2" t="s">
        <v>52</v>
      </c>
      <c r="AG421" s="2" t="s">
        <v>53</v>
      </c>
      <c r="AH421" s="2" t="str">
        <f aca="false">IF(AND(AG421="Completed",AF421&lt;&gt;"Paid"),"Inconsistent","OK")</f>
        <v>OK</v>
      </c>
      <c r="AI421" s="2" t="n">
        <f aca="false">IF(OR(ISBLANK(B421),ISBLANK(C421)),"",C421-B421)</f>
        <v>4</v>
      </c>
      <c r="AJ421" s="2" t="str">
        <f aca="false">IF(AI421="","Unknown",IF(AI421&lt;0,"Invalid","OK"))</f>
        <v>OK</v>
      </c>
      <c r="AK421" s="2" t="str">
        <f aca="false">IF(ISBLANK(B421),"",TEXT(B421,"mmm"))</f>
        <v>Sep</v>
      </c>
      <c r="AL421" s="2" t="n">
        <f aca="false">IF(ISBLANK(B421),"",YEAR(B421))</f>
        <v>2025</v>
      </c>
      <c r="AM421" s="2" t="s">
        <v>41</v>
      </c>
      <c r="AN421" s="2" t="str">
        <f aca="false">IF(OR(W421="Invalid",AJ421="Invalid",AH421="Inconsistent",Z421="Mismatch",AD421="Mismatch",AM421="Yes",D421="Yes",E421="Yes"),"Invalid",IF(OR(J421="Yes",Q421="Yes",U421="Yes"),"Warning","Clean"))</f>
        <v>Clean</v>
      </c>
    </row>
    <row r="422" customFormat="false" ht="15" hidden="false" customHeight="false" outlineLevel="0" collapsed="false">
      <c r="A422" s="2" t="s">
        <v>1385</v>
      </c>
      <c r="B422" s="3" t="n">
        <v>45734</v>
      </c>
      <c r="C422" s="3" t="n">
        <v>45735</v>
      </c>
      <c r="D422" s="2" t="s">
        <v>41</v>
      </c>
      <c r="E422" s="2" t="s">
        <v>41</v>
      </c>
      <c r="F422" s="2" t="s">
        <v>1386</v>
      </c>
      <c r="G422" s="2" t="s">
        <v>67</v>
      </c>
      <c r="H422" s="2" t="s">
        <v>110</v>
      </c>
      <c r="I422" s="2" t="s">
        <v>74</v>
      </c>
      <c r="J422" s="2" t="s">
        <v>41</v>
      </c>
      <c r="K422" s="2" t="s">
        <v>269</v>
      </c>
      <c r="L422" s="2" t="s">
        <v>270</v>
      </c>
      <c r="M422" s="2" t="s">
        <v>94</v>
      </c>
      <c r="N422" s="2" t="s">
        <v>296</v>
      </c>
      <c r="O422" s="2" t="s">
        <v>1387</v>
      </c>
      <c r="P422" s="2" t="s">
        <v>79</v>
      </c>
      <c r="Q422" s="2" t="s">
        <v>41</v>
      </c>
      <c r="R422" s="2" t="n">
        <v>2</v>
      </c>
      <c r="S422" s="2" t="n">
        <v>1209.99</v>
      </c>
      <c r="T422" s="2" t="n">
        <v>0.25</v>
      </c>
      <c r="U422" s="2" t="str">
        <f aca="false">IF(ISBLANK(T422),"Yes","No")</f>
        <v>No</v>
      </c>
      <c r="V422" s="2" t="n">
        <f aca="false">IF(ISBLANK(T422),0,IF(ISNUMBER(T422),T422,VALUE(LEFT(T422,LEN(T422)-1))/100))</f>
        <v>0.25</v>
      </c>
      <c r="W422" s="2" t="str">
        <f aca="false">IF(AND(V422&gt;=0,V422&lt;=0.25),"Valid","Invalid")</f>
        <v>Valid</v>
      </c>
      <c r="X422" s="2" t="n">
        <v>1814.99</v>
      </c>
      <c r="Y422" s="2" t="n">
        <f aca="false">R422*S422*(1-V422)</f>
        <v>1814.985</v>
      </c>
      <c r="Z422" s="2" t="str">
        <f aca="false">IF(ABS(X422-Y422)&gt;1,"Mismatch","OK")</f>
        <v>OK</v>
      </c>
      <c r="AA422" s="2" t="n">
        <v>1120.06</v>
      </c>
      <c r="AB422" s="2" t="n">
        <v>694.93</v>
      </c>
      <c r="AC422" s="2" t="n">
        <f aca="false">Y422-AA422</f>
        <v>694.925</v>
      </c>
      <c r="AD422" s="2" t="str">
        <f aca="false">IF(ABS(AB422-AC422)&gt;1,"Mismatch","OK")</f>
        <v>OK</v>
      </c>
      <c r="AE422" s="4" t="n">
        <f aca="false">IF(Y422=0,0,AC422/Y422)</f>
        <v>0.382881952192442</v>
      </c>
      <c r="AF422" s="2" t="s">
        <v>131</v>
      </c>
      <c r="AG422" s="2" t="s">
        <v>88</v>
      </c>
      <c r="AH422" s="2" t="str">
        <f aca="false">IF(AND(AG422="Completed",AF422&lt;&gt;"Paid"),"Inconsistent","OK")</f>
        <v>OK</v>
      </c>
      <c r="AI422" s="2" t="n">
        <f aca="false">IF(OR(ISBLANK(B422),ISBLANK(C422)),"",C422-B422)</f>
        <v>1</v>
      </c>
      <c r="AJ422" s="2" t="str">
        <f aca="false">IF(AI422="","Unknown",IF(AI422&lt;0,"Invalid","OK"))</f>
        <v>OK</v>
      </c>
      <c r="AK422" s="2" t="str">
        <f aca="false">IF(ISBLANK(B422),"",TEXT(B422,"mmm"))</f>
        <v>Mar</v>
      </c>
      <c r="AL422" s="2" t="n">
        <f aca="false">IF(ISBLANK(B422),"",YEAR(B422))</f>
        <v>2025</v>
      </c>
      <c r="AM422" s="2" t="s">
        <v>41</v>
      </c>
      <c r="AN422" s="2" t="str">
        <f aca="false">IF(OR(W422="Invalid",AJ422="Invalid",AH422="Inconsistent",Z422="Mismatch",AD422="Mismatch",AM422="Yes",D422="Yes",E422="Yes"),"Invalid",IF(OR(J422="Yes",Q422="Yes",U422="Yes"),"Warning","Clean"))</f>
        <v>Clean</v>
      </c>
    </row>
    <row r="423" customFormat="false" ht="15" hidden="false" customHeight="false" outlineLevel="0" collapsed="false">
      <c r="A423" s="2" t="s">
        <v>1388</v>
      </c>
      <c r="B423" s="3" t="n">
        <v>45822</v>
      </c>
      <c r="C423" s="3" t="n">
        <v>45827</v>
      </c>
      <c r="D423" s="2" t="s">
        <v>41</v>
      </c>
      <c r="E423" s="2" t="s">
        <v>41</v>
      </c>
      <c r="F423" s="2" t="s">
        <v>1389</v>
      </c>
      <c r="G423" s="2" t="s">
        <v>161</v>
      </c>
      <c r="H423" s="2" t="s">
        <v>57</v>
      </c>
      <c r="I423" s="2" t="s">
        <v>45</v>
      </c>
      <c r="J423" s="2" t="s">
        <v>41</v>
      </c>
      <c r="K423" s="2" t="s">
        <v>372</v>
      </c>
      <c r="L423" s="2" t="s">
        <v>373</v>
      </c>
      <c r="M423" s="2" t="s">
        <v>48</v>
      </c>
      <c r="N423" s="2" t="s">
        <v>173</v>
      </c>
      <c r="O423" s="2" t="s">
        <v>1390</v>
      </c>
      <c r="P423" s="2" t="s">
        <v>64</v>
      </c>
      <c r="Q423" s="2" t="s">
        <v>41</v>
      </c>
      <c r="R423" s="2" t="n">
        <v>3</v>
      </c>
      <c r="S423" s="2" t="n">
        <v>1037.45</v>
      </c>
      <c r="T423" s="2" t="n">
        <v>0.2</v>
      </c>
      <c r="U423" s="2" t="str">
        <f aca="false">IF(ISBLANK(T423),"Yes","No")</f>
        <v>No</v>
      </c>
      <c r="V423" s="2" t="n">
        <f aca="false">IF(ISBLANK(T423),0,IF(ISNUMBER(T423),T423,VALUE(LEFT(T423,LEN(T423)-1))/100))</f>
        <v>0.2</v>
      </c>
      <c r="W423" s="2" t="str">
        <f aca="false">IF(AND(V423&gt;=0,V423&lt;=0.25),"Valid","Invalid")</f>
        <v>Valid</v>
      </c>
      <c r="X423" s="2" t="n">
        <v>2489.88</v>
      </c>
      <c r="Y423" s="2" t="n">
        <f aca="false">R423*S423*(1-V423)</f>
        <v>2489.88</v>
      </c>
      <c r="Z423" s="2" t="str">
        <f aca="false">IF(ABS(X423-Y423)&gt;1,"Mismatch","OK")</f>
        <v>OK</v>
      </c>
      <c r="AA423" s="2" t="n">
        <v>1707.52</v>
      </c>
      <c r="AB423" s="2" t="n">
        <v>782.36</v>
      </c>
      <c r="AC423" s="2" t="n">
        <f aca="false">Y423-AA423</f>
        <v>782.360000000001</v>
      </c>
      <c r="AD423" s="2" t="str">
        <f aca="false">IF(ABS(AB423-AC423)&gt;1,"Mismatch","OK")</f>
        <v>OK</v>
      </c>
      <c r="AE423" s="4" t="n">
        <f aca="false">IF(Y423=0,0,AC423/Y423)</f>
        <v>0.314215946150015</v>
      </c>
      <c r="AF423" s="2" t="s">
        <v>131</v>
      </c>
      <c r="AG423" s="2" t="s">
        <v>123</v>
      </c>
      <c r="AH423" s="2" t="str">
        <f aca="false">IF(AND(AG423="Completed",AF423&lt;&gt;"Paid"),"Inconsistent","OK")</f>
        <v>OK</v>
      </c>
      <c r="AI423" s="2" t="n">
        <f aca="false">IF(OR(ISBLANK(B423),ISBLANK(C423)),"",C423-B423)</f>
        <v>5</v>
      </c>
      <c r="AJ423" s="2" t="str">
        <f aca="false">IF(AI423="","Unknown",IF(AI423&lt;0,"Invalid","OK"))</f>
        <v>OK</v>
      </c>
      <c r="AK423" s="2" t="str">
        <f aca="false">IF(ISBLANK(B423),"",TEXT(B423,"mmm"))</f>
        <v>Jun</v>
      </c>
      <c r="AL423" s="2" t="n">
        <f aca="false">IF(ISBLANK(B423),"",YEAR(B423))</f>
        <v>2025</v>
      </c>
      <c r="AM423" s="2" t="s">
        <v>41</v>
      </c>
      <c r="AN423" s="2" t="str">
        <f aca="false">IF(OR(W423="Invalid",AJ423="Invalid",AH423="Inconsistent",Z423="Mismatch",AD423="Mismatch",AM423="Yes",D423="Yes",E423="Yes"),"Invalid",IF(OR(J423="Yes",Q423="Yes",U423="Yes"),"Warning","Clean"))</f>
        <v>Clean</v>
      </c>
    </row>
    <row r="424" customFormat="false" ht="15" hidden="false" customHeight="false" outlineLevel="0" collapsed="false">
      <c r="A424" s="2" t="s">
        <v>1391</v>
      </c>
      <c r="B424" s="3" t="n">
        <v>45903</v>
      </c>
      <c r="C424" s="3" t="n">
        <v>45906</v>
      </c>
      <c r="D424" s="2" t="s">
        <v>41</v>
      </c>
      <c r="E424" s="2" t="s">
        <v>41</v>
      </c>
      <c r="F424" s="2" t="s">
        <v>1392</v>
      </c>
      <c r="G424" s="2" t="s">
        <v>286</v>
      </c>
      <c r="H424" s="2" t="s">
        <v>44</v>
      </c>
      <c r="I424" s="2" t="s">
        <v>83</v>
      </c>
      <c r="J424" s="2" t="s">
        <v>41</v>
      </c>
      <c r="K424" s="2" t="s">
        <v>92</v>
      </c>
      <c r="L424" s="2" t="s">
        <v>93</v>
      </c>
      <c r="M424" s="2" t="s">
        <v>94</v>
      </c>
      <c r="N424" s="2" t="s">
        <v>100</v>
      </c>
      <c r="O424" s="2" t="s">
        <v>1393</v>
      </c>
      <c r="P424" s="2" t="s">
        <v>64</v>
      </c>
      <c r="Q424" s="2" t="s">
        <v>41</v>
      </c>
      <c r="R424" s="2" t="n">
        <v>7</v>
      </c>
      <c r="S424" s="2" t="n">
        <v>688.85</v>
      </c>
      <c r="T424" s="2" t="n">
        <v>0.15</v>
      </c>
      <c r="U424" s="2" t="str">
        <f aca="false">IF(ISBLANK(T424),"Yes","No")</f>
        <v>No</v>
      </c>
      <c r="V424" s="2" t="n">
        <f aca="false">IF(ISBLANK(T424),0,IF(ISNUMBER(T424),T424,VALUE(LEFT(T424,LEN(T424)-1))/100))</f>
        <v>0.15</v>
      </c>
      <c r="W424" s="2" t="str">
        <f aca="false">IF(AND(V424&gt;=0,V424&lt;=0.25),"Valid","Invalid")</f>
        <v>Valid</v>
      </c>
      <c r="X424" s="2" t="n">
        <v>4098.66</v>
      </c>
      <c r="Y424" s="2" t="n">
        <f aca="false">R424*S424*(1-V424)</f>
        <v>4098.6575</v>
      </c>
      <c r="Z424" s="2" t="str">
        <f aca="false">IF(ABS(X424-Y424)&gt;1,"Mismatch","OK")</f>
        <v>OK</v>
      </c>
      <c r="AA424" s="2" t="n">
        <v>2678.06</v>
      </c>
      <c r="AB424" s="2" t="n">
        <v>1420.6</v>
      </c>
      <c r="AC424" s="2" t="n">
        <f aca="false">Y424-AA424</f>
        <v>1420.5975</v>
      </c>
      <c r="AD424" s="2" t="str">
        <f aca="false">IF(ABS(AB424-AC424)&gt;1,"Mismatch","OK")</f>
        <v>OK</v>
      </c>
      <c r="AE424" s="4" t="n">
        <f aca="false">IF(Y424=0,0,AC424/Y424)</f>
        <v>0.346600685712334</v>
      </c>
      <c r="AF424" s="2" t="s">
        <v>52</v>
      </c>
      <c r="AG424" s="2" t="s">
        <v>53</v>
      </c>
      <c r="AH424" s="2" t="str">
        <f aca="false">IF(AND(AG424="Completed",AF424&lt;&gt;"Paid"),"Inconsistent","OK")</f>
        <v>OK</v>
      </c>
      <c r="AI424" s="2" t="n">
        <f aca="false">IF(OR(ISBLANK(B424),ISBLANK(C424)),"",C424-B424)</f>
        <v>3</v>
      </c>
      <c r="AJ424" s="2" t="str">
        <f aca="false">IF(AI424="","Unknown",IF(AI424&lt;0,"Invalid","OK"))</f>
        <v>OK</v>
      </c>
      <c r="AK424" s="2" t="str">
        <f aca="false">IF(ISBLANK(B424),"",TEXT(B424,"mmm"))</f>
        <v>Sep</v>
      </c>
      <c r="AL424" s="2" t="n">
        <f aca="false">IF(ISBLANK(B424),"",YEAR(B424))</f>
        <v>2025</v>
      </c>
      <c r="AM424" s="2" t="s">
        <v>41</v>
      </c>
      <c r="AN424" s="2" t="str">
        <f aca="false">IF(OR(W424="Invalid",AJ424="Invalid",AH424="Inconsistent",Z424="Mismatch",AD424="Mismatch",AM424="Yes",D424="Yes",E424="Yes"),"Invalid",IF(OR(J424="Yes",Q424="Yes",U424="Yes"),"Warning","Clean"))</f>
        <v>Clean</v>
      </c>
    </row>
    <row r="425" customFormat="false" ht="15" hidden="false" customHeight="false" outlineLevel="0" collapsed="false">
      <c r="A425" s="2" t="s">
        <v>1394</v>
      </c>
      <c r="B425" s="3" t="n">
        <v>45342</v>
      </c>
      <c r="C425" s="3" t="n">
        <v>45349</v>
      </c>
      <c r="D425" s="2" t="s">
        <v>41</v>
      </c>
      <c r="E425" s="2" t="s">
        <v>41</v>
      </c>
      <c r="F425" s="2" t="s">
        <v>1395</v>
      </c>
      <c r="G425" s="2" t="s">
        <v>182</v>
      </c>
      <c r="H425" s="2" t="s">
        <v>44</v>
      </c>
      <c r="I425" s="2" t="s">
        <v>74</v>
      </c>
      <c r="J425" s="2" t="s">
        <v>41</v>
      </c>
      <c r="K425" s="2" t="s">
        <v>205</v>
      </c>
      <c r="L425" s="2" t="s">
        <v>206</v>
      </c>
      <c r="M425" s="2" t="s">
        <v>94</v>
      </c>
      <c r="N425" s="2" t="s">
        <v>95</v>
      </c>
      <c r="O425" s="2" t="s">
        <v>1396</v>
      </c>
      <c r="P425" s="2" t="s">
        <v>70</v>
      </c>
      <c r="Q425" s="2" t="s">
        <v>41</v>
      </c>
      <c r="R425" s="2" t="n">
        <v>9</v>
      </c>
      <c r="S425" s="2" t="n">
        <v>3779.31</v>
      </c>
      <c r="T425" s="2" t="n">
        <v>0.2</v>
      </c>
      <c r="U425" s="2" t="str">
        <f aca="false">IF(ISBLANK(T425),"Yes","No")</f>
        <v>No</v>
      </c>
      <c r="V425" s="2" t="n">
        <f aca="false">IF(ISBLANK(T425),0,IF(ISNUMBER(T425),T425,VALUE(LEFT(T425,LEN(T425)-1))/100))</f>
        <v>0.2</v>
      </c>
      <c r="W425" s="2" t="str">
        <f aca="false">IF(AND(V425&gt;=0,V425&lt;=0.25),"Valid","Invalid")</f>
        <v>Valid</v>
      </c>
      <c r="X425" s="2" t="n">
        <v>27211.03</v>
      </c>
      <c r="Y425" s="2" t="n">
        <f aca="false">R425*S425*(1-V425)</f>
        <v>27211.032</v>
      </c>
      <c r="Z425" s="2" t="str">
        <f aca="false">IF(ABS(X425-Y425)&gt;1,"Mismatch","OK")</f>
        <v>OK</v>
      </c>
      <c r="AA425" s="2" t="n">
        <v>17940.43</v>
      </c>
      <c r="AB425" s="2" t="n">
        <v>9270.6</v>
      </c>
      <c r="AC425" s="2" t="n">
        <f aca="false">Y425-AA425</f>
        <v>9270.602</v>
      </c>
      <c r="AD425" s="2" t="str">
        <f aca="false">IF(ABS(AB425-AC425)&gt;1,"Mismatch","OK")</f>
        <v>OK</v>
      </c>
      <c r="AE425" s="4" t="n">
        <f aca="false">IF(Y425=0,0,AC425/Y425)</f>
        <v>0.340692774901003</v>
      </c>
      <c r="AF425" s="2" t="s">
        <v>52</v>
      </c>
      <c r="AG425" s="2" t="s">
        <v>53</v>
      </c>
      <c r="AH425" s="2" t="str">
        <f aca="false">IF(AND(AG425="Completed",AF425&lt;&gt;"Paid"),"Inconsistent","OK")</f>
        <v>OK</v>
      </c>
      <c r="AI425" s="2" t="n">
        <f aca="false">IF(OR(ISBLANK(B425),ISBLANK(C425)),"",C425-B425)</f>
        <v>7</v>
      </c>
      <c r="AJ425" s="2" t="str">
        <f aca="false">IF(AI425="","Unknown",IF(AI425&lt;0,"Invalid","OK"))</f>
        <v>OK</v>
      </c>
      <c r="AK425" s="2" t="str">
        <f aca="false">IF(ISBLANK(B425),"",TEXT(B425,"mmm"))</f>
        <v>Feb</v>
      </c>
      <c r="AL425" s="2" t="n">
        <f aca="false">IF(ISBLANK(B425),"",YEAR(B425))</f>
        <v>2024</v>
      </c>
      <c r="AM425" s="2" t="s">
        <v>226</v>
      </c>
      <c r="AN425" s="2" t="str">
        <f aca="false">IF(OR(W425="Invalid",AJ425="Invalid",AH425="Inconsistent",Z425="Mismatch",AD425="Mismatch",AM425="Yes",D425="Yes",E425="Yes"),"Invalid",IF(OR(J425="Yes",Q425="Yes",U425="Yes"),"Warning","Clean"))</f>
        <v>Invalid</v>
      </c>
    </row>
    <row r="426" customFormat="false" ht="15" hidden="false" customHeight="false" outlineLevel="0" collapsed="false">
      <c r="A426" s="2" t="s">
        <v>1397</v>
      </c>
      <c r="B426" s="3" t="n">
        <v>45469</v>
      </c>
      <c r="C426" s="3" t="n">
        <v>45472</v>
      </c>
      <c r="D426" s="2" t="s">
        <v>41</v>
      </c>
      <c r="E426" s="2" t="s">
        <v>41</v>
      </c>
      <c r="F426" s="2" t="s">
        <v>1398</v>
      </c>
      <c r="G426" s="2" t="s">
        <v>99</v>
      </c>
      <c r="H426" s="2" t="s">
        <v>110</v>
      </c>
      <c r="I426" s="2" t="s">
        <v>45</v>
      </c>
      <c r="J426" s="2" t="s">
        <v>41</v>
      </c>
      <c r="K426" s="2" t="s">
        <v>142</v>
      </c>
      <c r="L426" s="2" t="s">
        <v>143</v>
      </c>
      <c r="M426" s="2" t="s">
        <v>94</v>
      </c>
      <c r="N426" s="2" t="s">
        <v>191</v>
      </c>
      <c r="O426" s="2" t="s">
        <v>1399</v>
      </c>
      <c r="P426" s="2" t="s">
        <v>79</v>
      </c>
      <c r="Q426" s="2" t="s">
        <v>41</v>
      </c>
      <c r="R426" s="2" t="n">
        <v>8</v>
      </c>
      <c r="S426" s="2" t="n">
        <v>804.52</v>
      </c>
      <c r="T426" s="2" t="n">
        <v>0</v>
      </c>
      <c r="U426" s="2" t="str">
        <f aca="false">IF(ISBLANK(T426),"Yes","No")</f>
        <v>No</v>
      </c>
      <c r="V426" s="2" t="n">
        <f aca="false">IF(ISBLANK(T426),0,IF(ISNUMBER(T426),T426,VALUE(LEFT(T426,LEN(T426)-1))/100))</f>
        <v>0</v>
      </c>
      <c r="W426" s="2" t="str">
        <f aca="false">IF(AND(V426&gt;=0,V426&lt;=0.25),"Valid","Invalid")</f>
        <v>Valid</v>
      </c>
      <c r="X426" s="2" t="n">
        <v>6436.16</v>
      </c>
      <c r="Y426" s="2" t="n">
        <f aca="false">R426*S426*(1-V426)</f>
        <v>6436.16</v>
      </c>
      <c r="Z426" s="2" t="str">
        <f aca="false">IF(ABS(X426-Y426)&gt;1,"Mismatch","OK")</f>
        <v>OK</v>
      </c>
      <c r="AA426" s="2" t="n">
        <v>4263.83</v>
      </c>
      <c r="AB426" s="2" t="n">
        <v>2172.33</v>
      </c>
      <c r="AC426" s="2" t="n">
        <f aca="false">Y426-AA426</f>
        <v>2172.33</v>
      </c>
      <c r="AD426" s="2" t="str">
        <f aca="false">IF(ABS(AB426-AC426)&gt;1,"Mismatch","OK")</f>
        <v>OK</v>
      </c>
      <c r="AE426" s="4" t="n">
        <f aca="false">IF(Y426=0,0,AC426/Y426)</f>
        <v>0.337519576890568</v>
      </c>
      <c r="AF426" s="2" t="s">
        <v>52</v>
      </c>
      <c r="AG426" s="2" t="s">
        <v>53</v>
      </c>
      <c r="AH426" s="2" t="str">
        <f aca="false">IF(AND(AG426="Completed",AF426&lt;&gt;"Paid"),"Inconsistent","OK")</f>
        <v>OK</v>
      </c>
      <c r="AI426" s="2" t="n">
        <f aca="false">IF(OR(ISBLANK(B426),ISBLANK(C426)),"",C426-B426)</f>
        <v>3</v>
      </c>
      <c r="AJ426" s="2" t="str">
        <f aca="false">IF(AI426="","Unknown",IF(AI426&lt;0,"Invalid","OK"))</f>
        <v>OK</v>
      </c>
      <c r="AK426" s="2" t="str">
        <f aca="false">IF(ISBLANK(B426),"",TEXT(B426,"mmm"))</f>
        <v>Jun</v>
      </c>
      <c r="AL426" s="2" t="n">
        <f aca="false">IF(ISBLANK(B426),"",YEAR(B426))</f>
        <v>2024</v>
      </c>
      <c r="AM426" s="2" t="s">
        <v>41</v>
      </c>
      <c r="AN426" s="2" t="str">
        <f aca="false">IF(OR(W426="Invalid",AJ426="Invalid",AH426="Inconsistent",Z426="Mismatch",AD426="Mismatch",AM426="Yes",D426="Yes",E426="Yes"),"Invalid",IF(OR(J426="Yes",Q426="Yes",U426="Yes"),"Warning","Clean"))</f>
        <v>Clean</v>
      </c>
    </row>
    <row r="427" customFormat="false" ht="15" hidden="false" customHeight="false" outlineLevel="0" collapsed="false">
      <c r="A427" s="2" t="s">
        <v>1400</v>
      </c>
      <c r="B427" s="3" t="n">
        <v>45561</v>
      </c>
      <c r="C427" s="3" t="n">
        <v>45562</v>
      </c>
      <c r="D427" s="2" t="s">
        <v>41</v>
      </c>
      <c r="E427" s="2" t="s">
        <v>41</v>
      </c>
      <c r="F427" s="2" t="s">
        <v>1401</v>
      </c>
      <c r="G427" s="2" t="s">
        <v>67</v>
      </c>
      <c r="H427" s="2" t="s">
        <v>115</v>
      </c>
      <c r="I427" s="2" t="s">
        <v>45</v>
      </c>
      <c r="J427" s="2" t="s">
        <v>41</v>
      </c>
      <c r="K427" s="2" t="s">
        <v>372</v>
      </c>
      <c r="L427" s="2" t="s">
        <v>373</v>
      </c>
      <c r="M427" s="2" t="s">
        <v>48</v>
      </c>
      <c r="N427" s="2" t="s">
        <v>111</v>
      </c>
      <c r="O427" s="2" t="s">
        <v>1402</v>
      </c>
      <c r="P427" s="2" t="s">
        <v>70</v>
      </c>
      <c r="Q427" s="2" t="s">
        <v>41</v>
      </c>
      <c r="R427" s="2" t="n">
        <v>2</v>
      </c>
      <c r="S427" s="2" t="n">
        <v>1065.69</v>
      </c>
      <c r="T427" s="2" t="n">
        <v>0.1</v>
      </c>
      <c r="U427" s="2" t="str">
        <f aca="false">IF(ISBLANK(T427),"Yes","No")</f>
        <v>No</v>
      </c>
      <c r="V427" s="2" t="n">
        <f aca="false">IF(ISBLANK(T427),0,IF(ISNUMBER(T427),T427,VALUE(LEFT(T427,LEN(T427)-1))/100))</f>
        <v>0.1</v>
      </c>
      <c r="W427" s="2" t="str">
        <f aca="false">IF(AND(V427&gt;=0,V427&lt;=0.25),"Valid","Invalid")</f>
        <v>Valid</v>
      </c>
      <c r="X427" s="2" t="n">
        <v>1918.24</v>
      </c>
      <c r="Y427" s="2" t="n">
        <f aca="false">R427*S427*(1-V427)</f>
        <v>1918.242</v>
      </c>
      <c r="Z427" s="2" t="str">
        <f aca="false">IF(ABS(X427-Y427)&gt;1,"Mismatch","OK")</f>
        <v>OK</v>
      </c>
      <c r="AA427" s="2" t="n">
        <v>1373.52</v>
      </c>
      <c r="AB427" s="2" t="n">
        <v>544.72</v>
      </c>
      <c r="AC427" s="2" t="n">
        <f aca="false">Y427-AA427</f>
        <v>544.722</v>
      </c>
      <c r="AD427" s="2" t="str">
        <f aca="false">IF(ABS(AB427-AC427)&gt;1,"Mismatch","OK")</f>
        <v>OK</v>
      </c>
      <c r="AE427" s="4" t="n">
        <f aca="false">IF(Y427=0,0,AC427/Y427)</f>
        <v>0.283969384467653</v>
      </c>
      <c r="AF427" s="2" t="s">
        <v>122</v>
      </c>
      <c r="AG427" s="2" t="s">
        <v>88</v>
      </c>
      <c r="AH427" s="2" t="str">
        <f aca="false">IF(AND(AG427="Completed",AF427&lt;&gt;"Paid"),"Inconsistent","OK")</f>
        <v>OK</v>
      </c>
      <c r="AI427" s="2" t="n">
        <f aca="false">IF(OR(ISBLANK(B427),ISBLANK(C427)),"",C427-B427)</f>
        <v>1</v>
      </c>
      <c r="AJ427" s="2" t="str">
        <f aca="false">IF(AI427="","Unknown",IF(AI427&lt;0,"Invalid","OK"))</f>
        <v>OK</v>
      </c>
      <c r="AK427" s="2" t="str">
        <f aca="false">IF(ISBLANK(B427),"",TEXT(B427,"mmm"))</f>
        <v>Sep</v>
      </c>
      <c r="AL427" s="2" t="n">
        <f aca="false">IF(ISBLANK(B427),"",YEAR(B427))</f>
        <v>2024</v>
      </c>
      <c r="AM427" s="2" t="s">
        <v>41</v>
      </c>
      <c r="AN427" s="2" t="str">
        <f aca="false">IF(OR(W427="Invalid",AJ427="Invalid",AH427="Inconsistent",Z427="Mismatch",AD427="Mismatch",AM427="Yes",D427="Yes",E427="Yes"),"Invalid",IF(OR(J427="Yes",Q427="Yes",U427="Yes"),"Warning","Clean"))</f>
        <v>Clean</v>
      </c>
    </row>
    <row r="428" customFormat="false" ht="15" hidden="false" customHeight="false" outlineLevel="0" collapsed="false">
      <c r="A428" s="2" t="s">
        <v>1403</v>
      </c>
      <c r="B428" s="3" t="n">
        <v>45473</v>
      </c>
      <c r="C428" s="3" t="n">
        <v>45474</v>
      </c>
      <c r="D428" s="2" t="s">
        <v>41</v>
      </c>
      <c r="E428" s="2" t="s">
        <v>41</v>
      </c>
      <c r="F428" s="2" t="s">
        <v>1404</v>
      </c>
      <c r="G428" s="2" t="s">
        <v>109</v>
      </c>
      <c r="H428" s="2" t="s">
        <v>44</v>
      </c>
      <c r="I428" s="2" t="s">
        <v>45</v>
      </c>
      <c r="J428" s="2" t="s">
        <v>41</v>
      </c>
      <c r="K428" s="2" t="s">
        <v>258</v>
      </c>
      <c r="L428" s="2" t="s">
        <v>259</v>
      </c>
      <c r="M428" s="2" t="s">
        <v>94</v>
      </c>
      <c r="N428" s="2" t="s">
        <v>100</v>
      </c>
      <c r="O428" s="2" t="s">
        <v>1405</v>
      </c>
      <c r="P428" s="2" t="s">
        <v>64</v>
      </c>
      <c r="Q428" s="2" t="s">
        <v>41</v>
      </c>
      <c r="R428" s="2" t="n">
        <v>8</v>
      </c>
      <c r="S428" s="2" t="n">
        <v>3756.66</v>
      </c>
      <c r="T428" s="2" t="n">
        <v>0.1</v>
      </c>
      <c r="U428" s="2" t="str">
        <f aca="false">IF(ISBLANK(T428),"Yes","No")</f>
        <v>No</v>
      </c>
      <c r="V428" s="2" t="n">
        <f aca="false">IF(ISBLANK(T428),0,IF(ISNUMBER(T428),T428,VALUE(LEFT(T428,LEN(T428)-1))/100))</f>
        <v>0.1</v>
      </c>
      <c r="W428" s="2" t="str">
        <f aca="false">IF(AND(V428&gt;=0,V428&lt;=0.25),"Valid","Invalid")</f>
        <v>Valid</v>
      </c>
      <c r="X428" s="2" t="n">
        <v>27047.95</v>
      </c>
      <c r="Y428" s="2" t="n">
        <f aca="false">R428*S428*(1-V428)</f>
        <v>27047.952</v>
      </c>
      <c r="Z428" s="2" t="str">
        <f aca="false">IF(ABS(X428-Y428)&gt;1,"Mismatch","OK")</f>
        <v>OK</v>
      </c>
      <c r="AA428" s="2" t="n">
        <v>18431.33</v>
      </c>
      <c r="AB428" s="2" t="n">
        <v>8616.62</v>
      </c>
      <c r="AC428" s="2" t="n">
        <f aca="false">Y428-AA428</f>
        <v>8616.622</v>
      </c>
      <c r="AD428" s="2" t="str">
        <f aca="false">IF(ABS(AB428-AC428)&gt;1,"Mismatch","OK")</f>
        <v>OK</v>
      </c>
      <c r="AE428" s="4" t="n">
        <f aca="false">IF(Y428=0,0,AC428/Y428)</f>
        <v>0.318568370721746</v>
      </c>
      <c r="AF428" s="2" t="s">
        <v>52</v>
      </c>
      <c r="AG428" s="2" t="s">
        <v>53</v>
      </c>
      <c r="AH428" s="2" t="str">
        <f aca="false">IF(AND(AG428="Completed",AF428&lt;&gt;"Paid"),"Inconsistent","OK")</f>
        <v>OK</v>
      </c>
      <c r="AI428" s="2" t="n">
        <f aca="false">IF(OR(ISBLANK(B428),ISBLANK(C428)),"",C428-B428)</f>
        <v>1</v>
      </c>
      <c r="AJ428" s="2" t="str">
        <f aca="false">IF(AI428="","Unknown",IF(AI428&lt;0,"Invalid","OK"))</f>
        <v>OK</v>
      </c>
      <c r="AK428" s="2" t="str">
        <f aca="false">IF(ISBLANK(B428),"",TEXT(B428,"mmm"))</f>
        <v>Jun</v>
      </c>
      <c r="AL428" s="2" t="n">
        <f aca="false">IF(ISBLANK(B428),"",YEAR(B428))</f>
        <v>2024</v>
      </c>
      <c r="AM428" s="2" t="s">
        <v>41</v>
      </c>
      <c r="AN428" s="2" t="str">
        <f aca="false">IF(OR(W428="Invalid",AJ428="Invalid",AH428="Inconsistent",Z428="Mismatch",AD428="Mismatch",AM428="Yes",D428="Yes",E428="Yes"),"Invalid",IF(OR(J428="Yes",Q428="Yes",U428="Yes"),"Warning","Clean"))</f>
        <v>Clean</v>
      </c>
    </row>
    <row r="429" customFormat="false" ht="15" hidden="false" customHeight="false" outlineLevel="0" collapsed="false">
      <c r="A429" s="2" t="s">
        <v>1406</v>
      </c>
      <c r="B429" s="3" t="n">
        <v>45769</v>
      </c>
      <c r="C429" s="3" t="n">
        <v>45771</v>
      </c>
      <c r="D429" s="2" t="s">
        <v>41</v>
      </c>
      <c r="E429" s="2" t="s">
        <v>41</v>
      </c>
      <c r="F429" s="2" t="s">
        <v>1407</v>
      </c>
      <c r="G429" s="2" t="s">
        <v>67</v>
      </c>
      <c r="H429" s="2" t="s">
        <v>110</v>
      </c>
      <c r="I429" s="2" t="s">
        <v>225</v>
      </c>
      <c r="J429" s="2" t="s">
        <v>226</v>
      </c>
      <c r="K429" s="2" t="s">
        <v>250</v>
      </c>
      <c r="L429" s="2" t="s">
        <v>251</v>
      </c>
      <c r="M429" s="2" t="s">
        <v>94</v>
      </c>
      <c r="N429" s="2" t="s">
        <v>95</v>
      </c>
      <c r="O429" s="2" t="s">
        <v>1408</v>
      </c>
      <c r="P429" s="2" t="s">
        <v>79</v>
      </c>
      <c r="Q429" s="2" t="s">
        <v>41</v>
      </c>
      <c r="R429" s="2" t="n">
        <v>9</v>
      </c>
      <c r="S429" s="2" t="n">
        <v>2939.44</v>
      </c>
      <c r="T429" s="2" t="n">
        <v>0</v>
      </c>
      <c r="U429" s="2" t="str">
        <f aca="false">IF(ISBLANK(T429),"Yes","No")</f>
        <v>No</v>
      </c>
      <c r="V429" s="2" t="n">
        <f aca="false">IF(ISBLANK(T429),0,IF(ISNUMBER(T429),T429,VALUE(LEFT(T429,LEN(T429)-1))/100))</f>
        <v>0</v>
      </c>
      <c r="W429" s="2" t="str">
        <f aca="false">IF(AND(V429&gt;=0,V429&lt;=0.25),"Valid","Invalid")</f>
        <v>Valid</v>
      </c>
      <c r="X429" s="2" t="n">
        <v>26454.96</v>
      </c>
      <c r="Y429" s="2" t="n">
        <f aca="false">R429*S429*(1-V429)</f>
        <v>26454.96</v>
      </c>
      <c r="Z429" s="2" t="str">
        <f aca="false">IF(ABS(X429-Y429)&gt;1,"Mismatch","OK")</f>
        <v>OK</v>
      </c>
      <c r="AA429" s="2" t="n">
        <v>17630.25</v>
      </c>
      <c r="AB429" s="2" t="n">
        <v>8824.71</v>
      </c>
      <c r="AC429" s="2" t="n">
        <f aca="false">Y429-AA429</f>
        <v>8824.71</v>
      </c>
      <c r="AD429" s="2" t="str">
        <f aca="false">IF(ABS(AB429-AC429)&gt;1,"Mismatch","OK")</f>
        <v>OK</v>
      </c>
      <c r="AE429" s="4" t="n">
        <f aca="false">IF(Y429=0,0,AC429/Y429)</f>
        <v>0.333574875940088</v>
      </c>
      <c r="AF429" s="2" t="s">
        <v>52</v>
      </c>
      <c r="AG429" s="2" t="s">
        <v>53</v>
      </c>
      <c r="AH429" s="2" t="str">
        <f aca="false">IF(AND(AG429="Completed",AF429&lt;&gt;"Paid"),"Inconsistent","OK")</f>
        <v>OK</v>
      </c>
      <c r="AI429" s="2" t="n">
        <f aca="false">IF(OR(ISBLANK(B429),ISBLANK(C429)),"",C429-B429)</f>
        <v>2</v>
      </c>
      <c r="AJ429" s="2" t="str">
        <f aca="false">IF(AI429="","Unknown",IF(AI429&lt;0,"Invalid","OK"))</f>
        <v>OK</v>
      </c>
      <c r="AK429" s="2" t="str">
        <f aca="false">IF(ISBLANK(B429),"",TEXT(B429,"mmm"))</f>
        <v>Apr</v>
      </c>
      <c r="AL429" s="2" t="n">
        <f aca="false">IF(ISBLANK(B429),"",YEAR(B429))</f>
        <v>2025</v>
      </c>
      <c r="AM429" s="2" t="s">
        <v>41</v>
      </c>
      <c r="AN429" s="2" t="str">
        <f aca="false">IF(OR(W429="Invalid",AJ429="Invalid",AH429="Inconsistent",Z429="Mismatch",AD429="Mismatch",AM429="Yes",D429="Yes",E429="Yes"),"Invalid",IF(OR(J429="Yes",Q429="Yes",U429="Yes"),"Warning","Clean"))</f>
        <v>Warning</v>
      </c>
    </row>
    <row r="430" customFormat="false" ht="15" hidden="false" customHeight="false" outlineLevel="0" collapsed="false">
      <c r="A430" s="2" t="s">
        <v>1409</v>
      </c>
      <c r="B430" s="3" t="n">
        <v>45731</v>
      </c>
      <c r="C430" s="3" t="n">
        <v>45738</v>
      </c>
      <c r="D430" s="2" t="s">
        <v>41</v>
      </c>
      <c r="E430" s="2" t="s">
        <v>41</v>
      </c>
      <c r="F430" s="2" t="s">
        <v>1410</v>
      </c>
      <c r="G430" s="2" t="s">
        <v>43</v>
      </c>
      <c r="H430" s="2" t="s">
        <v>57</v>
      </c>
      <c r="I430" s="2" t="s">
        <v>58</v>
      </c>
      <c r="J430" s="2" t="s">
        <v>41</v>
      </c>
      <c r="K430" s="2" t="s">
        <v>119</v>
      </c>
      <c r="L430" s="2" t="s">
        <v>120</v>
      </c>
      <c r="M430" s="2" t="s">
        <v>94</v>
      </c>
      <c r="N430" s="2" t="s">
        <v>191</v>
      </c>
      <c r="O430" s="2" t="s">
        <v>1411</v>
      </c>
      <c r="P430" s="2" t="s">
        <v>64</v>
      </c>
      <c r="Q430" s="2" t="s">
        <v>41</v>
      </c>
      <c r="R430" s="2" t="n">
        <v>2</v>
      </c>
      <c r="S430" s="2" t="n">
        <v>1235.93</v>
      </c>
      <c r="T430" s="2" t="n">
        <v>0.25</v>
      </c>
      <c r="U430" s="2" t="str">
        <f aca="false">IF(ISBLANK(T430),"Yes","No")</f>
        <v>No</v>
      </c>
      <c r="V430" s="2" t="n">
        <f aca="false">IF(ISBLANK(T430),0,IF(ISNUMBER(T430),T430,VALUE(LEFT(T430,LEN(T430)-1))/100))</f>
        <v>0.25</v>
      </c>
      <c r="W430" s="2" t="str">
        <f aca="false">IF(AND(V430&gt;=0,V430&lt;=0.25),"Valid","Invalid")</f>
        <v>Valid</v>
      </c>
      <c r="X430" s="2" t="n">
        <v>1853.89</v>
      </c>
      <c r="Y430" s="2" t="n">
        <f aca="false">R430*S430*(1-V430)</f>
        <v>1853.895</v>
      </c>
      <c r="Z430" s="2" t="str">
        <f aca="false">IF(ABS(X430-Y430)&gt;1,"Mismatch","OK")</f>
        <v>OK</v>
      </c>
      <c r="AA430" s="2" t="n">
        <v>1101.23</v>
      </c>
      <c r="AB430" s="2" t="n">
        <v>752.66</v>
      </c>
      <c r="AC430" s="2" t="n">
        <f aca="false">Y430-AA430</f>
        <v>752.665</v>
      </c>
      <c r="AD430" s="2" t="str">
        <f aca="false">IF(ABS(AB430-AC430)&gt;1,"Mismatch","OK")</f>
        <v>OK</v>
      </c>
      <c r="AE430" s="4" t="n">
        <f aca="false">IF(Y430=0,0,AC430/Y430)</f>
        <v>0.405991169942203</v>
      </c>
      <c r="AF430" s="2" t="s">
        <v>131</v>
      </c>
      <c r="AG430" s="2" t="s">
        <v>88</v>
      </c>
      <c r="AH430" s="2" t="str">
        <f aca="false">IF(AND(AG430="Completed",AF430&lt;&gt;"Paid"),"Inconsistent","OK")</f>
        <v>OK</v>
      </c>
      <c r="AI430" s="2" t="n">
        <f aca="false">IF(OR(ISBLANK(B430),ISBLANK(C430)),"",C430-B430)</f>
        <v>7</v>
      </c>
      <c r="AJ430" s="2" t="str">
        <f aca="false">IF(AI430="","Unknown",IF(AI430&lt;0,"Invalid","OK"))</f>
        <v>OK</v>
      </c>
      <c r="AK430" s="2" t="str">
        <f aca="false">IF(ISBLANK(B430),"",TEXT(B430,"mmm"))</f>
        <v>Mar</v>
      </c>
      <c r="AL430" s="2" t="n">
        <f aca="false">IF(ISBLANK(B430),"",YEAR(B430))</f>
        <v>2025</v>
      </c>
      <c r="AM430" s="2" t="s">
        <v>41</v>
      </c>
      <c r="AN430" s="2" t="str">
        <f aca="false">IF(OR(W430="Invalid",AJ430="Invalid",AH430="Inconsistent",Z430="Mismatch",AD430="Mismatch",AM430="Yes",D430="Yes",E430="Yes"),"Invalid",IF(OR(J430="Yes",Q430="Yes",U430="Yes"),"Warning","Clean"))</f>
        <v>Clean</v>
      </c>
    </row>
    <row r="431" customFormat="false" ht="15" hidden="false" customHeight="false" outlineLevel="0" collapsed="false">
      <c r="A431" s="2" t="s">
        <v>1412</v>
      </c>
      <c r="B431" s="3" t="n">
        <v>45717</v>
      </c>
      <c r="C431" s="3" t="n">
        <v>45724</v>
      </c>
      <c r="D431" s="2" t="s">
        <v>41</v>
      </c>
      <c r="E431" s="2" t="s">
        <v>41</v>
      </c>
      <c r="F431" s="2" t="s">
        <v>1413</v>
      </c>
      <c r="G431" s="2" t="s">
        <v>99</v>
      </c>
      <c r="H431" s="2" t="s">
        <v>115</v>
      </c>
      <c r="I431" s="2" t="s">
        <v>45</v>
      </c>
      <c r="J431" s="2" t="s">
        <v>41</v>
      </c>
      <c r="K431" s="2" t="s">
        <v>46</v>
      </c>
      <c r="L431" s="2" t="s">
        <v>47</v>
      </c>
      <c r="M431" s="2" t="s">
        <v>94</v>
      </c>
      <c r="N431" s="2" t="s">
        <v>100</v>
      </c>
      <c r="O431" s="2" t="s">
        <v>1414</v>
      </c>
      <c r="P431" s="2" t="s">
        <v>64</v>
      </c>
      <c r="Q431" s="2" t="s">
        <v>41</v>
      </c>
      <c r="R431" s="2" t="n">
        <v>8</v>
      </c>
      <c r="S431" s="2" t="n">
        <v>2943.1</v>
      </c>
      <c r="T431" s="2" t="n">
        <v>0.25</v>
      </c>
      <c r="U431" s="2" t="str">
        <f aca="false">IF(ISBLANK(T431),"Yes","No")</f>
        <v>No</v>
      </c>
      <c r="V431" s="2" t="n">
        <f aca="false">IF(ISBLANK(T431),0,IF(ISNUMBER(T431),T431,VALUE(LEFT(T431,LEN(T431)-1))/100))</f>
        <v>0.25</v>
      </c>
      <c r="W431" s="2" t="str">
        <f aca="false">IF(AND(V431&gt;=0,V431&lt;=0.25),"Valid","Invalid")</f>
        <v>Valid</v>
      </c>
      <c r="X431" s="2" t="n">
        <v>17658.6</v>
      </c>
      <c r="Y431" s="2" t="n">
        <f aca="false">R431*S431*(1-V431)</f>
        <v>17658.6</v>
      </c>
      <c r="Z431" s="2" t="str">
        <f aca="false">IF(ABS(X431-Y431)&gt;1,"Mismatch","OK")</f>
        <v>OK</v>
      </c>
      <c r="AA431" s="2" t="n">
        <v>13842.48</v>
      </c>
      <c r="AB431" s="2" t="n">
        <v>3816.12</v>
      </c>
      <c r="AC431" s="2" t="n">
        <f aca="false">Y431-AA431</f>
        <v>3816.12</v>
      </c>
      <c r="AD431" s="2" t="str">
        <f aca="false">IF(ABS(AB431-AC431)&gt;1,"Mismatch","OK")</f>
        <v>OK</v>
      </c>
      <c r="AE431" s="4" t="n">
        <f aca="false">IF(Y431=0,0,AC431/Y431)</f>
        <v>0.216105467024566</v>
      </c>
      <c r="AF431" s="2" t="s">
        <v>52</v>
      </c>
      <c r="AG431" s="2" t="s">
        <v>53</v>
      </c>
      <c r="AH431" s="2" t="str">
        <f aca="false">IF(AND(AG431="Completed",AF431&lt;&gt;"Paid"),"Inconsistent","OK")</f>
        <v>OK</v>
      </c>
      <c r="AI431" s="2" t="n">
        <f aca="false">IF(OR(ISBLANK(B431),ISBLANK(C431)),"",C431-B431)</f>
        <v>7</v>
      </c>
      <c r="AJ431" s="2" t="str">
        <f aca="false">IF(AI431="","Unknown",IF(AI431&lt;0,"Invalid","OK"))</f>
        <v>OK</v>
      </c>
      <c r="AK431" s="2" t="str">
        <f aca="false">IF(ISBLANK(B431),"",TEXT(B431,"mmm"))</f>
        <v>Mar</v>
      </c>
      <c r="AL431" s="2" t="n">
        <f aca="false">IF(ISBLANK(B431),"",YEAR(B431))</f>
        <v>2025</v>
      </c>
      <c r="AM431" s="2" t="s">
        <v>41</v>
      </c>
      <c r="AN431" s="2" t="str">
        <f aca="false">IF(OR(W431="Invalid",AJ431="Invalid",AH431="Inconsistent",Z431="Mismatch",AD431="Mismatch",AM431="Yes",D431="Yes",E431="Yes"),"Invalid",IF(OR(J431="Yes",Q431="Yes",U431="Yes"),"Warning","Clean"))</f>
        <v>Clean</v>
      </c>
    </row>
    <row r="432" customFormat="false" ht="15" hidden="false" customHeight="false" outlineLevel="0" collapsed="false">
      <c r="A432" s="2" t="s">
        <v>1415</v>
      </c>
      <c r="B432" s="3" t="n">
        <v>45534</v>
      </c>
      <c r="C432" s="3" t="n">
        <v>45537</v>
      </c>
      <c r="D432" s="2" t="s">
        <v>41</v>
      </c>
      <c r="E432" s="2" t="s">
        <v>41</v>
      </c>
      <c r="F432" s="2" t="s">
        <v>1416</v>
      </c>
      <c r="G432" s="2" t="s">
        <v>99</v>
      </c>
      <c r="H432" s="2" t="s">
        <v>57</v>
      </c>
      <c r="I432" s="2" t="s">
        <v>45</v>
      </c>
      <c r="J432" s="2" t="s">
        <v>41</v>
      </c>
      <c r="K432" s="2" t="s">
        <v>258</v>
      </c>
      <c r="L432" s="2" t="s">
        <v>259</v>
      </c>
      <c r="M432" s="2" t="s">
        <v>48</v>
      </c>
      <c r="N432" s="2" t="s">
        <v>49</v>
      </c>
      <c r="O432" s="2" t="s">
        <v>1417</v>
      </c>
      <c r="P432" s="2" t="s">
        <v>51</v>
      </c>
      <c r="Q432" s="2" t="s">
        <v>41</v>
      </c>
      <c r="R432" s="2" t="n">
        <v>1</v>
      </c>
      <c r="S432" s="2" t="n">
        <v>4320.84</v>
      </c>
      <c r="T432" s="2" t="n">
        <v>0.15</v>
      </c>
      <c r="U432" s="2" t="str">
        <f aca="false">IF(ISBLANK(T432),"Yes","No")</f>
        <v>No</v>
      </c>
      <c r="V432" s="2" t="n">
        <f aca="false">IF(ISBLANK(T432),0,IF(ISNUMBER(T432),T432,VALUE(LEFT(T432,LEN(T432)-1))/100))</f>
        <v>0.15</v>
      </c>
      <c r="W432" s="2" t="str">
        <f aca="false">IF(AND(V432&gt;=0,V432&lt;=0.25),"Valid","Invalid")</f>
        <v>Valid</v>
      </c>
      <c r="X432" s="2" t="n">
        <v>3672.71</v>
      </c>
      <c r="Y432" s="2" t="n">
        <f aca="false">R432*S432*(1-V432)</f>
        <v>3672.714</v>
      </c>
      <c r="Z432" s="2" t="str">
        <f aca="false">IF(ABS(X432-Y432)&gt;1,"Mismatch","OK")</f>
        <v>OK</v>
      </c>
      <c r="AA432" s="2" t="n">
        <v>2714.23</v>
      </c>
      <c r="AB432" s="2" t="n">
        <v>763.38</v>
      </c>
      <c r="AC432" s="2" t="n">
        <f aca="false">Y432-AA432</f>
        <v>958.484</v>
      </c>
      <c r="AD432" s="2" t="str">
        <f aca="false">IF(ABS(AB432-AC432)&gt;1,"Mismatch","OK")</f>
        <v>Mismatch</v>
      </c>
      <c r="AE432" s="4" t="n">
        <f aca="false">IF(Y432=0,0,AC432/Y432)</f>
        <v>0.260974309461613</v>
      </c>
      <c r="AF432" s="2" t="s">
        <v>52</v>
      </c>
      <c r="AG432" s="2" t="s">
        <v>53</v>
      </c>
      <c r="AH432" s="2" t="str">
        <f aca="false">IF(AND(AG432="Completed",AF432&lt;&gt;"Paid"),"Inconsistent","OK")</f>
        <v>OK</v>
      </c>
      <c r="AI432" s="2" t="n">
        <f aca="false">IF(OR(ISBLANK(B432),ISBLANK(C432)),"",C432-B432)</f>
        <v>3</v>
      </c>
      <c r="AJ432" s="2" t="str">
        <f aca="false">IF(AI432="","Unknown",IF(AI432&lt;0,"Invalid","OK"))</f>
        <v>OK</v>
      </c>
      <c r="AK432" s="2" t="str">
        <f aca="false">IF(ISBLANK(B432),"",TEXT(B432,"mmm"))</f>
        <v>Aug</v>
      </c>
      <c r="AL432" s="2" t="n">
        <f aca="false">IF(ISBLANK(B432),"",YEAR(B432))</f>
        <v>2024</v>
      </c>
      <c r="AM432" s="2" t="s">
        <v>41</v>
      </c>
      <c r="AN432" s="2" t="str">
        <f aca="false">IF(OR(W432="Invalid",AJ432="Invalid",AH432="Inconsistent",Z432="Mismatch",AD432="Mismatch",AM432="Yes",D432="Yes",E432="Yes"),"Invalid",IF(OR(J432="Yes",Q432="Yes",U432="Yes"),"Warning","Clean"))</f>
        <v>Invalid</v>
      </c>
    </row>
    <row r="433" customFormat="false" ht="15" hidden="false" customHeight="false" outlineLevel="0" collapsed="false">
      <c r="A433" s="2" t="s">
        <v>1418</v>
      </c>
      <c r="B433" s="3" t="n">
        <v>45332</v>
      </c>
      <c r="C433" s="3" t="n">
        <v>45335</v>
      </c>
      <c r="D433" s="2" t="s">
        <v>41</v>
      </c>
      <c r="E433" s="2" t="s">
        <v>41</v>
      </c>
      <c r="F433" s="2" t="s">
        <v>1419</v>
      </c>
      <c r="G433" s="2" t="s">
        <v>43</v>
      </c>
      <c r="H433" s="2" t="s">
        <v>115</v>
      </c>
      <c r="I433" s="2" t="s">
        <v>83</v>
      </c>
      <c r="J433" s="2" t="s">
        <v>41</v>
      </c>
      <c r="K433" s="2" t="s">
        <v>210</v>
      </c>
      <c r="L433" s="2" t="s">
        <v>211</v>
      </c>
      <c r="M433" s="2" t="s">
        <v>94</v>
      </c>
      <c r="N433" s="2" t="s">
        <v>296</v>
      </c>
      <c r="O433" s="2" t="s">
        <v>1420</v>
      </c>
      <c r="P433" s="2" t="s">
        <v>64</v>
      </c>
      <c r="Q433" s="2" t="s">
        <v>41</v>
      </c>
      <c r="R433" s="2" t="n">
        <v>2</v>
      </c>
      <c r="S433" s="2" t="n">
        <v>4118.45</v>
      </c>
      <c r="T433" s="2" t="n">
        <v>0.25</v>
      </c>
      <c r="U433" s="2" t="str">
        <f aca="false">IF(ISBLANK(T433),"Yes","No")</f>
        <v>No</v>
      </c>
      <c r="V433" s="2" t="n">
        <f aca="false">IF(ISBLANK(T433),0,IF(ISNUMBER(T433),T433,VALUE(LEFT(T433,LEN(T433)-1))/100))</f>
        <v>0.25</v>
      </c>
      <c r="W433" s="2" t="str">
        <f aca="false">IF(AND(V433&gt;=0,V433&lt;=0.25),"Valid","Invalid")</f>
        <v>Valid</v>
      </c>
      <c r="X433" s="2" t="n">
        <v>6177.67</v>
      </c>
      <c r="Y433" s="2" t="n">
        <f aca="false">R433*S433*(1-V433)</f>
        <v>6177.675</v>
      </c>
      <c r="Z433" s="2" t="str">
        <f aca="false">IF(ABS(X433-Y433)&gt;1,"Mismatch","OK")</f>
        <v>OK</v>
      </c>
      <c r="AA433" s="2" t="n">
        <v>4520.75</v>
      </c>
      <c r="AB433" s="2" t="n">
        <v>1656.92</v>
      </c>
      <c r="AC433" s="2" t="n">
        <f aca="false">Y433-AA433</f>
        <v>1656.925</v>
      </c>
      <c r="AD433" s="2" t="str">
        <f aca="false">IF(ABS(AB433-AC433)&gt;1,"Mismatch","OK")</f>
        <v>OK</v>
      </c>
      <c r="AE433" s="4" t="n">
        <f aca="false">IF(Y433=0,0,AC433/Y433)</f>
        <v>0.268211746328513</v>
      </c>
      <c r="AF433" s="2" t="s">
        <v>52</v>
      </c>
      <c r="AG433" s="2" t="s">
        <v>53</v>
      </c>
      <c r="AH433" s="2" t="str">
        <f aca="false">IF(AND(AG433="Completed",AF433&lt;&gt;"Paid"),"Inconsistent","OK")</f>
        <v>OK</v>
      </c>
      <c r="AI433" s="2" t="n">
        <f aca="false">IF(OR(ISBLANK(B433),ISBLANK(C433)),"",C433-B433)</f>
        <v>3</v>
      </c>
      <c r="AJ433" s="2" t="str">
        <f aca="false">IF(AI433="","Unknown",IF(AI433&lt;0,"Invalid","OK"))</f>
        <v>OK</v>
      </c>
      <c r="AK433" s="2" t="str">
        <f aca="false">IF(ISBLANK(B433),"",TEXT(B433,"mmm"))</f>
        <v>Feb</v>
      </c>
      <c r="AL433" s="2" t="n">
        <f aca="false">IF(ISBLANK(B433),"",YEAR(B433))</f>
        <v>2024</v>
      </c>
      <c r="AM433" s="2" t="s">
        <v>41</v>
      </c>
      <c r="AN433" s="2" t="str">
        <f aca="false">IF(OR(W433="Invalid",AJ433="Invalid",AH433="Inconsistent",Z433="Mismatch",AD433="Mismatch",AM433="Yes",D433="Yes",E433="Yes"),"Invalid",IF(OR(J433="Yes",Q433="Yes",U433="Yes"),"Warning","Clean"))</f>
        <v>Clean</v>
      </c>
    </row>
    <row r="434" customFormat="false" ht="15" hidden="false" customHeight="false" outlineLevel="0" collapsed="false">
      <c r="A434" s="2" t="s">
        <v>1421</v>
      </c>
      <c r="B434" s="3" t="n">
        <v>45533</v>
      </c>
      <c r="C434" s="3" t="n">
        <v>45537</v>
      </c>
      <c r="D434" s="2" t="s">
        <v>41</v>
      </c>
      <c r="E434" s="2" t="s">
        <v>41</v>
      </c>
      <c r="F434" s="2" t="s">
        <v>1422</v>
      </c>
      <c r="G434" s="2" t="s">
        <v>134</v>
      </c>
      <c r="H434" s="2" t="s">
        <v>57</v>
      </c>
      <c r="I434" s="2" t="s">
        <v>83</v>
      </c>
      <c r="J434" s="2" t="s">
        <v>41</v>
      </c>
      <c r="K434" s="2" t="s">
        <v>84</v>
      </c>
      <c r="L434" s="2" t="s">
        <v>85</v>
      </c>
      <c r="M434" s="2" t="s">
        <v>61</v>
      </c>
      <c r="N434" s="2" t="s">
        <v>178</v>
      </c>
      <c r="O434" s="2" t="s">
        <v>1423</v>
      </c>
      <c r="P434" s="2" t="s">
        <v>79</v>
      </c>
      <c r="Q434" s="2" t="s">
        <v>41</v>
      </c>
      <c r="R434" s="2" t="n">
        <v>6</v>
      </c>
      <c r="S434" s="2" t="n">
        <v>172.82</v>
      </c>
      <c r="T434" s="2" t="n">
        <v>0.05</v>
      </c>
      <c r="U434" s="2" t="str">
        <f aca="false">IF(ISBLANK(T434),"Yes","No")</f>
        <v>No</v>
      </c>
      <c r="V434" s="2" t="n">
        <f aca="false">IF(ISBLANK(T434),0,IF(ISNUMBER(T434),T434,VALUE(LEFT(T434,LEN(T434)-1))/100))</f>
        <v>0.05</v>
      </c>
      <c r="W434" s="2" t="str">
        <f aca="false">IF(AND(V434&gt;=0,V434&lt;=0.25),"Valid","Invalid")</f>
        <v>Valid</v>
      </c>
      <c r="X434" s="2" t="n">
        <v>985.07</v>
      </c>
      <c r="Y434" s="2" t="n">
        <f aca="false">R434*S434*(1-V434)</f>
        <v>985.074</v>
      </c>
      <c r="Z434" s="2" t="str">
        <f aca="false">IF(ABS(X434-Y434)&gt;1,"Mismatch","OK")</f>
        <v>OK</v>
      </c>
      <c r="AA434" s="2" t="n">
        <v>844.48</v>
      </c>
      <c r="AB434" s="2" t="n">
        <v>140.59</v>
      </c>
      <c r="AC434" s="2" t="n">
        <f aca="false">Y434-AA434</f>
        <v>140.594</v>
      </c>
      <c r="AD434" s="2" t="str">
        <f aca="false">IF(ABS(AB434-AC434)&gt;1,"Mismatch","OK")</f>
        <v>OK</v>
      </c>
      <c r="AE434" s="4" t="n">
        <f aca="false">IF(Y434=0,0,AC434/Y434)</f>
        <v>0.142724302945769</v>
      </c>
      <c r="AF434" s="2" t="s">
        <v>52</v>
      </c>
      <c r="AG434" s="2" t="s">
        <v>53</v>
      </c>
      <c r="AH434" s="2" t="str">
        <f aca="false">IF(AND(AG434="Completed",AF434&lt;&gt;"Paid"),"Inconsistent","OK")</f>
        <v>OK</v>
      </c>
      <c r="AI434" s="2" t="n">
        <f aca="false">IF(OR(ISBLANK(B434),ISBLANK(C434)),"",C434-B434)</f>
        <v>4</v>
      </c>
      <c r="AJ434" s="2" t="str">
        <f aca="false">IF(AI434="","Unknown",IF(AI434&lt;0,"Invalid","OK"))</f>
        <v>OK</v>
      </c>
      <c r="AK434" s="2" t="str">
        <f aca="false">IF(ISBLANK(B434),"",TEXT(B434,"mmm"))</f>
        <v>Aug</v>
      </c>
      <c r="AL434" s="2" t="n">
        <f aca="false">IF(ISBLANK(B434),"",YEAR(B434))</f>
        <v>2024</v>
      </c>
      <c r="AM434" s="2" t="s">
        <v>41</v>
      </c>
      <c r="AN434" s="2" t="str">
        <f aca="false">IF(OR(W434="Invalid",AJ434="Invalid",AH434="Inconsistent",Z434="Mismatch",AD434="Mismatch",AM434="Yes",D434="Yes",E434="Yes"),"Invalid",IF(OR(J434="Yes",Q434="Yes",U434="Yes"),"Warning","Clean"))</f>
        <v>Clean</v>
      </c>
    </row>
    <row r="435" customFormat="false" ht="15" hidden="false" customHeight="false" outlineLevel="0" collapsed="false">
      <c r="A435" s="2" t="s">
        <v>1424</v>
      </c>
      <c r="B435" s="3" t="n">
        <v>45401</v>
      </c>
      <c r="C435" s="3" t="n">
        <v>45402</v>
      </c>
      <c r="D435" s="2" t="s">
        <v>41</v>
      </c>
      <c r="E435" s="2" t="s">
        <v>41</v>
      </c>
      <c r="F435" s="2" t="s">
        <v>1425</v>
      </c>
      <c r="G435" s="2" t="s">
        <v>134</v>
      </c>
      <c r="H435" s="2" t="s">
        <v>110</v>
      </c>
      <c r="I435" s="2" t="s">
        <v>74</v>
      </c>
      <c r="J435" s="2" t="s">
        <v>41</v>
      </c>
      <c r="K435" s="2" t="s">
        <v>205</v>
      </c>
      <c r="L435" s="2" t="s">
        <v>206</v>
      </c>
      <c r="M435" s="2" t="s">
        <v>48</v>
      </c>
      <c r="N435" s="2" t="s">
        <v>68</v>
      </c>
      <c r="O435" s="2" t="s">
        <v>1426</v>
      </c>
      <c r="P435" s="2" t="s">
        <v>51</v>
      </c>
      <c r="Q435" s="2" t="s">
        <v>41</v>
      </c>
      <c r="R435" s="2" t="n">
        <v>4</v>
      </c>
      <c r="S435" s="2" t="n">
        <v>1540.22</v>
      </c>
      <c r="T435" s="2" t="n">
        <v>0</v>
      </c>
      <c r="U435" s="2" t="str">
        <f aca="false">IF(ISBLANK(T435),"Yes","No")</f>
        <v>No</v>
      </c>
      <c r="V435" s="2" t="n">
        <f aca="false">IF(ISBLANK(T435),0,IF(ISNUMBER(T435),T435,VALUE(LEFT(T435,LEN(T435)-1))/100))</f>
        <v>0</v>
      </c>
      <c r="W435" s="2" t="str">
        <f aca="false">IF(AND(V435&gt;=0,V435&lt;=0.25),"Valid","Invalid")</f>
        <v>Valid</v>
      </c>
      <c r="X435" s="2" t="n">
        <v>6160.88</v>
      </c>
      <c r="Y435" s="2" t="n">
        <f aca="false">R435*S435*(1-V435)</f>
        <v>6160.88</v>
      </c>
      <c r="Z435" s="2" t="str">
        <f aca="false">IF(ABS(X435-Y435)&gt;1,"Mismatch","OK")</f>
        <v>OK</v>
      </c>
      <c r="AA435" s="2" t="n">
        <v>4938.7</v>
      </c>
      <c r="AB435" s="2" t="n">
        <v>1222.18</v>
      </c>
      <c r="AC435" s="2" t="n">
        <f aca="false">Y435-AA435</f>
        <v>1222.18</v>
      </c>
      <c r="AD435" s="2" t="str">
        <f aca="false">IF(ABS(AB435-AC435)&gt;1,"Mismatch","OK")</f>
        <v>OK</v>
      </c>
      <c r="AE435" s="4" t="n">
        <f aca="false">IF(Y435=0,0,AC435/Y435)</f>
        <v>0.198377504512342</v>
      </c>
      <c r="AF435" s="2" t="s">
        <v>122</v>
      </c>
      <c r="AG435" s="2" t="s">
        <v>123</v>
      </c>
      <c r="AH435" s="2" t="str">
        <f aca="false">IF(AND(AG435="Completed",AF435&lt;&gt;"Paid"),"Inconsistent","OK")</f>
        <v>OK</v>
      </c>
      <c r="AI435" s="2" t="n">
        <f aca="false">IF(OR(ISBLANK(B435),ISBLANK(C435)),"",C435-B435)</f>
        <v>1</v>
      </c>
      <c r="AJ435" s="2" t="str">
        <f aca="false">IF(AI435="","Unknown",IF(AI435&lt;0,"Invalid","OK"))</f>
        <v>OK</v>
      </c>
      <c r="AK435" s="2" t="str">
        <f aca="false">IF(ISBLANK(B435),"",TEXT(B435,"mmm"))</f>
        <v>Apr</v>
      </c>
      <c r="AL435" s="2" t="n">
        <f aca="false">IF(ISBLANK(B435),"",YEAR(B435))</f>
        <v>2024</v>
      </c>
      <c r="AM435" s="2" t="s">
        <v>41</v>
      </c>
      <c r="AN435" s="2" t="str">
        <f aca="false">IF(OR(W435="Invalid",AJ435="Invalid",AH435="Inconsistent",Z435="Mismatch",AD435="Mismatch",AM435="Yes",D435="Yes",E435="Yes"),"Invalid",IF(OR(J435="Yes",Q435="Yes",U435="Yes"),"Warning","Clean"))</f>
        <v>Clean</v>
      </c>
    </row>
    <row r="436" customFormat="false" ht="15" hidden="false" customHeight="false" outlineLevel="0" collapsed="false">
      <c r="A436" s="2" t="s">
        <v>1427</v>
      </c>
      <c r="B436" s="3" t="n">
        <v>45758</v>
      </c>
      <c r="C436" s="3" t="n">
        <v>45762</v>
      </c>
      <c r="D436" s="2" t="s">
        <v>41</v>
      </c>
      <c r="E436" s="2" t="s">
        <v>41</v>
      </c>
      <c r="F436" s="2" t="s">
        <v>1428</v>
      </c>
      <c r="G436" s="2" t="s">
        <v>56</v>
      </c>
      <c r="H436" s="2" t="s">
        <v>115</v>
      </c>
      <c r="I436" s="2" t="s">
        <v>45</v>
      </c>
      <c r="J436" s="2" t="s">
        <v>41</v>
      </c>
      <c r="K436" s="2" t="s">
        <v>156</v>
      </c>
      <c r="L436" s="2" t="s">
        <v>157</v>
      </c>
      <c r="M436" s="2" t="s">
        <v>94</v>
      </c>
      <c r="N436" s="2" t="s">
        <v>95</v>
      </c>
      <c r="O436" s="2" t="s">
        <v>1429</v>
      </c>
      <c r="P436" s="2" t="s">
        <v>51</v>
      </c>
      <c r="Q436" s="2" t="s">
        <v>41</v>
      </c>
      <c r="R436" s="2" t="n">
        <v>5</v>
      </c>
      <c r="S436" s="2" t="n">
        <v>652.78</v>
      </c>
      <c r="T436" s="2" t="n">
        <v>0</v>
      </c>
      <c r="U436" s="2" t="str">
        <f aca="false">IF(ISBLANK(T436),"Yes","No")</f>
        <v>No</v>
      </c>
      <c r="V436" s="2" t="n">
        <f aca="false">IF(ISBLANK(T436),0,IF(ISNUMBER(T436),T436,VALUE(LEFT(T436,LEN(T436)-1))/100))</f>
        <v>0</v>
      </c>
      <c r="W436" s="2" t="str">
        <f aca="false">IF(AND(V436&gt;=0,V436&lt;=0.25),"Valid","Invalid")</f>
        <v>Valid</v>
      </c>
      <c r="X436" s="2" t="n">
        <v>3263.9</v>
      </c>
      <c r="Y436" s="2" t="n">
        <f aca="false">R436*S436*(1-V436)</f>
        <v>3263.9</v>
      </c>
      <c r="Z436" s="2" t="str">
        <f aca="false">IF(ABS(X436-Y436)&gt;1,"Mismatch","OK")</f>
        <v>OK</v>
      </c>
      <c r="AA436" s="2" t="n">
        <v>2068.44</v>
      </c>
      <c r="AB436" s="2" t="n">
        <v>1195.46</v>
      </c>
      <c r="AC436" s="2" t="n">
        <f aca="false">Y436-AA436</f>
        <v>1195.46</v>
      </c>
      <c r="AD436" s="2" t="str">
        <f aca="false">IF(ABS(AB436-AC436)&gt;1,"Mismatch","OK")</f>
        <v>OK</v>
      </c>
      <c r="AE436" s="4" t="n">
        <f aca="false">IF(Y436=0,0,AC436/Y436)</f>
        <v>0.36626734887711</v>
      </c>
      <c r="AF436" s="2" t="s">
        <v>52</v>
      </c>
      <c r="AG436" s="2" t="s">
        <v>53</v>
      </c>
      <c r="AH436" s="2" t="str">
        <f aca="false">IF(AND(AG436="Completed",AF436&lt;&gt;"Paid"),"Inconsistent","OK")</f>
        <v>OK</v>
      </c>
      <c r="AI436" s="2" t="n">
        <f aca="false">IF(OR(ISBLANK(B436),ISBLANK(C436)),"",C436-B436)</f>
        <v>4</v>
      </c>
      <c r="AJ436" s="2" t="str">
        <f aca="false">IF(AI436="","Unknown",IF(AI436&lt;0,"Invalid","OK"))</f>
        <v>OK</v>
      </c>
      <c r="AK436" s="2" t="str">
        <f aca="false">IF(ISBLANK(B436),"",TEXT(B436,"mmm"))</f>
        <v>Apr</v>
      </c>
      <c r="AL436" s="2" t="n">
        <f aca="false">IF(ISBLANK(B436),"",YEAR(B436))</f>
        <v>2025</v>
      </c>
      <c r="AM436" s="2" t="s">
        <v>41</v>
      </c>
      <c r="AN436" s="2" t="str">
        <f aca="false">IF(OR(W436="Invalid",AJ436="Invalid",AH436="Inconsistent",Z436="Mismatch",AD436="Mismatch",AM436="Yes",D436="Yes",E436="Yes"),"Invalid",IF(OR(J436="Yes",Q436="Yes",U436="Yes"),"Warning","Clean"))</f>
        <v>Clean</v>
      </c>
    </row>
    <row r="437" customFormat="false" ht="15" hidden="false" customHeight="false" outlineLevel="0" collapsed="false">
      <c r="A437" s="2" t="s">
        <v>1430</v>
      </c>
      <c r="B437" s="3" t="n">
        <v>45759</v>
      </c>
      <c r="C437" s="3" t="n">
        <v>45767</v>
      </c>
      <c r="D437" s="2" t="s">
        <v>41</v>
      </c>
      <c r="E437" s="2" t="s">
        <v>41</v>
      </c>
      <c r="F437" s="2" t="s">
        <v>1431</v>
      </c>
      <c r="G437" s="2" t="s">
        <v>286</v>
      </c>
      <c r="H437" s="2" t="s">
        <v>115</v>
      </c>
      <c r="I437" s="2" t="s">
        <v>45</v>
      </c>
      <c r="J437" s="2" t="s">
        <v>41</v>
      </c>
      <c r="K437" s="2" t="s">
        <v>372</v>
      </c>
      <c r="L437" s="2" t="s">
        <v>373</v>
      </c>
      <c r="M437" s="2" t="s">
        <v>94</v>
      </c>
      <c r="N437" s="2" t="s">
        <v>296</v>
      </c>
      <c r="O437" s="2" t="s">
        <v>1432</v>
      </c>
      <c r="P437" s="2" t="s">
        <v>79</v>
      </c>
      <c r="Q437" s="2" t="s">
        <v>41</v>
      </c>
      <c r="R437" s="2" t="n">
        <v>1</v>
      </c>
      <c r="S437" s="2" t="n">
        <v>2737.71</v>
      </c>
      <c r="T437" s="2" t="n">
        <v>0.15</v>
      </c>
      <c r="U437" s="2" t="str">
        <f aca="false">IF(ISBLANK(T437),"Yes","No")</f>
        <v>No</v>
      </c>
      <c r="V437" s="2" t="n">
        <f aca="false">IF(ISBLANK(T437),0,IF(ISNUMBER(T437),T437,VALUE(LEFT(T437,LEN(T437)-1))/100))</f>
        <v>0.15</v>
      </c>
      <c r="W437" s="2" t="str">
        <f aca="false">IF(AND(V437&gt;=0,V437&lt;=0.25),"Valid","Invalid")</f>
        <v>Valid</v>
      </c>
      <c r="X437" s="2" t="n">
        <v>2327.05</v>
      </c>
      <c r="Y437" s="2" t="n">
        <f aca="false">R437*S437*(1-V437)</f>
        <v>2327.0535</v>
      </c>
      <c r="Z437" s="2" t="str">
        <f aca="false">IF(ABS(X437-Y437)&gt;1,"Mismatch","OK")</f>
        <v>OK</v>
      </c>
      <c r="AA437" s="2" t="n">
        <v>1919.42</v>
      </c>
      <c r="AB437" s="2" t="n">
        <v>407.63</v>
      </c>
      <c r="AC437" s="2" t="n">
        <f aca="false">Y437-AA437</f>
        <v>407.6335</v>
      </c>
      <c r="AD437" s="2" t="str">
        <f aca="false">IF(ABS(AB437-AC437)&gt;1,"Mismatch","OK")</f>
        <v>OK</v>
      </c>
      <c r="AE437" s="4" t="n">
        <f aca="false">IF(Y437=0,0,AC437/Y437)</f>
        <v>0.175171520551633</v>
      </c>
      <c r="AF437" s="2" t="s">
        <v>52</v>
      </c>
      <c r="AG437" s="2" t="s">
        <v>88</v>
      </c>
      <c r="AH437" s="2" t="str">
        <f aca="false">IF(AND(AG437="Completed",AF437&lt;&gt;"Paid"),"Inconsistent","OK")</f>
        <v>OK</v>
      </c>
      <c r="AI437" s="2" t="n">
        <f aca="false">IF(OR(ISBLANK(B437),ISBLANK(C437)),"",C437-B437)</f>
        <v>8</v>
      </c>
      <c r="AJ437" s="2" t="str">
        <f aca="false">IF(AI437="","Unknown",IF(AI437&lt;0,"Invalid","OK"))</f>
        <v>OK</v>
      </c>
      <c r="AK437" s="2" t="str">
        <f aca="false">IF(ISBLANK(B437),"",TEXT(B437,"mmm"))</f>
        <v>Apr</v>
      </c>
      <c r="AL437" s="2" t="n">
        <f aca="false">IF(ISBLANK(B437),"",YEAR(B437))</f>
        <v>2025</v>
      </c>
      <c r="AM437" s="2" t="s">
        <v>41</v>
      </c>
      <c r="AN437" s="2" t="str">
        <f aca="false">IF(OR(W437="Invalid",AJ437="Invalid",AH437="Inconsistent",Z437="Mismatch",AD437="Mismatch",AM437="Yes",D437="Yes",E437="Yes"),"Invalid",IF(OR(J437="Yes",Q437="Yes",U437="Yes"),"Warning","Clean"))</f>
        <v>Clean</v>
      </c>
    </row>
    <row r="438" customFormat="false" ht="15" hidden="false" customHeight="false" outlineLevel="0" collapsed="false">
      <c r="A438" s="2" t="s">
        <v>1433</v>
      </c>
      <c r="B438" s="3" t="n">
        <v>45459</v>
      </c>
      <c r="C438" s="3" t="n">
        <v>45464</v>
      </c>
      <c r="D438" s="2" t="s">
        <v>41</v>
      </c>
      <c r="E438" s="2" t="s">
        <v>41</v>
      </c>
      <c r="F438" s="2" t="s">
        <v>1434</v>
      </c>
      <c r="G438" s="2" t="s">
        <v>99</v>
      </c>
      <c r="H438" s="2" t="s">
        <v>44</v>
      </c>
      <c r="I438" s="2" t="s">
        <v>74</v>
      </c>
      <c r="J438" s="2" t="s">
        <v>41</v>
      </c>
      <c r="K438" s="2" t="s">
        <v>205</v>
      </c>
      <c r="L438" s="2" t="s">
        <v>206</v>
      </c>
      <c r="M438" s="2" t="s">
        <v>61</v>
      </c>
      <c r="N438" s="2" t="s">
        <v>77</v>
      </c>
      <c r="O438" s="2" t="s">
        <v>1435</v>
      </c>
      <c r="P438" s="2" t="s">
        <v>64</v>
      </c>
      <c r="Q438" s="2" t="s">
        <v>41</v>
      </c>
      <c r="R438" s="2" t="n">
        <v>6</v>
      </c>
      <c r="S438" s="2" t="n">
        <v>1156.78</v>
      </c>
      <c r="T438" s="2" t="n">
        <v>0.05</v>
      </c>
      <c r="U438" s="2" t="str">
        <f aca="false">IF(ISBLANK(T438),"Yes","No")</f>
        <v>No</v>
      </c>
      <c r="V438" s="2" t="n">
        <f aca="false">IF(ISBLANK(T438),0,IF(ISNUMBER(T438),T438,VALUE(LEFT(T438,LEN(T438)-1))/100))</f>
        <v>0.05</v>
      </c>
      <c r="W438" s="2" t="str">
        <f aca="false">IF(AND(V438&gt;=0,V438&lt;=0.25),"Valid","Invalid")</f>
        <v>Valid</v>
      </c>
      <c r="X438" s="2" t="n">
        <v>6593.65</v>
      </c>
      <c r="Y438" s="2" t="n">
        <f aca="false">R438*S438*(1-V438)</f>
        <v>6593.646</v>
      </c>
      <c r="Z438" s="2" t="str">
        <f aca="false">IF(ABS(X438-Y438)&gt;1,"Mismatch","OK")</f>
        <v>OK</v>
      </c>
      <c r="AA438" s="2" t="n">
        <v>4359.39</v>
      </c>
      <c r="AB438" s="2" t="n">
        <v>2234.26</v>
      </c>
      <c r="AC438" s="2" t="n">
        <f aca="false">Y438-AA438</f>
        <v>2234.256</v>
      </c>
      <c r="AD438" s="2" t="str">
        <f aca="false">IF(ABS(AB438-AC438)&gt;1,"Mismatch","OK")</f>
        <v>OK</v>
      </c>
      <c r="AE438" s="4" t="n">
        <f aca="false">IF(Y438=0,0,AC438/Y438)</f>
        <v>0.338849856361715</v>
      </c>
      <c r="AF438" s="2" t="s">
        <v>52</v>
      </c>
      <c r="AG438" s="2" t="s">
        <v>123</v>
      </c>
      <c r="AH438" s="2" t="str">
        <f aca="false">IF(AND(AG438="Completed",AF438&lt;&gt;"Paid"),"Inconsistent","OK")</f>
        <v>OK</v>
      </c>
      <c r="AI438" s="2" t="n">
        <f aca="false">IF(OR(ISBLANK(B438),ISBLANK(C438)),"",C438-B438)</f>
        <v>5</v>
      </c>
      <c r="AJ438" s="2" t="str">
        <f aca="false">IF(AI438="","Unknown",IF(AI438&lt;0,"Invalid","OK"))</f>
        <v>OK</v>
      </c>
      <c r="AK438" s="2" t="str">
        <f aca="false">IF(ISBLANK(B438),"",TEXT(B438,"mmm"))</f>
        <v>Jun</v>
      </c>
      <c r="AL438" s="2" t="n">
        <f aca="false">IF(ISBLANK(B438),"",YEAR(B438))</f>
        <v>2024</v>
      </c>
      <c r="AM438" s="2" t="s">
        <v>41</v>
      </c>
      <c r="AN438" s="2" t="str">
        <f aca="false">IF(OR(W438="Invalid",AJ438="Invalid",AH438="Inconsistent",Z438="Mismatch",AD438="Mismatch",AM438="Yes",D438="Yes",E438="Yes"),"Invalid",IF(OR(J438="Yes",Q438="Yes",U438="Yes"),"Warning","Clean"))</f>
        <v>Clean</v>
      </c>
    </row>
    <row r="439" customFormat="false" ht="15" hidden="false" customHeight="false" outlineLevel="0" collapsed="false">
      <c r="A439" s="2" t="s">
        <v>1436</v>
      </c>
      <c r="B439" s="3" t="n">
        <v>45337</v>
      </c>
      <c r="C439" s="3" t="n">
        <v>45340</v>
      </c>
      <c r="D439" s="2" t="s">
        <v>41</v>
      </c>
      <c r="E439" s="2" t="s">
        <v>41</v>
      </c>
      <c r="F439" s="2" t="s">
        <v>1437</v>
      </c>
      <c r="G439" s="2" t="s">
        <v>109</v>
      </c>
      <c r="H439" s="2" t="s">
        <v>57</v>
      </c>
      <c r="I439" s="2" t="s">
        <v>74</v>
      </c>
      <c r="J439" s="2" t="s">
        <v>41</v>
      </c>
      <c r="K439" s="2" t="s">
        <v>205</v>
      </c>
      <c r="L439" s="2" t="s">
        <v>206</v>
      </c>
      <c r="M439" s="2" t="s">
        <v>94</v>
      </c>
      <c r="N439" s="2" t="s">
        <v>95</v>
      </c>
      <c r="O439" s="2" t="s">
        <v>1438</v>
      </c>
      <c r="P439" s="2" t="s">
        <v>64</v>
      </c>
      <c r="Q439" s="2" t="s">
        <v>41</v>
      </c>
      <c r="R439" s="2" t="n">
        <v>8</v>
      </c>
      <c r="S439" s="2" t="n">
        <v>379.82</v>
      </c>
      <c r="T439" s="2" t="n">
        <v>0.05</v>
      </c>
      <c r="U439" s="2" t="str">
        <f aca="false">IF(ISBLANK(T439),"Yes","No")</f>
        <v>No</v>
      </c>
      <c r="V439" s="2" t="n">
        <f aca="false">IF(ISBLANK(T439),0,IF(ISNUMBER(T439),T439,VALUE(LEFT(T439,LEN(T439)-1))/100))</f>
        <v>0.05</v>
      </c>
      <c r="W439" s="2" t="str">
        <f aca="false">IF(AND(V439&gt;=0,V439&lt;=0.25),"Valid","Invalid")</f>
        <v>Valid</v>
      </c>
      <c r="X439" s="2" t="n">
        <v>2886.63</v>
      </c>
      <c r="Y439" s="2" t="n">
        <f aca="false">R439*S439*(1-V439)</f>
        <v>2886.632</v>
      </c>
      <c r="Z439" s="2" t="str">
        <f aca="false">IF(ABS(X439-Y439)&gt;1,"Mismatch","OK")</f>
        <v>OK</v>
      </c>
      <c r="AA439" s="2" t="n">
        <v>1588.23</v>
      </c>
      <c r="AB439" s="2" t="n">
        <v>1298.4</v>
      </c>
      <c r="AC439" s="2" t="n">
        <f aca="false">Y439-AA439</f>
        <v>1298.402</v>
      </c>
      <c r="AD439" s="2" t="str">
        <f aca="false">IF(ABS(AB439-AC439)&gt;1,"Mismatch","OK")</f>
        <v>OK</v>
      </c>
      <c r="AE439" s="4" t="n">
        <f aca="false">IF(Y439=0,0,AC439/Y439)</f>
        <v>0.44979824238074</v>
      </c>
      <c r="AF439" s="2" t="s">
        <v>175</v>
      </c>
      <c r="AG439" s="2" t="s">
        <v>123</v>
      </c>
      <c r="AH439" s="2" t="str">
        <f aca="false">IF(AND(AG439="Completed",AF439&lt;&gt;"Paid"),"Inconsistent","OK")</f>
        <v>OK</v>
      </c>
      <c r="AI439" s="2" t="n">
        <f aca="false">IF(OR(ISBLANK(B439),ISBLANK(C439)),"",C439-B439)</f>
        <v>3</v>
      </c>
      <c r="AJ439" s="2" t="str">
        <f aca="false">IF(AI439="","Unknown",IF(AI439&lt;0,"Invalid","OK"))</f>
        <v>OK</v>
      </c>
      <c r="AK439" s="2" t="str">
        <f aca="false">IF(ISBLANK(B439),"",TEXT(B439,"mmm"))</f>
        <v>Feb</v>
      </c>
      <c r="AL439" s="2" t="n">
        <f aca="false">IF(ISBLANK(B439),"",YEAR(B439))</f>
        <v>2024</v>
      </c>
      <c r="AM439" s="2" t="s">
        <v>41</v>
      </c>
      <c r="AN439" s="2" t="str">
        <f aca="false">IF(OR(W439="Invalid",AJ439="Invalid",AH439="Inconsistent",Z439="Mismatch",AD439="Mismatch",AM439="Yes",D439="Yes",E439="Yes"),"Invalid",IF(OR(J439="Yes",Q439="Yes",U439="Yes"),"Warning","Clean"))</f>
        <v>Clean</v>
      </c>
    </row>
    <row r="440" customFormat="false" ht="15" hidden="false" customHeight="false" outlineLevel="0" collapsed="false">
      <c r="A440" s="2" t="s">
        <v>1439</v>
      </c>
      <c r="B440" s="3" t="n">
        <v>45784</v>
      </c>
      <c r="C440" s="3" t="n">
        <v>45782</v>
      </c>
      <c r="D440" s="2" t="s">
        <v>41</v>
      </c>
      <c r="E440" s="2" t="s">
        <v>41</v>
      </c>
      <c r="F440" s="2" t="s">
        <v>1440</v>
      </c>
      <c r="G440" s="2" t="s">
        <v>99</v>
      </c>
      <c r="H440" s="2" t="s">
        <v>110</v>
      </c>
      <c r="I440" s="2" t="s">
        <v>58</v>
      </c>
      <c r="J440" s="2" t="s">
        <v>41</v>
      </c>
      <c r="K440" s="2" t="s">
        <v>250</v>
      </c>
      <c r="L440" s="2" t="s">
        <v>251</v>
      </c>
      <c r="M440" s="2" t="s">
        <v>94</v>
      </c>
      <c r="N440" s="2" t="s">
        <v>191</v>
      </c>
      <c r="O440" s="2" t="s">
        <v>1441</v>
      </c>
      <c r="P440" s="2" t="s">
        <v>79</v>
      </c>
      <c r="Q440" s="2" t="s">
        <v>41</v>
      </c>
      <c r="R440" s="2" t="n">
        <v>1</v>
      </c>
      <c r="S440" s="2" t="n">
        <v>2266.47</v>
      </c>
      <c r="T440" s="2" t="n">
        <v>0.2</v>
      </c>
      <c r="U440" s="2" t="str">
        <f aca="false">IF(ISBLANK(T440),"Yes","No")</f>
        <v>No</v>
      </c>
      <c r="V440" s="2" t="n">
        <f aca="false">IF(ISBLANK(T440),0,IF(ISNUMBER(T440),T440,VALUE(LEFT(T440,LEN(T440)-1))/100))</f>
        <v>0.2</v>
      </c>
      <c r="W440" s="2" t="str">
        <f aca="false">IF(AND(V440&gt;=0,V440&lt;=0.25),"Valid","Invalid")</f>
        <v>Valid</v>
      </c>
      <c r="X440" s="2" t="n">
        <v>1813.18</v>
      </c>
      <c r="Y440" s="2" t="n">
        <f aca="false">R440*S440*(1-V440)</f>
        <v>1813.176</v>
      </c>
      <c r="Z440" s="2" t="str">
        <f aca="false">IF(ABS(X440-Y440)&gt;1,"Mismatch","OK")</f>
        <v>OK</v>
      </c>
      <c r="AA440" s="2" t="n">
        <v>1363.64</v>
      </c>
      <c r="AB440" s="2" t="n">
        <v>449.54</v>
      </c>
      <c r="AC440" s="2" t="n">
        <f aca="false">Y440-AA440</f>
        <v>449.536</v>
      </c>
      <c r="AD440" s="2" t="str">
        <f aca="false">IF(ABS(AB440-AC440)&gt;1,"Mismatch","OK")</f>
        <v>OK</v>
      </c>
      <c r="AE440" s="4" t="n">
        <f aca="false">IF(Y440=0,0,AC440/Y440)</f>
        <v>0.247927393700336</v>
      </c>
      <c r="AF440" s="2" t="s">
        <v>52</v>
      </c>
      <c r="AG440" s="2" t="s">
        <v>53</v>
      </c>
      <c r="AH440" s="2" t="str">
        <f aca="false">IF(AND(AG440="Completed",AF440&lt;&gt;"Paid"),"Inconsistent","OK")</f>
        <v>OK</v>
      </c>
      <c r="AI440" s="2" t="n">
        <f aca="false">IF(OR(ISBLANK(B440),ISBLANK(C440)),"",C440-B440)</f>
        <v>-2</v>
      </c>
      <c r="AJ440" s="2" t="str">
        <f aca="false">IF(AI440="","Unknown",IF(AI440&lt;0,"Invalid","OK"))</f>
        <v>Invalid</v>
      </c>
      <c r="AK440" s="2" t="str">
        <f aca="false">IF(ISBLANK(B440),"",TEXT(B440,"mmm"))</f>
        <v>May</v>
      </c>
      <c r="AL440" s="2" t="n">
        <f aca="false">IF(ISBLANK(B440),"",YEAR(B440))</f>
        <v>2025</v>
      </c>
      <c r="AM440" s="2" t="s">
        <v>41</v>
      </c>
      <c r="AN440" s="2" t="str">
        <f aca="false">IF(OR(W440="Invalid",AJ440="Invalid",AH440="Inconsistent",Z440="Mismatch",AD440="Mismatch",AM440="Yes",D440="Yes",E440="Yes"),"Invalid",IF(OR(J440="Yes",Q440="Yes",U440="Yes"),"Warning","Clean"))</f>
        <v>Invalid</v>
      </c>
    </row>
    <row r="441" customFormat="false" ht="15" hidden="false" customHeight="false" outlineLevel="0" collapsed="false">
      <c r="A441" s="2" t="s">
        <v>1442</v>
      </c>
      <c r="B441" s="3" t="n">
        <v>45838</v>
      </c>
      <c r="C441" s="3" t="n">
        <v>45841</v>
      </c>
      <c r="D441" s="2" t="s">
        <v>41</v>
      </c>
      <c r="E441" s="2" t="s">
        <v>41</v>
      </c>
      <c r="F441" s="2" t="s">
        <v>1443</v>
      </c>
      <c r="G441" s="2" t="s">
        <v>148</v>
      </c>
      <c r="H441" s="2" t="s">
        <v>115</v>
      </c>
      <c r="I441" s="2" t="s">
        <v>83</v>
      </c>
      <c r="J441" s="2" t="s">
        <v>41</v>
      </c>
      <c r="K441" s="2" t="s">
        <v>210</v>
      </c>
      <c r="L441" s="2" t="s">
        <v>211</v>
      </c>
      <c r="M441" s="2" t="s">
        <v>48</v>
      </c>
      <c r="N441" s="2" t="s">
        <v>144</v>
      </c>
      <c r="O441" s="2" t="s">
        <v>1444</v>
      </c>
      <c r="P441" s="2" t="s">
        <v>64</v>
      </c>
      <c r="Q441" s="2" t="s">
        <v>41</v>
      </c>
      <c r="R441" s="2" t="n">
        <v>5</v>
      </c>
      <c r="S441" s="2" t="n">
        <v>665.25</v>
      </c>
      <c r="T441" s="2" t="n">
        <v>0</v>
      </c>
      <c r="U441" s="2" t="str">
        <f aca="false">IF(ISBLANK(T441),"Yes","No")</f>
        <v>No</v>
      </c>
      <c r="V441" s="2" t="n">
        <f aca="false">IF(ISBLANK(T441),0,IF(ISNUMBER(T441),T441,VALUE(LEFT(T441,LEN(T441)-1))/100))</f>
        <v>0</v>
      </c>
      <c r="W441" s="2" t="str">
        <f aca="false">IF(AND(V441&gt;=0,V441&lt;=0.25),"Valid","Invalid")</f>
        <v>Valid</v>
      </c>
      <c r="X441" s="2" t="n">
        <v>3326.25</v>
      </c>
      <c r="Y441" s="2" t="n">
        <f aca="false">R441*S441*(1-V441)</f>
        <v>3326.25</v>
      </c>
      <c r="Z441" s="2" t="str">
        <f aca="false">IF(ABS(X441-Y441)&gt;1,"Mismatch","OK")</f>
        <v>OK</v>
      </c>
      <c r="AA441" s="2" t="n">
        <v>2689.36</v>
      </c>
      <c r="AB441" s="2" t="n">
        <v>636.89</v>
      </c>
      <c r="AC441" s="2" t="n">
        <f aca="false">Y441-AA441</f>
        <v>636.89</v>
      </c>
      <c r="AD441" s="2" t="str">
        <f aca="false">IF(ABS(AB441-AC441)&gt;1,"Mismatch","OK")</f>
        <v>OK</v>
      </c>
      <c r="AE441" s="4" t="n">
        <f aca="false">IF(Y441=0,0,AC441/Y441)</f>
        <v>0.191473881999248</v>
      </c>
      <c r="AF441" s="2" t="s">
        <v>122</v>
      </c>
      <c r="AG441" s="2" t="s">
        <v>123</v>
      </c>
      <c r="AH441" s="2" t="str">
        <f aca="false">IF(AND(AG441="Completed",AF441&lt;&gt;"Paid"),"Inconsistent","OK")</f>
        <v>OK</v>
      </c>
      <c r="AI441" s="2" t="n">
        <f aca="false">IF(OR(ISBLANK(B441),ISBLANK(C441)),"",C441-B441)</f>
        <v>3</v>
      </c>
      <c r="AJ441" s="2" t="str">
        <f aca="false">IF(AI441="","Unknown",IF(AI441&lt;0,"Invalid","OK"))</f>
        <v>OK</v>
      </c>
      <c r="AK441" s="2" t="str">
        <f aca="false">IF(ISBLANK(B441),"",TEXT(B441,"mmm"))</f>
        <v>Jun</v>
      </c>
      <c r="AL441" s="2" t="n">
        <f aca="false">IF(ISBLANK(B441),"",YEAR(B441))</f>
        <v>2025</v>
      </c>
      <c r="AM441" s="2" t="s">
        <v>41</v>
      </c>
      <c r="AN441" s="2" t="str">
        <f aca="false">IF(OR(W441="Invalid",AJ441="Invalid",AH441="Inconsistent",Z441="Mismatch",AD441="Mismatch",AM441="Yes",D441="Yes",E441="Yes"),"Invalid",IF(OR(J441="Yes",Q441="Yes",U441="Yes"),"Warning","Clean"))</f>
        <v>Clean</v>
      </c>
    </row>
    <row r="442" customFormat="false" ht="15" hidden="false" customHeight="false" outlineLevel="0" collapsed="false">
      <c r="A442" s="2" t="s">
        <v>1445</v>
      </c>
      <c r="B442" s="3" t="n">
        <v>45384</v>
      </c>
      <c r="C442" s="3" t="n">
        <v>45390</v>
      </c>
      <c r="D442" s="2" t="s">
        <v>41</v>
      </c>
      <c r="E442" s="2" t="s">
        <v>41</v>
      </c>
      <c r="F442" s="2" t="s">
        <v>292</v>
      </c>
      <c r="G442" s="2" t="s">
        <v>91</v>
      </c>
      <c r="H442" s="2" t="s">
        <v>110</v>
      </c>
      <c r="I442" s="2" t="s">
        <v>58</v>
      </c>
      <c r="J442" s="2" t="s">
        <v>41</v>
      </c>
      <c r="K442" s="2" t="s">
        <v>59</v>
      </c>
      <c r="L442" s="2" t="s">
        <v>60</v>
      </c>
      <c r="M442" s="2" t="s">
        <v>94</v>
      </c>
      <c r="N442" s="2" t="s">
        <v>296</v>
      </c>
      <c r="O442" s="2" t="s">
        <v>1446</v>
      </c>
      <c r="P442" s="2" t="s">
        <v>51</v>
      </c>
      <c r="Q442" s="2" t="s">
        <v>41</v>
      </c>
      <c r="R442" s="2" t="n">
        <v>6</v>
      </c>
      <c r="S442" s="2" t="n">
        <v>3722.84</v>
      </c>
      <c r="T442" s="2" t="n">
        <v>0.2</v>
      </c>
      <c r="U442" s="2" t="str">
        <f aca="false">IF(ISBLANK(T442),"Yes","No")</f>
        <v>No</v>
      </c>
      <c r="V442" s="2" t="n">
        <f aca="false">IF(ISBLANK(T442),0,IF(ISNUMBER(T442),T442,VALUE(LEFT(T442,LEN(T442)-1))/100))</f>
        <v>0.2</v>
      </c>
      <c r="W442" s="2" t="str">
        <f aca="false">IF(AND(V442&gt;=0,V442&lt;=0.25),"Valid","Invalid")</f>
        <v>Valid</v>
      </c>
      <c r="X442" s="2" t="n">
        <v>17869.63</v>
      </c>
      <c r="Y442" s="2" t="n">
        <f aca="false">R442*S442*(1-V442)</f>
        <v>17869.632</v>
      </c>
      <c r="Z442" s="2" t="str">
        <f aca="false">IF(ABS(X442-Y442)&gt;1,"Mismatch","OK")</f>
        <v>OK</v>
      </c>
      <c r="AA442" s="2" t="n">
        <v>12163.8</v>
      </c>
      <c r="AB442" s="2" t="n">
        <v>5705.83</v>
      </c>
      <c r="AC442" s="2" t="n">
        <f aca="false">Y442-AA442</f>
        <v>5705.832</v>
      </c>
      <c r="AD442" s="2" t="str">
        <f aca="false">IF(ABS(AB442-AC442)&gt;1,"Mismatch","OK")</f>
        <v>OK</v>
      </c>
      <c r="AE442" s="4" t="n">
        <f aca="false">IF(Y442=0,0,AC442/Y442)</f>
        <v>0.319303273844699</v>
      </c>
      <c r="AF442" s="2" t="s">
        <v>52</v>
      </c>
      <c r="AG442" s="2" t="s">
        <v>53</v>
      </c>
      <c r="AH442" s="2" t="str">
        <f aca="false">IF(AND(AG442="Completed",AF442&lt;&gt;"Paid"),"Inconsistent","OK")</f>
        <v>OK</v>
      </c>
      <c r="AI442" s="2" t="n">
        <f aca="false">IF(OR(ISBLANK(B442),ISBLANK(C442)),"",C442-B442)</f>
        <v>6</v>
      </c>
      <c r="AJ442" s="2" t="str">
        <f aca="false">IF(AI442="","Unknown",IF(AI442&lt;0,"Invalid","OK"))</f>
        <v>OK</v>
      </c>
      <c r="AK442" s="2" t="str">
        <f aca="false">IF(ISBLANK(B442),"",TEXT(B442,"mmm"))</f>
        <v>Apr</v>
      </c>
      <c r="AL442" s="2" t="n">
        <f aca="false">IF(ISBLANK(B442),"",YEAR(B442))</f>
        <v>2024</v>
      </c>
      <c r="AM442" s="2" t="s">
        <v>41</v>
      </c>
      <c r="AN442" s="2" t="str">
        <f aca="false">IF(OR(W442="Invalid",AJ442="Invalid",AH442="Inconsistent",Z442="Mismatch",AD442="Mismatch",AM442="Yes",D442="Yes",E442="Yes"),"Invalid",IF(OR(J442="Yes",Q442="Yes",U442="Yes"),"Warning","Clean"))</f>
        <v>Clean</v>
      </c>
    </row>
    <row r="443" customFormat="false" ht="15" hidden="false" customHeight="false" outlineLevel="0" collapsed="false">
      <c r="A443" s="2" t="s">
        <v>1447</v>
      </c>
      <c r="B443" s="3" t="n">
        <v>45568</v>
      </c>
      <c r="C443" s="3" t="n">
        <v>45568</v>
      </c>
      <c r="D443" s="2" t="s">
        <v>41</v>
      </c>
      <c r="E443" s="2" t="s">
        <v>41</v>
      </c>
      <c r="F443" s="2" t="s">
        <v>1448</v>
      </c>
      <c r="G443" s="2" t="s">
        <v>43</v>
      </c>
      <c r="H443" s="2" t="s">
        <v>44</v>
      </c>
      <c r="I443" s="2" t="s">
        <v>58</v>
      </c>
      <c r="J443" s="2" t="s">
        <v>41</v>
      </c>
      <c r="K443" s="2" t="s">
        <v>165</v>
      </c>
      <c r="L443" s="2" t="s">
        <v>166</v>
      </c>
      <c r="M443" s="2" t="s">
        <v>61</v>
      </c>
      <c r="N443" s="2" t="s">
        <v>178</v>
      </c>
      <c r="O443" s="2" t="s">
        <v>1449</v>
      </c>
      <c r="P443" s="2" t="s">
        <v>79</v>
      </c>
      <c r="Q443" s="2" t="s">
        <v>41</v>
      </c>
      <c r="R443" s="2" t="n">
        <v>6</v>
      </c>
      <c r="S443" s="2" t="n">
        <v>4217.49</v>
      </c>
      <c r="T443" s="2" t="n">
        <v>0</v>
      </c>
      <c r="U443" s="2" t="str">
        <f aca="false">IF(ISBLANK(T443),"Yes","No")</f>
        <v>No</v>
      </c>
      <c r="V443" s="2" t="n">
        <f aca="false">IF(ISBLANK(T443),0,IF(ISNUMBER(T443),T443,VALUE(LEFT(T443,LEN(T443)-1))/100))</f>
        <v>0</v>
      </c>
      <c r="W443" s="2" t="str">
        <f aca="false">IF(AND(V443&gt;=0,V443&lt;=0.25),"Valid","Invalid")</f>
        <v>Valid</v>
      </c>
      <c r="X443" s="2" t="n">
        <v>25304.94</v>
      </c>
      <c r="Y443" s="2" t="n">
        <f aca="false">R443*S443*(1-V443)</f>
        <v>25304.94</v>
      </c>
      <c r="Z443" s="2" t="str">
        <f aca="false">IF(ABS(X443-Y443)&gt;1,"Mismatch","OK")</f>
        <v>OK</v>
      </c>
      <c r="AA443" s="2" t="n">
        <v>20771.95</v>
      </c>
      <c r="AB443" s="2" t="n">
        <v>4532.99</v>
      </c>
      <c r="AC443" s="2" t="n">
        <f aca="false">Y443-AA443</f>
        <v>4532.99</v>
      </c>
      <c r="AD443" s="2" t="str">
        <f aca="false">IF(ABS(AB443-AC443)&gt;1,"Mismatch","OK")</f>
        <v>OK</v>
      </c>
      <c r="AE443" s="4" t="n">
        <f aca="false">IF(Y443=0,0,AC443/Y443)</f>
        <v>0.179134587950021</v>
      </c>
      <c r="AF443" s="2" t="s">
        <v>52</v>
      </c>
      <c r="AG443" s="2" t="s">
        <v>88</v>
      </c>
      <c r="AH443" s="2" t="str">
        <f aca="false">IF(AND(AG443="Completed",AF443&lt;&gt;"Paid"),"Inconsistent","OK")</f>
        <v>OK</v>
      </c>
      <c r="AI443" s="2" t="n">
        <f aca="false">IF(OR(ISBLANK(B443),ISBLANK(C443)),"",C443-B443)</f>
        <v>0</v>
      </c>
      <c r="AJ443" s="2" t="str">
        <f aca="false">IF(AI443="","Unknown",IF(AI443&lt;0,"Invalid","OK"))</f>
        <v>OK</v>
      </c>
      <c r="AK443" s="2" t="str">
        <f aca="false">IF(ISBLANK(B443),"",TEXT(B443,"mmm"))</f>
        <v>Oct</v>
      </c>
      <c r="AL443" s="2" t="n">
        <f aca="false">IF(ISBLANK(B443),"",YEAR(B443))</f>
        <v>2024</v>
      </c>
      <c r="AM443" s="2" t="s">
        <v>41</v>
      </c>
      <c r="AN443" s="2" t="str">
        <f aca="false">IF(OR(W443="Invalid",AJ443="Invalid",AH443="Inconsistent",Z443="Mismatch",AD443="Mismatch",AM443="Yes",D443="Yes",E443="Yes"),"Invalid",IF(OR(J443="Yes",Q443="Yes",U443="Yes"),"Warning","Clean"))</f>
        <v>Clean</v>
      </c>
    </row>
    <row r="444" customFormat="false" ht="15" hidden="false" customHeight="false" outlineLevel="0" collapsed="false">
      <c r="A444" s="2" t="s">
        <v>1450</v>
      </c>
      <c r="B444" s="3" t="n">
        <v>45669</v>
      </c>
      <c r="C444" s="3" t="n">
        <v>45676</v>
      </c>
      <c r="D444" s="2" t="s">
        <v>41</v>
      </c>
      <c r="E444" s="2" t="s">
        <v>41</v>
      </c>
      <c r="F444" s="2" t="s">
        <v>1451</v>
      </c>
      <c r="G444" s="2" t="s">
        <v>148</v>
      </c>
      <c r="H444" s="2" t="s">
        <v>44</v>
      </c>
      <c r="I444" s="2" t="s">
        <v>58</v>
      </c>
      <c r="J444" s="2" t="s">
        <v>41</v>
      </c>
      <c r="K444" s="2" t="s">
        <v>250</v>
      </c>
      <c r="L444" s="2" t="s">
        <v>251</v>
      </c>
      <c r="M444" s="2" t="s">
        <v>61</v>
      </c>
      <c r="N444" s="2" t="s">
        <v>62</v>
      </c>
      <c r="O444" s="2" t="s">
        <v>1452</v>
      </c>
      <c r="P444" s="2" t="s">
        <v>70</v>
      </c>
      <c r="Q444" s="2" t="s">
        <v>41</v>
      </c>
      <c r="R444" s="2" t="n">
        <v>1</v>
      </c>
      <c r="S444" s="2" t="n">
        <v>1842.31</v>
      </c>
      <c r="T444" s="2" t="n">
        <v>0</v>
      </c>
      <c r="U444" s="2" t="str">
        <f aca="false">IF(ISBLANK(T444),"Yes","No")</f>
        <v>No</v>
      </c>
      <c r="V444" s="2" t="n">
        <f aca="false">IF(ISBLANK(T444),0,IF(ISNUMBER(T444),T444,VALUE(LEFT(T444,LEN(T444)-1))/100))</f>
        <v>0</v>
      </c>
      <c r="W444" s="2" t="str">
        <f aca="false">IF(AND(V444&gt;=0,V444&lt;=0.25),"Valid","Invalid")</f>
        <v>Valid</v>
      </c>
      <c r="X444" s="2" t="n">
        <v>1842.31</v>
      </c>
      <c r="Y444" s="2" t="n">
        <f aca="false">R444*S444*(1-V444)</f>
        <v>1842.31</v>
      </c>
      <c r="Z444" s="2" t="str">
        <f aca="false">IF(ABS(X444-Y444)&gt;1,"Mismatch","OK")</f>
        <v>OK</v>
      </c>
      <c r="AA444" s="2" t="n">
        <v>1019.17</v>
      </c>
      <c r="AB444" s="2" t="n">
        <v>823.14</v>
      </c>
      <c r="AC444" s="2" t="n">
        <f aca="false">Y444-AA444</f>
        <v>823.14</v>
      </c>
      <c r="AD444" s="2" t="str">
        <f aca="false">IF(ABS(AB444-AC444)&gt;1,"Mismatch","OK")</f>
        <v>OK</v>
      </c>
      <c r="AE444" s="4" t="n">
        <f aca="false">IF(Y444=0,0,AC444/Y444)</f>
        <v>0.446797770190685</v>
      </c>
      <c r="AF444" s="2" t="s">
        <v>52</v>
      </c>
      <c r="AG444" s="2" t="s">
        <v>53</v>
      </c>
      <c r="AH444" s="2" t="str">
        <f aca="false">IF(AND(AG444="Completed",AF444&lt;&gt;"Paid"),"Inconsistent","OK")</f>
        <v>OK</v>
      </c>
      <c r="AI444" s="2" t="n">
        <f aca="false">IF(OR(ISBLANK(B444),ISBLANK(C444)),"",C444-B444)</f>
        <v>7</v>
      </c>
      <c r="AJ444" s="2" t="str">
        <f aca="false">IF(AI444="","Unknown",IF(AI444&lt;0,"Invalid","OK"))</f>
        <v>OK</v>
      </c>
      <c r="AK444" s="2" t="str">
        <f aca="false">IF(ISBLANK(B444),"",TEXT(B444,"mmm"))</f>
        <v>Jan</v>
      </c>
      <c r="AL444" s="2" t="n">
        <f aca="false">IF(ISBLANK(B444),"",YEAR(B444))</f>
        <v>2025</v>
      </c>
      <c r="AM444" s="2" t="s">
        <v>41</v>
      </c>
      <c r="AN444" s="2" t="str">
        <f aca="false">IF(OR(W444="Invalid",AJ444="Invalid",AH444="Inconsistent",Z444="Mismatch",AD444="Mismatch",AM444="Yes",D444="Yes",E444="Yes"),"Invalid",IF(OR(J444="Yes",Q444="Yes",U444="Yes"),"Warning","Clean"))</f>
        <v>Clean</v>
      </c>
    </row>
    <row r="445" customFormat="false" ht="15" hidden="false" customHeight="false" outlineLevel="0" collapsed="false">
      <c r="A445" s="2" t="s">
        <v>1453</v>
      </c>
      <c r="B445" s="3" t="n">
        <v>45386</v>
      </c>
      <c r="C445" s="3" t="n">
        <v>45389</v>
      </c>
      <c r="D445" s="2" t="s">
        <v>41</v>
      </c>
      <c r="E445" s="2" t="s">
        <v>41</v>
      </c>
      <c r="F445" s="2" t="s">
        <v>1454</v>
      </c>
      <c r="G445" s="2" t="s">
        <v>161</v>
      </c>
      <c r="H445" s="2" t="s">
        <v>115</v>
      </c>
      <c r="I445" s="2" t="s">
        <v>58</v>
      </c>
      <c r="J445" s="2" t="s">
        <v>41</v>
      </c>
      <c r="K445" s="2" t="s">
        <v>59</v>
      </c>
      <c r="L445" s="2" t="s">
        <v>60</v>
      </c>
      <c r="M445" s="2" t="s">
        <v>61</v>
      </c>
      <c r="N445" s="2" t="s">
        <v>77</v>
      </c>
      <c r="O445" s="2" t="s">
        <v>1455</v>
      </c>
      <c r="P445" s="2" t="s">
        <v>70</v>
      </c>
      <c r="Q445" s="2" t="s">
        <v>41</v>
      </c>
      <c r="R445" s="2" t="n">
        <v>1</v>
      </c>
      <c r="S445" s="2" t="n">
        <v>3683.75</v>
      </c>
      <c r="T445" s="2" t="n">
        <v>0.1</v>
      </c>
      <c r="U445" s="2" t="str">
        <f aca="false">IF(ISBLANK(T445),"Yes","No")</f>
        <v>No</v>
      </c>
      <c r="V445" s="2" t="n">
        <f aca="false">IF(ISBLANK(T445),0,IF(ISNUMBER(T445),T445,VALUE(LEFT(T445,LEN(T445)-1))/100))</f>
        <v>0.1</v>
      </c>
      <c r="W445" s="2" t="str">
        <f aca="false">IF(AND(V445&gt;=0,V445&lt;=0.25),"Valid","Invalid")</f>
        <v>Valid</v>
      </c>
      <c r="X445" s="2" t="n">
        <v>3315.38</v>
      </c>
      <c r="Y445" s="2" t="n">
        <f aca="false">R445*S445*(1-V445)</f>
        <v>3315.375</v>
      </c>
      <c r="Z445" s="2" t="str">
        <f aca="false">IF(ABS(X445-Y445)&gt;1,"Mismatch","OK")</f>
        <v>OK</v>
      </c>
      <c r="AA445" s="2" t="n">
        <v>2347.68</v>
      </c>
      <c r="AB445" s="2" t="n">
        <v>967.7</v>
      </c>
      <c r="AC445" s="2" t="n">
        <f aca="false">Y445-AA445</f>
        <v>967.695</v>
      </c>
      <c r="AD445" s="2" t="str">
        <f aca="false">IF(ABS(AB445-AC445)&gt;1,"Mismatch","OK")</f>
        <v>OK</v>
      </c>
      <c r="AE445" s="4" t="n">
        <f aca="false">IF(Y445=0,0,AC445/Y445)</f>
        <v>0.291881008935641</v>
      </c>
      <c r="AF445" s="2" t="s">
        <v>52</v>
      </c>
      <c r="AG445" s="2" t="s">
        <v>53</v>
      </c>
      <c r="AH445" s="2" t="str">
        <f aca="false">IF(AND(AG445="Completed",AF445&lt;&gt;"Paid"),"Inconsistent","OK")</f>
        <v>OK</v>
      </c>
      <c r="AI445" s="2" t="n">
        <f aca="false">IF(OR(ISBLANK(B445),ISBLANK(C445)),"",C445-B445)</f>
        <v>3</v>
      </c>
      <c r="AJ445" s="2" t="str">
        <f aca="false">IF(AI445="","Unknown",IF(AI445&lt;0,"Invalid","OK"))</f>
        <v>OK</v>
      </c>
      <c r="AK445" s="2" t="str">
        <f aca="false">IF(ISBLANK(B445),"",TEXT(B445,"mmm"))</f>
        <v>Apr</v>
      </c>
      <c r="AL445" s="2" t="n">
        <f aca="false">IF(ISBLANK(B445),"",YEAR(B445))</f>
        <v>2024</v>
      </c>
      <c r="AM445" s="2" t="s">
        <v>41</v>
      </c>
      <c r="AN445" s="2" t="str">
        <f aca="false">IF(OR(W445="Invalid",AJ445="Invalid",AH445="Inconsistent",Z445="Mismatch",AD445="Mismatch",AM445="Yes",D445="Yes",E445="Yes"),"Invalid",IF(OR(J445="Yes",Q445="Yes",U445="Yes"),"Warning","Clean"))</f>
        <v>Clean</v>
      </c>
    </row>
    <row r="446" customFormat="false" ht="15" hidden="false" customHeight="false" outlineLevel="0" collapsed="false">
      <c r="A446" s="2" t="s">
        <v>1456</v>
      </c>
      <c r="B446" s="3" t="n">
        <v>45881</v>
      </c>
      <c r="C446" s="3" t="n">
        <v>45885</v>
      </c>
      <c r="D446" s="2" t="s">
        <v>41</v>
      </c>
      <c r="E446" s="2" t="s">
        <v>41</v>
      </c>
      <c r="F446" s="2" t="s">
        <v>1457</v>
      </c>
      <c r="G446" s="2" t="s">
        <v>82</v>
      </c>
      <c r="H446" s="2" t="s">
        <v>44</v>
      </c>
      <c r="I446" s="2" t="s">
        <v>58</v>
      </c>
      <c r="J446" s="2" t="s">
        <v>41</v>
      </c>
      <c r="K446" s="2" t="s">
        <v>186</v>
      </c>
      <c r="L446" s="2" t="s">
        <v>187</v>
      </c>
      <c r="M446" s="2" t="s">
        <v>94</v>
      </c>
      <c r="N446" s="2" t="s">
        <v>95</v>
      </c>
      <c r="O446" s="2" t="s">
        <v>1458</v>
      </c>
      <c r="P446" s="2" t="s">
        <v>64</v>
      </c>
      <c r="Q446" s="2" t="s">
        <v>41</v>
      </c>
      <c r="R446" s="2" t="n">
        <v>9</v>
      </c>
      <c r="S446" s="2" t="n">
        <v>2379.24</v>
      </c>
      <c r="T446" s="2" t="n">
        <v>0.05</v>
      </c>
      <c r="U446" s="2" t="str">
        <f aca="false">IF(ISBLANK(T446),"Yes","No")</f>
        <v>No</v>
      </c>
      <c r="V446" s="2" t="n">
        <f aca="false">IF(ISBLANK(T446),0,IF(ISNUMBER(T446),T446,VALUE(LEFT(T446,LEN(T446)-1))/100))</f>
        <v>0.05</v>
      </c>
      <c r="W446" s="2" t="str">
        <f aca="false">IF(AND(V446&gt;=0,V446&lt;=0.25),"Valid","Invalid")</f>
        <v>Valid</v>
      </c>
      <c r="X446" s="2" t="n">
        <v>20342.5</v>
      </c>
      <c r="Y446" s="2" t="n">
        <f aca="false">R446*S446*(1-V446)</f>
        <v>20342.502</v>
      </c>
      <c r="Z446" s="2" t="str">
        <f aca="false">IF(ABS(X446-Y446)&gt;1,"Mismatch","OK")</f>
        <v>OK</v>
      </c>
      <c r="AA446" s="2" t="n">
        <v>12407.51</v>
      </c>
      <c r="AB446" s="2" t="n">
        <v>7934.99</v>
      </c>
      <c r="AC446" s="2" t="n">
        <f aca="false">Y446-AA446</f>
        <v>7934.992</v>
      </c>
      <c r="AD446" s="2" t="str">
        <f aca="false">IF(ABS(AB446-AC446)&gt;1,"Mismatch","OK")</f>
        <v>OK</v>
      </c>
      <c r="AE446" s="4" t="n">
        <f aca="false">IF(Y446=0,0,AC446/Y446)</f>
        <v>0.390069618771575</v>
      </c>
      <c r="AF446" s="2" t="s">
        <v>52</v>
      </c>
      <c r="AG446" s="2" t="s">
        <v>53</v>
      </c>
      <c r="AH446" s="2" t="str">
        <f aca="false">IF(AND(AG446="Completed",AF446&lt;&gt;"Paid"),"Inconsistent","OK")</f>
        <v>OK</v>
      </c>
      <c r="AI446" s="2" t="n">
        <f aca="false">IF(OR(ISBLANK(B446),ISBLANK(C446)),"",C446-B446)</f>
        <v>4</v>
      </c>
      <c r="AJ446" s="2" t="str">
        <f aca="false">IF(AI446="","Unknown",IF(AI446&lt;0,"Invalid","OK"))</f>
        <v>OK</v>
      </c>
      <c r="AK446" s="2" t="str">
        <f aca="false">IF(ISBLANK(B446),"",TEXT(B446,"mmm"))</f>
        <v>Aug</v>
      </c>
      <c r="AL446" s="2" t="n">
        <f aca="false">IF(ISBLANK(B446),"",YEAR(B446))</f>
        <v>2025</v>
      </c>
      <c r="AM446" s="2" t="s">
        <v>41</v>
      </c>
      <c r="AN446" s="2" t="str">
        <f aca="false">IF(OR(W446="Invalid",AJ446="Invalid",AH446="Inconsistent",Z446="Mismatch",AD446="Mismatch",AM446="Yes",D446="Yes",E446="Yes"),"Invalid",IF(OR(J446="Yes",Q446="Yes",U446="Yes"),"Warning","Clean"))</f>
        <v>Clean</v>
      </c>
    </row>
    <row r="447" customFormat="false" ht="15" hidden="false" customHeight="false" outlineLevel="0" collapsed="false">
      <c r="A447" s="2" t="s">
        <v>1459</v>
      </c>
      <c r="B447" s="3" t="n">
        <v>45421</v>
      </c>
      <c r="C447" s="3" t="n">
        <v>45417</v>
      </c>
      <c r="D447" s="2" t="s">
        <v>41</v>
      </c>
      <c r="E447" s="2" t="s">
        <v>41</v>
      </c>
      <c r="F447" s="2" t="s">
        <v>1460</v>
      </c>
      <c r="G447" s="2" t="s">
        <v>73</v>
      </c>
      <c r="H447" s="2" t="s">
        <v>44</v>
      </c>
      <c r="I447" s="2" t="s">
        <v>58</v>
      </c>
      <c r="J447" s="2" t="s">
        <v>41</v>
      </c>
      <c r="K447" s="2" t="s">
        <v>186</v>
      </c>
      <c r="L447" s="2" t="s">
        <v>187</v>
      </c>
      <c r="M447" s="2" t="s">
        <v>61</v>
      </c>
      <c r="N447" s="2" t="s">
        <v>178</v>
      </c>
      <c r="O447" s="2" t="s">
        <v>1461</v>
      </c>
      <c r="P447" s="2" t="s">
        <v>64</v>
      </c>
      <c r="Q447" s="2" t="s">
        <v>41</v>
      </c>
      <c r="R447" s="2" t="n">
        <v>2</v>
      </c>
      <c r="S447" s="2" t="n">
        <v>2111.23</v>
      </c>
      <c r="T447" s="2" t="n">
        <v>0.2</v>
      </c>
      <c r="U447" s="2" t="str">
        <f aca="false">IF(ISBLANK(T447),"Yes","No")</f>
        <v>No</v>
      </c>
      <c r="V447" s="2" t="n">
        <f aca="false">IF(ISBLANK(T447),0,IF(ISNUMBER(T447),T447,VALUE(LEFT(T447,LEN(T447)-1))/100))</f>
        <v>0.2</v>
      </c>
      <c r="W447" s="2" t="str">
        <f aca="false">IF(AND(V447&gt;=0,V447&lt;=0.25),"Valid","Invalid")</f>
        <v>Valid</v>
      </c>
      <c r="X447" s="2" t="n">
        <v>3377.97</v>
      </c>
      <c r="Y447" s="2" t="n">
        <f aca="false">R447*S447*(1-V447)</f>
        <v>3377.968</v>
      </c>
      <c r="Z447" s="2" t="str">
        <f aca="false">IF(ABS(X447-Y447)&gt;1,"Mismatch","OK")</f>
        <v>OK</v>
      </c>
      <c r="AA447" s="2" t="n">
        <v>2496.29</v>
      </c>
      <c r="AB447" s="2" t="n">
        <v>881.68</v>
      </c>
      <c r="AC447" s="2" t="n">
        <f aca="false">Y447-AA447</f>
        <v>881.678</v>
      </c>
      <c r="AD447" s="2" t="str">
        <f aca="false">IF(ABS(AB447-AC447)&gt;1,"Mismatch","OK")</f>
        <v>OK</v>
      </c>
      <c r="AE447" s="4" t="n">
        <f aca="false">IF(Y447=0,0,AC447/Y447)</f>
        <v>0.26100839321154</v>
      </c>
      <c r="AF447" s="2" t="s">
        <v>52</v>
      </c>
      <c r="AG447" s="2" t="s">
        <v>53</v>
      </c>
      <c r="AH447" s="2" t="str">
        <f aca="false">IF(AND(AG447="Completed",AF447&lt;&gt;"Paid"),"Inconsistent","OK")</f>
        <v>OK</v>
      </c>
      <c r="AI447" s="2" t="n">
        <f aca="false">IF(OR(ISBLANK(B447),ISBLANK(C447)),"",C447-B447)</f>
        <v>-4</v>
      </c>
      <c r="AJ447" s="2" t="str">
        <f aca="false">IF(AI447="","Unknown",IF(AI447&lt;0,"Invalid","OK"))</f>
        <v>Invalid</v>
      </c>
      <c r="AK447" s="2" t="str">
        <f aca="false">IF(ISBLANK(B447),"",TEXT(B447,"mmm"))</f>
        <v>May</v>
      </c>
      <c r="AL447" s="2" t="n">
        <f aca="false">IF(ISBLANK(B447),"",YEAR(B447))</f>
        <v>2024</v>
      </c>
      <c r="AM447" s="2" t="s">
        <v>41</v>
      </c>
      <c r="AN447" s="2" t="str">
        <f aca="false">IF(OR(W447="Invalid",AJ447="Invalid",AH447="Inconsistent",Z447="Mismatch",AD447="Mismatch",AM447="Yes",D447="Yes",E447="Yes"),"Invalid",IF(OR(J447="Yes",Q447="Yes",U447="Yes"),"Warning","Clean"))</f>
        <v>Invalid</v>
      </c>
    </row>
    <row r="448" customFormat="false" ht="15" hidden="false" customHeight="false" outlineLevel="0" collapsed="false">
      <c r="A448" s="2" t="s">
        <v>1462</v>
      </c>
      <c r="B448" s="3" t="n">
        <v>45918</v>
      </c>
      <c r="C448" s="3" t="n">
        <v>45919</v>
      </c>
      <c r="D448" s="2" t="s">
        <v>41</v>
      </c>
      <c r="E448" s="2" t="s">
        <v>41</v>
      </c>
      <c r="F448" s="2" t="s">
        <v>1463</v>
      </c>
      <c r="G448" s="2" t="s">
        <v>152</v>
      </c>
      <c r="H448" s="2" t="s">
        <v>115</v>
      </c>
      <c r="I448" s="2" t="s">
        <v>74</v>
      </c>
      <c r="J448" s="2" t="s">
        <v>41</v>
      </c>
      <c r="K448" s="2" t="s">
        <v>104</v>
      </c>
      <c r="L448" s="2" t="s">
        <v>105</v>
      </c>
      <c r="M448" s="2" t="s">
        <v>48</v>
      </c>
      <c r="N448" s="2" t="s">
        <v>144</v>
      </c>
      <c r="O448" s="2" t="s">
        <v>1464</v>
      </c>
      <c r="P448" s="2" t="s">
        <v>64</v>
      </c>
      <c r="Q448" s="2" t="s">
        <v>41</v>
      </c>
      <c r="R448" s="2" t="n">
        <v>8</v>
      </c>
      <c r="S448" s="2" t="n">
        <v>4242.51</v>
      </c>
      <c r="T448" s="2" t="n">
        <v>0</v>
      </c>
      <c r="U448" s="2" t="str">
        <f aca="false">IF(ISBLANK(T448),"Yes","No")</f>
        <v>No</v>
      </c>
      <c r="V448" s="2" t="n">
        <f aca="false">IF(ISBLANK(T448),0,IF(ISNUMBER(T448),T448,VALUE(LEFT(T448,LEN(T448)-1))/100))</f>
        <v>0</v>
      </c>
      <c r="W448" s="2" t="str">
        <f aca="false">IF(AND(V448&gt;=0,V448&lt;=0.25),"Valid","Invalid")</f>
        <v>Valid</v>
      </c>
      <c r="X448" s="2" t="n">
        <v>33940.08</v>
      </c>
      <c r="Y448" s="2" t="n">
        <f aca="false">R448*S448*(1-V448)</f>
        <v>33940.08</v>
      </c>
      <c r="Z448" s="2" t="str">
        <f aca="false">IF(ABS(X448-Y448)&gt;1,"Mismatch","OK")</f>
        <v>OK</v>
      </c>
      <c r="AA448" s="2" t="n">
        <v>23754.19</v>
      </c>
      <c r="AB448" s="2" t="n">
        <v>10185.89</v>
      </c>
      <c r="AC448" s="2" t="n">
        <f aca="false">Y448-AA448</f>
        <v>10185.89</v>
      </c>
      <c r="AD448" s="2" t="str">
        <f aca="false">IF(ABS(AB448-AC448)&gt;1,"Mismatch","OK")</f>
        <v>OK</v>
      </c>
      <c r="AE448" s="4" t="n">
        <f aca="false">IF(Y448=0,0,AC448/Y448)</f>
        <v>0.30011390662603</v>
      </c>
      <c r="AF448" s="2" t="s">
        <v>52</v>
      </c>
      <c r="AG448" s="2" t="s">
        <v>53</v>
      </c>
      <c r="AH448" s="2" t="str">
        <f aca="false">IF(AND(AG448="Completed",AF448&lt;&gt;"Paid"),"Inconsistent","OK")</f>
        <v>OK</v>
      </c>
      <c r="AI448" s="2" t="n">
        <f aca="false">IF(OR(ISBLANK(B448),ISBLANK(C448)),"",C448-B448)</f>
        <v>1</v>
      </c>
      <c r="AJ448" s="2" t="str">
        <f aca="false">IF(AI448="","Unknown",IF(AI448&lt;0,"Invalid","OK"))</f>
        <v>OK</v>
      </c>
      <c r="AK448" s="2" t="str">
        <f aca="false">IF(ISBLANK(B448),"",TEXT(B448,"mmm"))</f>
        <v>Sep</v>
      </c>
      <c r="AL448" s="2" t="n">
        <f aca="false">IF(ISBLANK(B448),"",YEAR(B448))</f>
        <v>2025</v>
      </c>
      <c r="AM448" s="2" t="s">
        <v>41</v>
      </c>
      <c r="AN448" s="2" t="str">
        <f aca="false">IF(OR(W448="Invalid",AJ448="Invalid",AH448="Inconsistent",Z448="Mismatch",AD448="Mismatch",AM448="Yes",D448="Yes",E448="Yes"),"Invalid",IF(OR(J448="Yes",Q448="Yes",U448="Yes"),"Warning","Clean"))</f>
        <v>Clean</v>
      </c>
    </row>
    <row r="449" customFormat="false" ht="15" hidden="false" customHeight="false" outlineLevel="0" collapsed="false">
      <c r="A449" s="2" t="s">
        <v>1465</v>
      </c>
      <c r="B449" s="3" t="n">
        <v>45879</v>
      </c>
      <c r="C449" s="3" t="n">
        <v>45879</v>
      </c>
      <c r="D449" s="2" t="s">
        <v>41</v>
      </c>
      <c r="E449" s="2" t="s">
        <v>41</v>
      </c>
      <c r="F449" s="2" t="s">
        <v>1466</v>
      </c>
      <c r="G449" s="2" t="s">
        <v>161</v>
      </c>
      <c r="H449" s="2" t="s">
        <v>115</v>
      </c>
      <c r="I449" s="2" t="s">
        <v>74</v>
      </c>
      <c r="J449" s="2" t="s">
        <v>41</v>
      </c>
      <c r="K449" s="2" t="s">
        <v>75</v>
      </c>
      <c r="L449" s="2" t="s">
        <v>76</v>
      </c>
      <c r="M449" s="2" t="s">
        <v>61</v>
      </c>
      <c r="N449" s="2" t="s">
        <v>178</v>
      </c>
      <c r="O449" s="2" t="s">
        <v>1467</v>
      </c>
      <c r="P449" s="2" t="s">
        <v>79</v>
      </c>
      <c r="Q449" s="2" t="s">
        <v>41</v>
      </c>
      <c r="R449" s="2" t="n">
        <v>6</v>
      </c>
      <c r="S449" s="2" t="n">
        <v>4288.7</v>
      </c>
      <c r="T449" s="2" t="n">
        <v>0.15</v>
      </c>
      <c r="U449" s="2" t="str">
        <f aca="false">IF(ISBLANK(T449),"Yes","No")</f>
        <v>No</v>
      </c>
      <c r="V449" s="2" t="n">
        <f aca="false">IF(ISBLANK(T449),0,IF(ISNUMBER(T449),T449,VALUE(LEFT(T449,LEN(T449)-1))/100))</f>
        <v>0.15</v>
      </c>
      <c r="W449" s="2" t="str">
        <f aca="false">IF(AND(V449&gt;=0,V449&lt;=0.25),"Valid","Invalid")</f>
        <v>Valid</v>
      </c>
      <c r="X449" s="2" t="n">
        <v>21872.37</v>
      </c>
      <c r="Y449" s="2" t="n">
        <f aca="false">R449*S449*(1-V449)</f>
        <v>21872.37</v>
      </c>
      <c r="Z449" s="2" t="str">
        <f aca="false">IF(ABS(X449-Y449)&gt;1,"Mismatch","OK")</f>
        <v>OK</v>
      </c>
      <c r="AA449" s="2" t="n">
        <v>13829.5</v>
      </c>
      <c r="AB449" s="2" t="n">
        <v>8042.87</v>
      </c>
      <c r="AC449" s="2" t="n">
        <f aca="false">Y449-AA449</f>
        <v>8042.87</v>
      </c>
      <c r="AD449" s="2" t="str">
        <f aca="false">IF(ABS(AB449-AC449)&gt;1,"Mismatch","OK")</f>
        <v>OK</v>
      </c>
      <c r="AE449" s="4" t="n">
        <f aca="false">IF(Y449=0,0,AC449/Y449)</f>
        <v>0.367718267384833</v>
      </c>
      <c r="AF449" s="2" t="s">
        <v>131</v>
      </c>
      <c r="AG449" s="2" t="s">
        <v>123</v>
      </c>
      <c r="AH449" s="2" t="str">
        <f aca="false">IF(AND(AG449="Completed",AF449&lt;&gt;"Paid"),"Inconsistent","OK")</f>
        <v>OK</v>
      </c>
      <c r="AI449" s="2" t="n">
        <f aca="false">IF(OR(ISBLANK(B449),ISBLANK(C449)),"",C449-B449)</f>
        <v>0</v>
      </c>
      <c r="AJ449" s="2" t="str">
        <f aca="false">IF(AI449="","Unknown",IF(AI449&lt;0,"Invalid","OK"))</f>
        <v>OK</v>
      </c>
      <c r="AK449" s="2" t="str">
        <f aca="false">IF(ISBLANK(B449),"",TEXT(B449,"mmm"))</f>
        <v>Aug</v>
      </c>
      <c r="AL449" s="2" t="n">
        <f aca="false">IF(ISBLANK(B449),"",YEAR(B449))</f>
        <v>2025</v>
      </c>
      <c r="AM449" s="2" t="s">
        <v>41</v>
      </c>
      <c r="AN449" s="2" t="str">
        <f aca="false">IF(OR(W449="Invalid",AJ449="Invalid",AH449="Inconsistent",Z449="Mismatch",AD449="Mismatch",AM449="Yes",D449="Yes",E449="Yes"),"Invalid",IF(OR(J449="Yes",Q449="Yes",U449="Yes"),"Warning","Clean"))</f>
        <v>Clean</v>
      </c>
    </row>
    <row r="450" customFormat="false" ht="15" hidden="false" customHeight="false" outlineLevel="0" collapsed="false">
      <c r="A450" s="2" t="s">
        <v>1468</v>
      </c>
      <c r="B450" s="3" t="n">
        <v>45306</v>
      </c>
      <c r="C450" s="3" t="n">
        <v>45309</v>
      </c>
      <c r="D450" s="2" t="s">
        <v>41</v>
      </c>
      <c r="E450" s="2" t="s">
        <v>41</v>
      </c>
      <c r="F450" s="2" t="s">
        <v>1469</v>
      </c>
      <c r="G450" s="2" t="s">
        <v>56</v>
      </c>
      <c r="H450" s="2" t="s">
        <v>57</v>
      </c>
      <c r="I450" s="2" t="s">
        <v>74</v>
      </c>
      <c r="J450" s="2" t="s">
        <v>41</v>
      </c>
      <c r="K450" s="2" t="s">
        <v>104</v>
      </c>
      <c r="L450" s="2" t="s">
        <v>105</v>
      </c>
      <c r="M450" s="2" t="s">
        <v>61</v>
      </c>
      <c r="N450" s="2" t="s">
        <v>86</v>
      </c>
      <c r="O450" s="2" t="s">
        <v>1470</v>
      </c>
      <c r="P450" s="2" t="s">
        <v>70</v>
      </c>
      <c r="Q450" s="2" t="s">
        <v>41</v>
      </c>
      <c r="R450" s="2" t="n">
        <v>2</v>
      </c>
      <c r="S450" s="2" t="n">
        <v>201.21</v>
      </c>
      <c r="T450" s="2" t="n">
        <v>0.15</v>
      </c>
      <c r="U450" s="2" t="str">
        <f aca="false">IF(ISBLANK(T450),"Yes","No")</f>
        <v>No</v>
      </c>
      <c r="V450" s="2" t="n">
        <f aca="false">IF(ISBLANK(T450),0,IF(ISNUMBER(T450),T450,VALUE(LEFT(T450,LEN(T450)-1))/100))</f>
        <v>0.15</v>
      </c>
      <c r="W450" s="2" t="str">
        <f aca="false">IF(AND(V450&gt;=0,V450&lt;=0.25),"Valid","Invalid")</f>
        <v>Valid</v>
      </c>
      <c r="X450" s="2" t="n">
        <v>342.06</v>
      </c>
      <c r="Y450" s="2" t="n">
        <f aca="false">R450*S450*(1-V450)</f>
        <v>342.057</v>
      </c>
      <c r="Z450" s="2" t="str">
        <f aca="false">IF(ABS(X450-Y450)&gt;1,"Mismatch","OK")</f>
        <v>OK</v>
      </c>
      <c r="AA450" s="2" t="n">
        <v>244.57</v>
      </c>
      <c r="AB450" s="2" t="n">
        <v>97.49</v>
      </c>
      <c r="AC450" s="2" t="n">
        <f aca="false">Y450-AA450</f>
        <v>97.487</v>
      </c>
      <c r="AD450" s="2" t="str">
        <f aca="false">IF(ABS(AB450-AC450)&gt;1,"Mismatch","OK")</f>
        <v>OK</v>
      </c>
      <c r="AE450" s="4" t="n">
        <f aca="false">IF(Y450=0,0,AC450/Y450)</f>
        <v>0.285002207234467</v>
      </c>
      <c r="AF450" s="2" t="s">
        <v>52</v>
      </c>
      <c r="AG450" s="2" t="s">
        <v>53</v>
      </c>
      <c r="AH450" s="2" t="str">
        <f aca="false">IF(AND(AG450="Completed",AF450&lt;&gt;"Paid"),"Inconsistent","OK")</f>
        <v>OK</v>
      </c>
      <c r="AI450" s="2" t="n">
        <f aca="false">IF(OR(ISBLANK(B450),ISBLANK(C450)),"",C450-B450)</f>
        <v>3</v>
      </c>
      <c r="AJ450" s="2" t="str">
        <f aca="false">IF(AI450="","Unknown",IF(AI450&lt;0,"Invalid","OK"))</f>
        <v>OK</v>
      </c>
      <c r="AK450" s="2" t="str">
        <f aca="false">IF(ISBLANK(B450),"",TEXT(B450,"mmm"))</f>
        <v>Jan</v>
      </c>
      <c r="AL450" s="2" t="n">
        <f aca="false">IF(ISBLANK(B450),"",YEAR(B450))</f>
        <v>2024</v>
      </c>
      <c r="AM450" s="2" t="s">
        <v>41</v>
      </c>
      <c r="AN450" s="2" t="str">
        <f aca="false">IF(OR(W450="Invalid",AJ450="Invalid",AH450="Inconsistent",Z450="Mismatch",AD450="Mismatch",AM450="Yes",D450="Yes",E450="Yes"),"Invalid",IF(OR(J450="Yes",Q450="Yes",U450="Yes"),"Warning","Clean"))</f>
        <v>Clean</v>
      </c>
    </row>
    <row r="451" customFormat="false" ht="15" hidden="false" customHeight="false" outlineLevel="0" collapsed="false">
      <c r="A451" s="2" t="s">
        <v>1471</v>
      </c>
      <c r="B451" s="3" t="n">
        <v>45449</v>
      </c>
      <c r="C451" s="3" t="n">
        <v>45456</v>
      </c>
      <c r="D451" s="2" t="s">
        <v>41</v>
      </c>
      <c r="E451" s="2" t="s">
        <v>41</v>
      </c>
      <c r="F451" s="2" t="s">
        <v>1365</v>
      </c>
      <c r="G451" s="2" t="s">
        <v>109</v>
      </c>
      <c r="H451" s="2" t="s">
        <v>110</v>
      </c>
      <c r="I451" s="2" t="s">
        <v>58</v>
      </c>
      <c r="J451" s="2" t="s">
        <v>41</v>
      </c>
      <c r="K451" s="2" t="s">
        <v>186</v>
      </c>
      <c r="L451" s="2" t="s">
        <v>187</v>
      </c>
      <c r="M451" s="2" t="s">
        <v>94</v>
      </c>
      <c r="N451" s="2" t="s">
        <v>296</v>
      </c>
      <c r="O451" s="2" t="s">
        <v>1472</v>
      </c>
      <c r="P451" s="2" t="s">
        <v>51</v>
      </c>
      <c r="Q451" s="2" t="s">
        <v>41</v>
      </c>
      <c r="R451" s="2" t="n">
        <v>6</v>
      </c>
      <c r="S451" s="2" t="n">
        <v>3270.36</v>
      </c>
      <c r="T451" s="2" t="n">
        <v>0</v>
      </c>
      <c r="U451" s="2" t="str">
        <f aca="false">IF(ISBLANK(T451),"Yes","No")</f>
        <v>No</v>
      </c>
      <c r="V451" s="2" t="n">
        <f aca="false">IF(ISBLANK(T451),0,IF(ISNUMBER(T451),T451,VALUE(LEFT(T451,LEN(T451)-1))/100))</f>
        <v>0</v>
      </c>
      <c r="W451" s="2" t="str">
        <f aca="false">IF(AND(V451&gt;=0,V451&lt;=0.25),"Valid","Invalid")</f>
        <v>Valid</v>
      </c>
      <c r="X451" s="2" t="n">
        <v>19622.16</v>
      </c>
      <c r="Y451" s="2" t="n">
        <f aca="false">R451*S451*(1-V451)</f>
        <v>19622.16</v>
      </c>
      <c r="Z451" s="2" t="str">
        <f aca="false">IF(ABS(X451-Y451)&gt;1,"Mismatch","OK")</f>
        <v>OK</v>
      </c>
      <c r="AA451" s="2" t="n">
        <v>14271.27</v>
      </c>
      <c r="AB451" s="2" t="n">
        <v>5350.89</v>
      </c>
      <c r="AC451" s="2" t="n">
        <f aca="false">Y451-AA451</f>
        <v>5350.89</v>
      </c>
      <c r="AD451" s="2" t="str">
        <f aca="false">IF(ABS(AB451-AC451)&gt;1,"Mismatch","OK")</f>
        <v>OK</v>
      </c>
      <c r="AE451" s="4" t="n">
        <f aca="false">IF(Y451=0,0,AC451/Y451)</f>
        <v>0.272696278085593</v>
      </c>
      <c r="AF451" s="2" t="s">
        <v>52</v>
      </c>
      <c r="AG451" s="2" t="s">
        <v>53</v>
      </c>
      <c r="AH451" s="2" t="str">
        <f aca="false">IF(AND(AG451="Completed",AF451&lt;&gt;"Paid"),"Inconsistent","OK")</f>
        <v>OK</v>
      </c>
      <c r="AI451" s="2" t="n">
        <f aca="false">IF(OR(ISBLANK(B451),ISBLANK(C451)),"",C451-B451)</f>
        <v>7</v>
      </c>
      <c r="AJ451" s="2" t="str">
        <f aca="false">IF(AI451="","Unknown",IF(AI451&lt;0,"Invalid","OK"))</f>
        <v>OK</v>
      </c>
      <c r="AK451" s="2" t="str">
        <f aca="false">IF(ISBLANK(B451),"",TEXT(B451,"mmm"))</f>
        <v>Jun</v>
      </c>
      <c r="AL451" s="2" t="n">
        <f aca="false">IF(ISBLANK(B451),"",YEAR(B451))</f>
        <v>2024</v>
      </c>
      <c r="AM451" s="2" t="s">
        <v>41</v>
      </c>
      <c r="AN451" s="2" t="str">
        <f aca="false">IF(OR(W451="Invalid",AJ451="Invalid",AH451="Inconsistent",Z451="Mismatch",AD451="Mismatch",AM451="Yes",D451="Yes",E451="Yes"),"Invalid",IF(OR(J451="Yes",Q451="Yes",U451="Yes"),"Warning","Clean"))</f>
        <v>Clean</v>
      </c>
    </row>
    <row r="452" customFormat="false" ht="15" hidden="false" customHeight="false" outlineLevel="0" collapsed="false">
      <c r="A452" s="2" t="s">
        <v>1473</v>
      </c>
      <c r="B452" s="3" t="n">
        <v>45820</v>
      </c>
      <c r="C452" s="3" t="n">
        <v>45827</v>
      </c>
      <c r="D452" s="2" t="s">
        <v>41</v>
      </c>
      <c r="E452" s="2" t="s">
        <v>41</v>
      </c>
      <c r="F452" s="2" t="s">
        <v>1474</v>
      </c>
      <c r="G452" s="2" t="s">
        <v>82</v>
      </c>
      <c r="H452" s="2" t="s">
        <v>110</v>
      </c>
      <c r="I452" s="2" t="s">
        <v>45</v>
      </c>
      <c r="J452" s="2" t="s">
        <v>41</v>
      </c>
      <c r="K452" s="2" t="s">
        <v>372</v>
      </c>
      <c r="L452" s="2" t="s">
        <v>373</v>
      </c>
      <c r="M452" s="2" t="s">
        <v>61</v>
      </c>
      <c r="N452" s="2" t="s">
        <v>86</v>
      </c>
      <c r="O452" s="2" t="s">
        <v>1475</v>
      </c>
      <c r="P452" s="2" t="s">
        <v>79</v>
      </c>
      <c r="Q452" s="2" t="s">
        <v>41</v>
      </c>
      <c r="R452" s="2" t="n">
        <v>9</v>
      </c>
      <c r="S452" s="2" t="n">
        <v>2278.57</v>
      </c>
      <c r="T452" s="2" t="n">
        <v>0.25</v>
      </c>
      <c r="U452" s="2" t="str">
        <f aca="false">IF(ISBLANK(T452),"Yes","No")</f>
        <v>No</v>
      </c>
      <c r="V452" s="2" t="n">
        <f aca="false">IF(ISBLANK(T452),0,IF(ISNUMBER(T452),T452,VALUE(LEFT(T452,LEN(T452)-1))/100))</f>
        <v>0.25</v>
      </c>
      <c r="W452" s="2" t="str">
        <f aca="false">IF(AND(V452&gt;=0,V452&lt;=0.25),"Valid","Invalid")</f>
        <v>Valid</v>
      </c>
      <c r="X452" s="2" t="n">
        <v>15380.35</v>
      </c>
      <c r="Y452" s="2" t="n">
        <f aca="false">R452*S452*(1-V452)</f>
        <v>15380.3475</v>
      </c>
      <c r="Z452" s="2" t="str">
        <f aca="false">IF(ABS(X452-Y452)&gt;1,"Mismatch","OK")</f>
        <v>OK</v>
      </c>
      <c r="AA452" s="2" t="n">
        <v>9907.37</v>
      </c>
      <c r="AB452" s="2" t="n">
        <v>5472.98</v>
      </c>
      <c r="AC452" s="2" t="n">
        <f aca="false">Y452-AA452</f>
        <v>5472.9775</v>
      </c>
      <c r="AD452" s="2" t="str">
        <f aca="false">IF(ABS(AB452-AC452)&gt;1,"Mismatch","OK")</f>
        <v>OK</v>
      </c>
      <c r="AE452" s="4" t="n">
        <f aca="false">IF(Y452=0,0,AC452/Y452)</f>
        <v>0.355842252588896</v>
      </c>
      <c r="AF452" s="2" t="s">
        <v>52</v>
      </c>
      <c r="AG452" s="2" t="s">
        <v>53</v>
      </c>
      <c r="AH452" s="2" t="str">
        <f aca="false">IF(AND(AG452="Completed",AF452&lt;&gt;"Paid"),"Inconsistent","OK")</f>
        <v>OK</v>
      </c>
      <c r="AI452" s="2" t="n">
        <f aca="false">IF(OR(ISBLANK(B452),ISBLANK(C452)),"",C452-B452)</f>
        <v>7</v>
      </c>
      <c r="AJ452" s="2" t="str">
        <f aca="false">IF(AI452="","Unknown",IF(AI452&lt;0,"Invalid","OK"))</f>
        <v>OK</v>
      </c>
      <c r="AK452" s="2" t="str">
        <f aca="false">IF(ISBLANK(B452),"",TEXT(B452,"mmm"))</f>
        <v>Jun</v>
      </c>
      <c r="AL452" s="2" t="n">
        <f aca="false">IF(ISBLANK(B452),"",YEAR(B452))</f>
        <v>2025</v>
      </c>
      <c r="AM452" s="2" t="s">
        <v>41</v>
      </c>
      <c r="AN452" s="2" t="str">
        <f aca="false">IF(OR(W452="Invalid",AJ452="Invalid",AH452="Inconsistent",Z452="Mismatch",AD452="Mismatch",AM452="Yes",D452="Yes",E452="Yes"),"Invalid",IF(OR(J452="Yes",Q452="Yes",U452="Yes"),"Warning","Clean"))</f>
        <v>Clean</v>
      </c>
    </row>
    <row r="453" customFormat="false" ht="15" hidden="false" customHeight="false" outlineLevel="0" collapsed="false">
      <c r="A453" s="2" t="s">
        <v>1476</v>
      </c>
      <c r="B453" s="3" t="n">
        <v>45375</v>
      </c>
      <c r="C453" s="3" t="n">
        <v>45377</v>
      </c>
      <c r="D453" s="2" t="s">
        <v>41</v>
      </c>
      <c r="E453" s="2" t="s">
        <v>41</v>
      </c>
      <c r="F453" s="2" t="s">
        <v>1477</v>
      </c>
      <c r="G453" s="2" t="s">
        <v>161</v>
      </c>
      <c r="H453" s="2" t="s">
        <v>57</v>
      </c>
      <c r="I453" s="2" t="s">
        <v>45</v>
      </c>
      <c r="J453" s="2" t="s">
        <v>41</v>
      </c>
      <c r="K453" s="2" t="s">
        <v>258</v>
      </c>
      <c r="L453" s="2" t="s">
        <v>259</v>
      </c>
      <c r="M453" s="2" t="s">
        <v>48</v>
      </c>
      <c r="N453" s="2" t="s">
        <v>49</v>
      </c>
      <c r="O453" s="2" t="s">
        <v>1478</v>
      </c>
      <c r="P453" s="2" t="s">
        <v>51</v>
      </c>
      <c r="Q453" s="2" t="s">
        <v>41</v>
      </c>
      <c r="R453" s="2" t="n">
        <v>8</v>
      </c>
      <c r="S453" s="2" t="n">
        <v>1917.64</v>
      </c>
      <c r="T453" s="2" t="n">
        <v>0.15</v>
      </c>
      <c r="U453" s="2" t="str">
        <f aca="false">IF(ISBLANK(T453),"Yes","No")</f>
        <v>No</v>
      </c>
      <c r="V453" s="2" t="n">
        <f aca="false">IF(ISBLANK(T453),0,IF(ISNUMBER(T453),T453,VALUE(LEFT(T453,LEN(T453)-1))/100))</f>
        <v>0.15</v>
      </c>
      <c r="W453" s="2" t="str">
        <f aca="false">IF(AND(V453&gt;=0,V453&lt;=0.25),"Valid","Invalid")</f>
        <v>Valid</v>
      </c>
      <c r="X453" s="2" t="n">
        <v>13039.95</v>
      </c>
      <c r="Y453" s="2" t="n">
        <f aca="false">R453*S453*(1-V453)</f>
        <v>13039.952</v>
      </c>
      <c r="Z453" s="2" t="str">
        <f aca="false">IF(ABS(X453-Y453)&gt;1,"Mismatch","OK")</f>
        <v>OK</v>
      </c>
      <c r="AA453" s="2" t="n">
        <v>11127.82</v>
      </c>
      <c r="AB453" s="2" t="n">
        <v>1912.13</v>
      </c>
      <c r="AC453" s="2" t="n">
        <f aca="false">Y453-AA453</f>
        <v>1912.132</v>
      </c>
      <c r="AD453" s="2" t="str">
        <f aca="false">IF(ABS(AB453-AC453)&gt;1,"Mismatch","OK")</f>
        <v>OK</v>
      </c>
      <c r="AE453" s="4" t="n">
        <f aca="false">IF(Y453=0,0,AC453/Y453)</f>
        <v>0.14663642933655</v>
      </c>
      <c r="AF453" s="2" t="s">
        <v>52</v>
      </c>
      <c r="AG453" s="2" t="s">
        <v>88</v>
      </c>
      <c r="AH453" s="2" t="str">
        <f aca="false">IF(AND(AG453="Completed",AF453&lt;&gt;"Paid"),"Inconsistent","OK")</f>
        <v>OK</v>
      </c>
      <c r="AI453" s="2" t="n">
        <f aca="false">IF(OR(ISBLANK(B453),ISBLANK(C453)),"",C453-B453)</f>
        <v>2</v>
      </c>
      <c r="AJ453" s="2" t="str">
        <f aca="false">IF(AI453="","Unknown",IF(AI453&lt;0,"Invalid","OK"))</f>
        <v>OK</v>
      </c>
      <c r="AK453" s="2" t="str">
        <f aca="false">IF(ISBLANK(B453),"",TEXT(B453,"mmm"))</f>
        <v>Mar</v>
      </c>
      <c r="AL453" s="2" t="n">
        <f aca="false">IF(ISBLANK(B453),"",YEAR(B453))</f>
        <v>2024</v>
      </c>
      <c r="AM453" s="2" t="s">
        <v>41</v>
      </c>
      <c r="AN453" s="2" t="str">
        <f aca="false">IF(OR(W453="Invalid",AJ453="Invalid",AH453="Inconsistent",Z453="Mismatch",AD453="Mismatch",AM453="Yes",D453="Yes",E453="Yes"),"Invalid",IF(OR(J453="Yes",Q453="Yes",U453="Yes"),"Warning","Clean"))</f>
        <v>Clean</v>
      </c>
    </row>
    <row r="454" customFormat="false" ht="15" hidden="false" customHeight="false" outlineLevel="0" collapsed="false">
      <c r="A454" s="2" t="s">
        <v>1479</v>
      </c>
      <c r="B454" s="3" t="n">
        <v>45422</v>
      </c>
      <c r="C454" s="3" t="n">
        <v>45428</v>
      </c>
      <c r="D454" s="2" t="s">
        <v>41</v>
      </c>
      <c r="E454" s="2" t="s">
        <v>41</v>
      </c>
      <c r="F454" s="2" t="s">
        <v>1480</v>
      </c>
      <c r="G454" s="2" t="s">
        <v>182</v>
      </c>
      <c r="H454" s="2" t="s">
        <v>115</v>
      </c>
      <c r="I454" s="2" t="s">
        <v>58</v>
      </c>
      <c r="J454" s="2" t="s">
        <v>41</v>
      </c>
      <c r="K454" s="2" t="s">
        <v>250</v>
      </c>
      <c r="L454" s="2" t="s">
        <v>251</v>
      </c>
      <c r="M454" s="2" t="s">
        <v>94</v>
      </c>
      <c r="N454" s="2" t="s">
        <v>95</v>
      </c>
      <c r="O454" s="2" t="s">
        <v>1481</v>
      </c>
      <c r="P454" s="2" t="s">
        <v>51</v>
      </c>
      <c r="Q454" s="2" t="s">
        <v>41</v>
      </c>
      <c r="R454" s="2" t="n">
        <v>6</v>
      </c>
      <c r="S454" s="2" t="n">
        <v>2013.33</v>
      </c>
      <c r="T454" s="2" t="n">
        <v>0.2</v>
      </c>
      <c r="U454" s="2" t="str">
        <f aca="false">IF(ISBLANK(T454),"Yes","No")</f>
        <v>No</v>
      </c>
      <c r="V454" s="2" t="n">
        <f aca="false">IF(ISBLANK(T454),0,IF(ISNUMBER(T454),T454,VALUE(LEFT(T454,LEN(T454)-1))/100))</f>
        <v>0.2</v>
      </c>
      <c r="W454" s="2" t="str">
        <f aca="false">IF(AND(V454&gt;=0,V454&lt;=0.25),"Valid","Invalid")</f>
        <v>Valid</v>
      </c>
      <c r="X454" s="2" t="n">
        <v>9663.98</v>
      </c>
      <c r="Y454" s="2" t="n">
        <f aca="false">R454*S454*(1-V454)</f>
        <v>9663.984</v>
      </c>
      <c r="Z454" s="2" t="str">
        <f aca="false">IF(ABS(X454-Y454)&gt;1,"Mismatch","OK")</f>
        <v>OK</v>
      </c>
      <c r="AA454" s="2" t="n">
        <v>5628.93</v>
      </c>
      <c r="AB454" s="2" t="n">
        <v>4035.05</v>
      </c>
      <c r="AC454" s="2" t="n">
        <f aca="false">Y454-AA454</f>
        <v>4035.054</v>
      </c>
      <c r="AD454" s="2" t="str">
        <f aca="false">IF(ABS(AB454-AC454)&gt;1,"Mismatch","OK")</f>
        <v>OK</v>
      </c>
      <c r="AE454" s="4" t="n">
        <f aca="false">IF(Y454=0,0,AC454/Y454)</f>
        <v>0.417535252541809</v>
      </c>
      <c r="AF454" s="2" t="s">
        <v>52</v>
      </c>
      <c r="AG454" s="2" t="s">
        <v>53</v>
      </c>
      <c r="AH454" s="2" t="str">
        <f aca="false">IF(AND(AG454="Completed",AF454&lt;&gt;"Paid"),"Inconsistent","OK")</f>
        <v>OK</v>
      </c>
      <c r="AI454" s="2" t="n">
        <f aca="false">IF(OR(ISBLANK(B454),ISBLANK(C454)),"",C454-B454)</f>
        <v>6</v>
      </c>
      <c r="AJ454" s="2" t="str">
        <f aca="false">IF(AI454="","Unknown",IF(AI454&lt;0,"Invalid","OK"))</f>
        <v>OK</v>
      </c>
      <c r="AK454" s="2" t="str">
        <f aca="false">IF(ISBLANK(B454),"",TEXT(B454,"mmm"))</f>
        <v>May</v>
      </c>
      <c r="AL454" s="2" t="n">
        <f aca="false">IF(ISBLANK(B454),"",YEAR(B454))</f>
        <v>2024</v>
      </c>
      <c r="AM454" s="2" t="s">
        <v>41</v>
      </c>
      <c r="AN454" s="2" t="str">
        <f aca="false">IF(OR(W454="Invalid",AJ454="Invalid",AH454="Inconsistent",Z454="Mismatch",AD454="Mismatch",AM454="Yes",D454="Yes",E454="Yes"),"Invalid",IF(OR(J454="Yes",Q454="Yes",U454="Yes"),"Warning","Clean"))</f>
        <v>Clean</v>
      </c>
    </row>
    <row r="455" customFormat="false" ht="15" hidden="false" customHeight="false" outlineLevel="0" collapsed="false">
      <c r="A455" s="2" t="s">
        <v>1482</v>
      </c>
      <c r="B455" s="3" t="n">
        <v>45780</v>
      </c>
      <c r="C455" s="3" t="n">
        <v>45788</v>
      </c>
      <c r="D455" s="2" t="s">
        <v>41</v>
      </c>
      <c r="E455" s="2" t="s">
        <v>41</v>
      </c>
      <c r="F455" s="2" t="s">
        <v>1483</v>
      </c>
      <c r="G455" s="2" t="s">
        <v>161</v>
      </c>
      <c r="H455" s="2" t="s">
        <v>57</v>
      </c>
      <c r="I455" s="2" t="s">
        <v>83</v>
      </c>
      <c r="J455" s="2" t="s">
        <v>41</v>
      </c>
      <c r="K455" s="2" t="s">
        <v>92</v>
      </c>
      <c r="L455" s="2" t="s">
        <v>93</v>
      </c>
      <c r="M455" s="2" t="s">
        <v>48</v>
      </c>
      <c r="N455" s="2" t="s">
        <v>111</v>
      </c>
      <c r="O455" s="2" t="s">
        <v>1484</v>
      </c>
      <c r="P455" s="2" t="s">
        <v>64</v>
      </c>
      <c r="Q455" s="2" t="s">
        <v>41</v>
      </c>
      <c r="R455" s="2" t="n">
        <v>5</v>
      </c>
      <c r="S455" s="2" t="n">
        <v>1483.52</v>
      </c>
      <c r="T455" s="2" t="n">
        <v>0</v>
      </c>
      <c r="U455" s="2" t="str">
        <f aca="false">IF(ISBLANK(T455),"Yes","No")</f>
        <v>No</v>
      </c>
      <c r="V455" s="2" t="n">
        <f aca="false">IF(ISBLANK(T455),0,IF(ISNUMBER(T455),T455,VALUE(LEFT(T455,LEN(T455)-1))/100))</f>
        <v>0</v>
      </c>
      <c r="W455" s="2" t="str">
        <f aca="false">IF(AND(V455&gt;=0,V455&lt;=0.25),"Valid","Invalid")</f>
        <v>Valid</v>
      </c>
      <c r="X455" s="2" t="n">
        <v>7417.6</v>
      </c>
      <c r="Y455" s="2" t="n">
        <f aca="false">R455*S455*(1-V455)</f>
        <v>7417.6</v>
      </c>
      <c r="Z455" s="2" t="str">
        <f aca="false">IF(ABS(X455-Y455)&gt;1,"Mismatch","OK")</f>
        <v>OK</v>
      </c>
      <c r="AA455" s="2" t="n">
        <v>4955.86</v>
      </c>
      <c r="AB455" s="2" t="n">
        <v>2461.74</v>
      </c>
      <c r="AC455" s="2" t="n">
        <f aca="false">Y455-AA455</f>
        <v>2461.74</v>
      </c>
      <c r="AD455" s="2" t="str">
        <f aca="false">IF(ABS(AB455-AC455)&gt;1,"Mismatch","OK")</f>
        <v>OK</v>
      </c>
      <c r="AE455" s="4" t="n">
        <f aca="false">IF(Y455=0,0,AC455/Y455)</f>
        <v>0.331878235547886</v>
      </c>
      <c r="AF455" s="2" t="s">
        <v>52</v>
      </c>
      <c r="AG455" s="2" t="s">
        <v>53</v>
      </c>
      <c r="AH455" s="2" t="str">
        <f aca="false">IF(AND(AG455="Completed",AF455&lt;&gt;"Paid"),"Inconsistent","OK")</f>
        <v>OK</v>
      </c>
      <c r="AI455" s="2" t="n">
        <f aca="false">IF(OR(ISBLANK(B455),ISBLANK(C455)),"",C455-B455)</f>
        <v>8</v>
      </c>
      <c r="AJ455" s="2" t="str">
        <f aca="false">IF(AI455="","Unknown",IF(AI455&lt;0,"Invalid","OK"))</f>
        <v>OK</v>
      </c>
      <c r="AK455" s="2" t="str">
        <f aca="false">IF(ISBLANK(B455),"",TEXT(B455,"mmm"))</f>
        <v>May</v>
      </c>
      <c r="AL455" s="2" t="n">
        <f aca="false">IF(ISBLANK(B455),"",YEAR(B455))</f>
        <v>2025</v>
      </c>
      <c r="AM455" s="2" t="s">
        <v>41</v>
      </c>
      <c r="AN455" s="2" t="str">
        <f aca="false">IF(OR(W455="Invalid",AJ455="Invalid",AH455="Inconsistent",Z455="Mismatch",AD455="Mismatch",AM455="Yes",D455="Yes",E455="Yes"),"Invalid",IF(OR(J455="Yes",Q455="Yes",U455="Yes"),"Warning","Clean"))</f>
        <v>Clean</v>
      </c>
    </row>
    <row r="456" customFormat="false" ht="15" hidden="false" customHeight="false" outlineLevel="0" collapsed="false">
      <c r="A456" s="2" t="s">
        <v>1485</v>
      </c>
      <c r="B456" s="3" t="n">
        <v>45739</v>
      </c>
      <c r="C456" s="3" t="n">
        <v>45744</v>
      </c>
      <c r="D456" s="2" t="s">
        <v>41</v>
      </c>
      <c r="E456" s="2" t="s">
        <v>41</v>
      </c>
      <c r="F456" s="2" t="s">
        <v>1486</v>
      </c>
      <c r="G456" s="2" t="s">
        <v>91</v>
      </c>
      <c r="H456" s="2" t="s">
        <v>57</v>
      </c>
      <c r="I456" s="2" t="s">
        <v>45</v>
      </c>
      <c r="J456" s="2" t="s">
        <v>41</v>
      </c>
      <c r="K456" s="2" t="s">
        <v>46</v>
      </c>
      <c r="L456" s="2" t="s">
        <v>47</v>
      </c>
      <c r="M456" s="2" t="s">
        <v>61</v>
      </c>
      <c r="N456" s="2" t="s">
        <v>77</v>
      </c>
      <c r="O456" s="2" t="s">
        <v>1487</v>
      </c>
      <c r="P456" s="2" t="s">
        <v>79</v>
      </c>
      <c r="Q456" s="2" t="s">
        <v>41</v>
      </c>
      <c r="R456" s="2" t="n">
        <v>9</v>
      </c>
      <c r="S456" s="2" t="n">
        <v>3298</v>
      </c>
      <c r="T456" s="2" t="n">
        <v>0.15</v>
      </c>
      <c r="U456" s="2" t="str">
        <f aca="false">IF(ISBLANK(T456),"Yes","No")</f>
        <v>No</v>
      </c>
      <c r="V456" s="2" t="n">
        <f aca="false">IF(ISBLANK(T456),0,IF(ISNUMBER(T456),T456,VALUE(LEFT(T456,LEN(T456)-1))/100))</f>
        <v>0.15</v>
      </c>
      <c r="W456" s="2" t="str">
        <f aca="false">IF(AND(V456&gt;=0,V456&lt;=0.25),"Valid","Invalid")</f>
        <v>Valid</v>
      </c>
      <c r="X456" s="2" t="n">
        <v>25229.7</v>
      </c>
      <c r="Y456" s="2" t="n">
        <f aca="false">R456*S456*(1-V456)</f>
        <v>25229.7</v>
      </c>
      <c r="Z456" s="2" t="str">
        <f aca="false">IF(ABS(X456-Y456)&gt;1,"Mismatch","OK")</f>
        <v>OK</v>
      </c>
      <c r="AA456" s="2" t="n">
        <v>20170.43</v>
      </c>
      <c r="AB456" s="2" t="n">
        <v>5059.27</v>
      </c>
      <c r="AC456" s="2" t="n">
        <f aca="false">Y456-AA456</f>
        <v>5059.27</v>
      </c>
      <c r="AD456" s="2" t="str">
        <f aca="false">IF(ABS(AB456-AC456)&gt;1,"Mismatch","OK")</f>
        <v>OK</v>
      </c>
      <c r="AE456" s="4" t="n">
        <f aca="false">IF(Y456=0,0,AC456/Y456)</f>
        <v>0.200528345560986</v>
      </c>
      <c r="AF456" s="2" t="s">
        <v>52</v>
      </c>
      <c r="AG456" s="2" t="s">
        <v>53</v>
      </c>
      <c r="AH456" s="2" t="str">
        <f aca="false">IF(AND(AG456="Completed",AF456&lt;&gt;"Paid"),"Inconsistent","OK")</f>
        <v>OK</v>
      </c>
      <c r="AI456" s="2" t="n">
        <f aca="false">IF(OR(ISBLANK(B456),ISBLANK(C456)),"",C456-B456)</f>
        <v>5</v>
      </c>
      <c r="AJ456" s="2" t="str">
        <f aca="false">IF(AI456="","Unknown",IF(AI456&lt;0,"Invalid","OK"))</f>
        <v>OK</v>
      </c>
      <c r="AK456" s="2" t="str">
        <f aca="false">IF(ISBLANK(B456),"",TEXT(B456,"mmm"))</f>
        <v>Mar</v>
      </c>
      <c r="AL456" s="2" t="n">
        <f aca="false">IF(ISBLANK(B456),"",YEAR(B456))</f>
        <v>2025</v>
      </c>
      <c r="AM456" s="2" t="s">
        <v>41</v>
      </c>
      <c r="AN456" s="2" t="str">
        <f aca="false">IF(OR(W456="Invalid",AJ456="Invalid",AH456="Inconsistent",Z456="Mismatch",AD456="Mismatch",AM456="Yes",D456="Yes",E456="Yes"),"Invalid",IF(OR(J456="Yes",Q456="Yes",U456="Yes"),"Warning","Clean"))</f>
        <v>Clean</v>
      </c>
    </row>
    <row r="457" customFormat="false" ht="15" hidden="false" customHeight="false" outlineLevel="0" collapsed="false">
      <c r="A457" s="2" t="s">
        <v>1488</v>
      </c>
      <c r="B457" s="3" t="n">
        <v>45491</v>
      </c>
      <c r="C457" s="3" t="n">
        <v>45495</v>
      </c>
      <c r="D457" s="2" t="s">
        <v>41</v>
      </c>
      <c r="E457" s="2" t="s">
        <v>41</v>
      </c>
      <c r="F457" s="2" t="s">
        <v>1489</v>
      </c>
      <c r="G457" s="2" t="s">
        <v>99</v>
      </c>
      <c r="H457" s="2" t="s">
        <v>57</v>
      </c>
      <c r="I457" s="2" t="s">
        <v>74</v>
      </c>
      <c r="J457" s="2" t="s">
        <v>41</v>
      </c>
      <c r="K457" s="2" t="s">
        <v>75</v>
      </c>
      <c r="L457" s="2" t="s">
        <v>76</v>
      </c>
      <c r="M457" s="2" t="s">
        <v>48</v>
      </c>
      <c r="N457" s="2" t="s">
        <v>68</v>
      </c>
      <c r="O457" s="2" t="s">
        <v>1490</v>
      </c>
      <c r="P457" s="2" t="s">
        <v>79</v>
      </c>
      <c r="Q457" s="2" t="s">
        <v>41</v>
      </c>
      <c r="R457" s="2" t="n">
        <v>4</v>
      </c>
      <c r="S457" s="2" t="n">
        <v>808.77</v>
      </c>
      <c r="T457" s="2" t="n">
        <v>0</v>
      </c>
      <c r="U457" s="2" t="str">
        <f aca="false">IF(ISBLANK(T457),"Yes","No")</f>
        <v>No</v>
      </c>
      <c r="V457" s="2" t="n">
        <f aca="false">IF(ISBLANK(T457),0,IF(ISNUMBER(T457),T457,VALUE(LEFT(T457,LEN(T457)-1))/100))</f>
        <v>0</v>
      </c>
      <c r="W457" s="2" t="str">
        <f aca="false">IF(AND(V457&gt;=0,V457&lt;=0.25),"Valid","Invalid")</f>
        <v>Valid</v>
      </c>
      <c r="X457" s="2" t="n">
        <v>3235.08</v>
      </c>
      <c r="Y457" s="2" t="n">
        <f aca="false">R457*S457*(1-V457)</f>
        <v>3235.08</v>
      </c>
      <c r="Z457" s="2" t="str">
        <f aca="false">IF(ABS(X457-Y457)&gt;1,"Mismatch","OK")</f>
        <v>OK</v>
      </c>
      <c r="AA457" s="2" t="n">
        <v>1848.6</v>
      </c>
      <c r="AB457" s="2" t="n">
        <v>1386.48</v>
      </c>
      <c r="AC457" s="2" t="n">
        <f aca="false">Y457-AA457</f>
        <v>1386.48</v>
      </c>
      <c r="AD457" s="2" t="str">
        <f aca="false">IF(ABS(AB457-AC457)&gt;1,"Mismatch","OK")</f>
        <v>OK</v>
      </c>
      <c r="AE457" s="4" t="n">
        <f aca="false">IF(Y457=0,0,AC457/Y457)</f>
        <v>0.428576727623428</v>
      </c>
      <c r="AF457" s="2" t="s">
        <v>52</v>
      </c>
      <c r="AG457" s="2" t="s">
        <v>53</v>
      </c>
      <c r="AH457" s="2" t="str">
        <f aca="false">IF(AND(AG457="Completed",AF457&lt;&gt;"Paid"),"Inconsistent","OK")</f>
        <v>OK</v>
      </c>
      <c r="AI457" s="2" t="n">
        <f aca="false">IF(OR(ISBLANK(B457),ISBLANK(C457)),"",C457-B457)</f>
        <v>4</v>
      </c>
      <c r="AJ457" s="2" t="str">
        <f aca="false">IF(AI457="","Unknown",IF(AI457&lt;0,"Invalid","OK"))</f>
        <v>OK</v>
      </c>
      <c r="AK457" s="2" t="str">
        <f aca="false">IF(ISBLANK(B457),"",TEXT(B457,"mmm"))</f>
        <v>Jul</v>
      </c>
      <c r="AL457" s="2" t="n">
        <f aca="false">IF(ISBLANK(B457),"",YEAR(B457))</f>
        <v>2024</v>
      </c>
      <c r="AM457" s="2" t="s">
        <v>41</v>
      </c>
      <c r="AN457" s="2" t="str">
        <f aca="false">IF(OR(W457="Invalid",AJ457="Invalid",AH457="Inconsistent",Z457="Mismatch",AD457="Mismatch",AM457="Yes",D457="Yes",E457="Yes"),"Invalid",IF(OR(J457="Yes",Q457="Yes",U457="Yes"),"Warning","Clean"))</f>
        <v>Clean</v>
      </c>
    </row>
    <row r="458" customFormat="false" ht="15" hidden="false" customHeight="false" outlineLevel="0" collapsed="false">
      <c r="A458" s="2" t="s">
        <v>1491</v>
      </c>
      <c r="B458" s="3" t="n">
        <v>45342</v>
      </c>
      <c r="C458" s="3" t="n">
        <v>45342</v>
      </c>
      <c r="D458" s="2" t="s">
        <v>41</v>
      </c>
      <c r="E458" s="2" t="s">
        <v>41</v>
      </c>
      <c r="F458" s="2" t="s">
        <v>1492</v>
      </c>
      <c r="G458" s="2" t="s">
        <v>99</v>
      </c>
      <c r="H458" s="2" t="s">
        <v>110</v>
      </c>
      <c r="I458" s="2" t="s">
        <v>45</v>
      </c>
      <c r="J458" s="2" t="s">
        <v>41</v>
      </c>
      <c r="K458" s="2" t="s">
        <v>156</v>
      </c>
      <c r="L458" s="2" t="s">
        <v>157</v>
      </c>
      <c r="M458" s="2" t="s">
        <v>94</v>
      </c>
      <c r="N458" s="2" t="s">
        <v>95</v>
      </c>
      <c r="O458" s="2" t="s">
        <v>1493</v>
      </c>
      <c r="P458" s="2" t="s">
        <v>64</v>
      </c>
      <c r="Q458" s="2" t="s">
        <v>41</v>
      </c>
      <c r="R458" s="2" t="n">
        <v>5</v>
      </c>
      <c r="S458" s="2" t="n">
        <v>2604.91</v>
      </c>
      <c r="T458" s="2" t="n">
        <v>0.15</v>
      </c>
      <c r="U458" s="2" t="str">
        <f aca="false">IF(ISBLANK(T458),"Yes","No")</f>
        <v>No</v>
      </c>
      <c r="V458" s="2" t="n">
        <f aca="false">IF(ISBLANK(T458),0,IF(ISNUMBER(T458),T458,VALUE(LEFT(T458,LEN(T458)-1))/100))</f>
        <v>0.15</v>
      </c>
      <c r="W458" s="2" t="str">
        <f aca="false">IF(AND(V458&gt;=0,V458&lt;=0.25),"Valid","Invalid")</f>
        <v>Valid</v>
      </c>
      <c r="X458" s="2" t="n">
        <v>11070.87</v>
      </c>
      <c r="Y458" s="2" t="n">
        <f aca="false">R458*S458*(1-V458)</f>
        <v>11070.8675</v>
      </c>
      <c r="Z458" s="2" t="str">
        <f aca="false">IF(ABS(X458-Y458)&gt;1,"Mismatch","OK")</f>
        <v>OK</v>
      </c>
      <c r="AA458" s="2" t="n">
        <v>6623.61</v>
      </c>
      <c r="AB458" s="2" t="n">
        <v>4447.26</v>
      </c>
      <c r="AC458" s="2" t="n">
        <f aca="false">Y458-AA458</f>
        <v>4447.2575</v>
      </c>
      <c r="AD458" s="2" t="str">
        <f aca="false">IF(ABS(AB458-AC458)&gt;1,"Mismatch","OK")</f>
        <v>OK</v>
      </c>
      <c r="AE458" s="4" t="n">
        <f aca="false">IF(Y458=0,0,AC458/Y458)</f>
        <v>0.401708131724998</v>
      </c>
      <c r="AF458" s="2" t="s">
        <v>52</v>
      </c>
      <c r="AG458" s="2" t="s">
        <v>123</v>
      </c>
      <c r="AH458" s="2" t="str">
        <f aca="false">IF(AND(AG458="Completed",AF458&lt;&gt;"Paid"),"Inconsistent","OK")</f>
        <v>OK</v>
      </c>
      <c r="AI458" s="2" t="n">
        <f aca="false">IF(OR(ISBLANK(B458),ISBLANK(C458)),"",C458-B458)</f>
        <v>0</v>
      </c>
      <c r="AJ458" s="2" t="str">
        <f aca="false">IF(AI458="","Unknown",IF(AI458&lt;0,"Invalid","OK"))</f>
        <v>OK</v>
      </c>
      <c r="AK458" s="2" t="str">
        <f aca="false">IF(ISBLANK(B458),"",TEXT(B458,"mmm"))</f>
        <v>Feb</v>
      </c>
      <c r="AL458" s="2" t="n">
        <f aca="false">IF(ISBLANK(B458),"",YEAR(B458))</f>
        <v>2024</v>
      </c>
      <c r="AM458" s="2" t="s">
        <v>41</v>
      </c>
      <c r="AN458" s="2" t="str">
        <f aca="false">IF(OR(W458="Invalid",AJ458="Invalid",AH458="Inconsistent",Z458="Mismatch",AD458="Mismatch",AM458="Yes",D458="Yes",E458="Yes"),"Invalid",IF(OR(J458="Yes",Q458="Yes",U458="Yes"),"Warning","Clean"))</f>
        <v>Clean</v>
      </c>
    </row>
    <row r="459" customFormat="false" ht="15" hidden="false" customHeight="false" outlineLevel="0" collapsed="false">
      <c r="A459" s="2" t="s">
        <v>1494</v>
      </c>
      <c r="B459" s="3" t="n">
        <v>45416</v>
      </c>
      <c r="C459" s="3" t="n">
        <v>45416</v>
      </c>
      <c r="D459" s="2" t="s">
        <v>41</v>
      </c>
      <c r="E459" s="2" t="s">
        <v>41</v>
      </c>
      <c r="F459" s="2" t="s">
        <v>1495</v>
      </c>
      <c r="G459" s="2" t="s">
        <v>56</v>
      </c>
      <c r="H459" s="2" t="s">
        <v>57</v>
      </c>
      <c r="I459" s="2" t="s">
        <v>83</v>
      </c>
      <c r="J459" s="2" t="s">
        <v>41</v>
      </c>
      <c r="K459" s="2" t="s">
        <v>210</v>
      </c>
      <c r="L459" s="2" t="s">
        <v>211</v>
      </c>
      <c r="M459" s="2" t="s">
        <v>61</v>
      </c>
      <c r="N459" s="2" t="s">
        <v>62</v>
      </c>
      <c r="O459" s="2" t="s">
        <v>1496</v>
      </c>
      <c r="P459" s="2" t="s">
        <v>79</v>
      </c>
      <c r="Q459" s="2" t="s">
        <v>41</v>
      </c>
      <c r="R459" s="2" t="n">
        <v>7</v>
      </c>
      <c r="S459" s="2" t="n">
        <v>2851.51</v>
      </c>
      <c r="T459" s="2" t="n">
        <v>0</v>
      </c>
      <c r="U459" s="2" t="str">
        <f aca="false">IF(ISBLANK(T459),"Yes","No")</f>
        <v>No</v>
      </c>
      <c r="V459" s="2" t="n">
        <f aca="false">IF(ISBLANK(T459),0,IF(ISNUMBER(T459),T459,VALUE(LEFT(T459,LEN(T459)-1))/100))</f>
        <v>0</v>
      </c>
      <c r="W459" s="2" t="str">
        <f aca="false">IF(AND(V459&gt;=0,V459&lt;=0.25),"Valid","Invalid")</f>
        <v>Valid</v>
      </c>
      <c r="X459" s="2" t="n">
        <v>19960.57</v>
      </c>
      <c r="Y459" s="2" t="n">
        <f aca="false">R459*S459*(1-V459)</f>
        <v>19960.57</v>
      </c>
      <c r="Z459" s="2" t="str">
        <f aca="false">IF(ABS(X459-Y459)&gt;1,"Mismatch","OK")</f>
        <v>OK</v>
      </c>
      <c r="AA459" s="2" t="n">
        <v>16603.6</v>
      </c>
      <c r="AB459" s="2" t="n">
        <v>3356.97</v>
      </c>
      <c r="AC459" s="2" t="n">
        <f aca="false">Y459-AA459</f>
        <v>3356.97</v>
      </c>
      <c r="AD459" s="2" t="str">
        <f aca="false">IF(ABS(AB459-AC459)&gt;1,"Mismatch","OK")</f>
        <v>OK</v>
      </c>
      <c r="AE459" s="4" t="n">
        <f aca="false">IF(Y459=0,0,AC459/Y459)</f>
        <v>0.168180067002095</v>
      </c>
      <c r="AF459" s="2" t="s">
        <v>52</v>
      </c>
      <c r="AG459" s="2" t="s">
        <v>53</v>
      </c>
      <c r="AH459" s="2" t="str">
        <f aca="false">IF(AND(AG459="Completed",AF459&lt;&gt;"Paid"),"Inconsistent","OK")</f>
        <v>OK</v>
      </c>
      <c r="AI459" s="2" t="n">
        <f aca="false">IF(OR(ISBLANK(B459),ISBLANK(C459)),"",C459-B459)</f>
        <v>0</v>
      </c>
      <c r="AJ459" s="2" t="str">
        <f aca="false">IF(AI459="","Unknown",IF(AI459&lt;0,"Invalid","OK"))</f>
        <v>OK</v>
      </c>
      <c r="AK459" s="2" t="str">
        <f aca="false">IF(ISBLANK(B459),"",TEXT(B459,"mmm"))</f>
        <v>May</v>
      </c>
      <c r="AL459" s="2" t="n">
        <f aca="false">IF(ISBLANK(B459),"",YEAR(B459))</f>
        <v>2024</v>
      </c>
      <c r="AM459" s="2" t="s">
        <v>41</v>
      </c>
      <c r="AN459" s="2" t="str">
        <f aca="false">IF(OR(W459="Invalid",AJ459="Invalid",AH459="Inconsistent",Z459="Mismatch",AD459="Mismatch",AM459="Yes",D459="Yes",E459="Yes"),"Invalid",IF(OR(J459="Yes",Q459="Yes",U459="Yes"),"Warning","Clean"))</f>
        <v>Clean</v>
      </c>
    </row>
    <row r="460" customFormat="false" ht="15" hidden="false" customHeight="false" outlineLevel="0" collapsed="false">
      <c r="A460" s="2" t="s">
        <v>1497</v>
      </c>
      <c r="B460" s="3" t="n">
        <v>45332</v>
      </c>
      <c r="C460" s="3" t="n">
        <v>45333</v>
      </c>
      <c r="D460" s="2" t="s">
        <v>41</v>
      </c>
      <c r="E460" s="2" t="s">
        <v>41</v>
      </c>
      <c r="F460" s="2" t="s">
        <v>1498</v>
      </c>
      <c r="G460" s="2" t="s">
        <v>43</v>
      </c>
      <c r="H460" s="2" t="s">
        <v>110</v>
      </c>
      <c r="I460" s="2" t="s">
        <v>45</v>
      </c>
      <c r="J460" s="2" t="s">
        <v>41</v>
      </c>
      <c r="K460" s="2" t="s">
        <v>46</v>
      </c>
      <c r="L460" s="2" t="s">
        <v>47</v>
      </c>
      <c r="M460" s="2" t="s">
        <v>94</v>
      </c>
      <c r="N460" s="2" t="s">
        <v>191</v>
      </c>
      <c r="O460" s="2" t="s">
        <v>1499</v>
      </c>
      <c r="P460" s="2" t="s">
        <v>51</v>
      </c>
      <c r="Q460" s="2" t="s">
        <v>41</v>
      </c>
      <c r="R460" s="2" t="n">
        <v>3</v>
      </c>
      <c r="S460" s="2" t="n">
        <v>3183.72</v>
      </c>
      <c r="T460" s="2" t="n">
        <v>0.1</v>
      </c>
      <c r="U460" s="2" t="str">
        <f aca="false">IF(ISBLANK(T460),"Yes","No")</f>
        <v>No</v>
      </c>
      <c r="V460" s="2" t="n">
        <f aca="false">IF(ISBLANK(T460),0,IF(ISNUMBER(T460),T460,VALUE(LEFT(T460,LEN(T460)-1))/100))</f>
        <v>0.1</v>
      </c>
      <c r="W460" s="2" t="str">
        <f aca="false">IF(AND(V460&gt;=0,V460&lt;=0.25),"Valid","Invalid")</f>
        <v>Valid</v>
      </c>
      <c r="X460" s="2" t="n">
        <v>8596.04</v>
      </c>
      <c r="Y460" s="2" t="n">
        <f aca="false">R460*S460*(1-V460)</f>
        <v>8596.044</v>
      </c>
      <c r="Z460" s="2" t="str">
        <f aca="false">IF(ABS(X460-Y460)&gt;1,"Mismatch","OK")</f>
        <v>OK</v>
      </c>
      <c r="AA460" s="2" t="n">
        <v>5378.16</v>
      </c>
      <c r="AB460" s="2" t="n">
        <v>3217.88</v>
      </c>
      <c r="AC460" s="2" t="n">
        <f aca="false">Y460-AA460</f>
        <v>3217.884</v>
      </c>
      <c r="AD460" s="2" t="str">
        <f aca="false">IF(ABS(AB460-AC460)&gt;1,"Mismatch","OK")</f>
        <v>OK</v>
      </c>
      <c r="AE460" s="4" t="n">
        <f aca="false">IF(Y460=0,0,AC460/Y460)</f>
        <v>0.37434475672763</v>
      </c>
      <c r="AF460" s="2" t="s">
        <v>52</v>
      </c>
      <c r="AG460" s="2" t="s">
        <v>53</v>
      </c>
      <c r="AH460" s="2" t="str">
        <f aca="false">IF(AND(AG460="Completed",AF460&lt;&gt;"Paid"),"Inconsistent","OK")</f>
        <v>OK</v>
      </c>
      <c r="AI460" s="2" t="n">
        <f aca="false">IF(OR(ISBLANK(B460),ISBLANK(C460)),"",C460-B460)</f>
        <v>1</v>
      </c>
      <c r="AJ460" s="2" t="str">
        <f aca="false">IF(AI460="","Unknown",IF(AI460&lt;0,"Invalid","OK"))</f>
        <v>OK</v>
      </c>
      <c r="AK460" s="2" t="str">
        <f aca="false">IF(ISBLANK(B460),"",TEXT(B460,"mmm"))</f>
        <v>Feb</v>
      </c>
      <c r="AL460" s="2" t="n">
        <f aca="false">IF(ISBLANK(B460),"",YEAR(B460))</f>
        <v>2024</v>
      </c>
      <c r="AM460" s="2" t="s">
        <v>41</v>
      </c>
      <c r="AN460" s="2" t="str">
        <f aca="false">IF(OR(W460="Invalid",AJ460="Invalid",AH460="Inconsistent",Z460="Mismatch",AD460="Mismatch",AM460="Yes",D460="Yes",E460="Yes"),"Invalid",IF(OR(J460="Yes",Q460="Yes",U460="Yes"),"Warning","Clean"))</f>
        <v>Clean</v>
      </c>
    </row>
    <row r="461" customFormat="false" ht="15" hidden="false" customHeight="false" outlineLevel="0" collapsed="false">
      <c r="A461" s="2" t="s">
        <v>1500</v>
      </c>
      <c r="B461" s="3" t="n">
        <v>45379</v>
      </c>
      <c r="C461" s="3" t="n">
        <v>45386</v>
      </c>
      <c r="D461" s="2" t="s">
        <v>41</v>
      </c>
      <c r="E461" s="2" t="s">
        <v>41</v>
      </c>
      <c r="F461" s="2" t="s">
        <v>1501</v>
      </c>
      <c r="G461" s="2" t="s">
        <v>82</v>
      </c>
      <c r="H461" s="2" t="s">
        <v>115</v>
      </c>
      <c r="I461" s="2" t="s">
        <v>83</v>
      </c>
      <c r="J461" s="2" t="s">
        <v>41</v>
      </c>
      <c r="K461" s="2" t="s">
        <v>210</v>
      </c>
      <c r="L461" s="2" t="s">
        <v>211</v>
      </c>
      <c r="M461" s="2" t="s">
        <v>48</v>
      </c>
      <c r="N461" s="2" t="s">
        <v>49</v>
      </c>
      <c r="O461" s="2" t="s">
        <v>1502</v>
      </c>
      <c r="P461" s="2" t="s">
        <v>70</v>
      </c>
      <c r="Q461" s="2" t="s">
        <v>41</v>
      </c>
      <c r="R461" s="2" t="n">
        <v>3</v>
      </c>
      <c r="S461" s="2" t="n">
        <v>1150.92</v>
      </c>
      <c r="T461" s="2" t="n">
        <v>0</v>
      </c>
      <c r="U461" s="2" t="str">
        <f aca="false">IF(ISBLANK(T461),"Yes","No")</f>
        <v>No</v>
      </c>
      <c r="V461" s="2" t="n">
        <f aca="false">IF(ISBLANK(T461),0,IF(ISNUMBER(T461),T461,VALUE(LEFT(T461,LEN(T461)-1))/100))</f>
        <v>0</v>
      </c>
      <c r="W461" s="2" t="str">
        <f aca="false">IF(AND(V461&gt;=0,V461&lt;=0.25),"Valid","Invalid")</f>
        <v>Valid</v>
      </c>
      <c r="X461" s="2" t="n">
        <v>3452.76</v>
      </c>
      <c r="Y461" s="2" t="n">
        <f aca="false">R461*S461*(1-V461)</f>
        <v>3452.76</v>
      </c>
      <c r="Z461" s="2" t="str">
        <f aca="false">IF(ABS(X461-Y461)&gt;1,"Mismatch","OK")</f>
        <v>OK</v>
      </c>
      <c r="AA461" s="2" t="n">
        <v>2077.96</v>
      </c>
      <c r="AB461" s="2" t="n">
        <v>1374.8</v>
      </c>
      <c r="AC461" s="2" t="n">
        <f aca="false">Y461-AA461</f>
        <v>1374.8</v>
      </c>
      <c r="AD461" s="2" t="str">
        <f aca="false">IF(ABS(AB461-AC461)&gt;1,"Mismatch","OK")</f>
        <v>OK</v>
      </c>
      <c r="AE461" s="4" t="n">
        <f aca="false">IF(Y461=0,0,AC461/Y461)</f>
        <v>0.398174214251787</v>
      </c>
      <c r="AF461" s="2" t="s">
        <v>52</v>
      </c>
      <c r="AG461" s="2" t="s">
        <v>53</v>
      </c>
      <c r="AH461" s="2" t="str">
        <f aca="false">IF(AND(AG461="Completed",AF461&lt;&gt;"Paid"),"Inconsistent","OK")</f>
        <v>OK</v>
      </c>
      <c r="AI461" s="2" t="n">
        <f aca="false">IF(OR(ISBLANK(B461),ISBLANK(C461)),"",C461-B461)</f>
        <v>7</v>
      </c>
      <c r="AJ461" s="2" t="str">
        <f aca="false">IF(AI461="","Unknown",IF(AI461&lt;0,"Invalid","OK"))</f>
        <v>OK</v>
      </c>
      <c r="AK461" s="2" t="str">
        <f aca="false">IF(ISBLANK(B461),"",TEXT(B461,"mmm"))</f>
        <v>Mar</v>
      </c>
      <c r="AL461" s="2" t="n">
        <f aca="false">IF(ISBLANK(B461),"",YEAR(B461))</f>
        <v>2024</v>
      </c>
      <c r="AM461" s="2" t="s">
        <v>41</v>
      </c>
      <c r="AN461" s="2" t="str">
        <f aca="false">IF(OR(W461="Invalid",AJ461="Invalid",AH461="Inconsistent",Z461="Mismatch",AD461="Mismatch",AM461="Yes",D461="Yes",E461="Yes"),"Invalid",IF(OR(J461="Yes",Q461="Yes",U461="Yes"),"Warning","Clean"))</f>
        <v>Clean</v>
      </c>
    </row>
    <row r="462" customFormat="false" ht="15" hidden="false" customHeight="false" outlineLevel="0" collapsed="false">
      <c r="A462" s="2" t="s">
        <v>1503</v>
      </c>
      <c r="B462" s="3" t="n">
        <v>45930</v>
      </c>
      <c r="C462" s="3" t="n">
        <v>45936</v>
      </c>
      <c r="D462" s="2" t="s">
        <v>41</v>
      </c>
      <c r="E462" s="2" t="s">
        <v>41</v>
      </c>
      <c r="F462" s="2" t="s">
        <v>1504</v>
      </c>
      <c r="G462" s="2" t="s">
        <v>148</v>
      </c>
      <c r="H462" s="2" t="s">
        <v>110</v>
      </c>
      <c r="I462" s="2" t="s">
        <v>225</v>
      </c>
      <c r="J462" s="2" t="s">
        <v>226</v>
      </c>
      <c r="K462" s="2" t="s">
        <v>46</v>
      </c>
      <c r="L462" s="2" t="s">
        <v>47</v>
      </c>
      <c r="M462" s="2" t="s">
        <v>94</v>
      </c>
      <c r="N462" s="2" t="s">
        <v>100</v>
      </c>
      <c r="O462" s="2" t="s">
        <v>1505</v>
      </c>
      <c r="P462" s="2" t="s">
        <v>51</v>
      </c>
      <c r="Q462" s="2" t="s">
        <v>41</v>
      </c>
      <c r="R462" s="2" t="n">
        <v>9</v>
      </c>
      <c r="S462" s="2" t="n">
        <v>1359.88</v>
      </c>
      <c r="T462" s="2" t="n">
        <v>0.05</v>
      </c>
      <c r="U462" s="2" t="str">
        <f aca="false">IF(ISBLANK(T462),"Yes","No")</f>
        <v>No</v>
      </c>
      <c r="V462" s="2" t="n">
        <f aca="false">IF(ISBLANK(T462),0,IF(ISNUMBER(T462),T462,VALUE(LEFT(T462,LEN(T462)-1))/100))</f>
        <v>0.05</v>
      </c>
      <c r="W462" s="2" t="str">
        <f aca="false">IF(AND(V462&gt;=0,V462&lt;=0.25),"Valid","Invalid")</f>
        <v>Valid</v>
      </c>
      <c r="X462" s="2" t="n">
        <v>11626.97</v>
      </c>
      <c r="Y462" s="2" t="n">
        <f aca="false">R462*S462*(1-V462)</f>
        <v>11626.974</v>
      </c>
      <c r="Z462" s="2" t="str">
        <f aca="false">IF(ABS(X462-Y462)&gt;1,"Mismatch","OK")</f>
        <v>OK</v>
      </c>
      <c r="AA462" s="2" t="n">
        <v>7394.07</v>
      </c>
      <c r="AB462" s="2" t="n">
        <v>4232.9</v>
      </c>
      <c r="AC462" s="2" t="n">
        <f aca="false">Y462-AA462</f>
        <v>4232.904</v>
      </c>
      <c r="AD462" s="2" t="str">
        <f aca="false">IF(ABS(AB462-AC462)&gt;1,"Mismatch","OK")</f>
        <v>OK</v>
      </c>
      <c r="AE462" s="4" t="n">
        <f aca="false">IF(Y462=0,0,AC462/Y462)</f>
        <v>0.364058954634284</v>
      </c>
      <c r="AF462" s="2" t="s">
        <v>52</v>
      </c>
      <c r="AG462" s="2" t="s">
        <v>53</v>
      </c>
      <c r="AH462" s="2" t="str">
        <f aca="false">IF(AND(AG462="Completed",AF462&lt;&gt;"Paid"),"Inconsistent","OK")</f>
        <v>OK</v>
      </c>
      <c r="AI462" s="2" t="n">
        <f aca="false">IF(OR(ISBLANK(B462),ISBLANK(C462)),"",C462-B462)</f>
        <v>6</v>
      </c>
      <c r="AJ462" s="2" t="str">
        <f aca="false">IF(AI462="","Unknown",IF(AI462&lt;0,"Invalid","OK"))</f>
        <v>OK</v>
      </c>
      <c r="AK462" s="2" t="str">
        <f aca="false">IF(ISBLANK(B462),"",TEXT(B462,"mmm"))</f>
        <v>Sep</v>
      </c>
      <c r="AL462" s="2" t="n">
        <f aca="false">IF(ISBLANK(B462),"",YEAR(B462))</f>
        <v>2025</v>
      </c>
      <c r="AM462" s="2" t="s">
        <v>41</v>
      </c>
      <c r="AN462" s="2" t="str">
        <f aca="false">IF(OR(W462="Invalid",AJ462="Invalid",AH462="Inconsistent",Z462="Mismatch",AD462="Mismatch",AM462="Yes",D462="Yes",E462="Yes"),"Invalid",IF(OR(J462="Yes",Q462="Yes",U462="Yes"),"Warning","Clean"))</f>
        <v>Warning</v>
      </c>
    </row>
    <row r="463" customFormat="false" ht="15" hidden="false" customHeight="false" outlineLevel="0" collapsed="false">
      <c r="A463" s="2" t="s">
        <v>1506</v>
      </c>
      <c r="B463" s="3" t="n">
        <v>45802</v>
      </c>
      <c r="C463" s="3" t="n">
        <v>45803</v>
      </c>
      <c r="D463" s="2" t="s">
        <v>41</v>
      </c>
      <c r="E463" s="2" t="s">
        <v>41</v>
      </c>
      <c r="F463" s="2" t="s">
        <v>1507</v>
      </c>
      <c r="G463" s="2" t="s">
        <v>99</v>
      </c>
      <c r="H463" s="2" t="s">
        <v>110</v>
      </c>
      <c r="I463" s="2" t="s">
        <v>74</v>
      </c>
      <c r="J463" s="2" t="s">
        <v>41</v>
      </c>
      <c r="K463" s="2" t="s">
        <v>104</v>
      </c>
      <c r="L463" s="2" t="s">
        <v>105</v>
      </c>
      <c r="M463" s="2" t="s">
        <v>48</v>
      </c>
      <c r="N463" s="2" t="s">
        <v>49</v>
      </c>
      <c r="O463" s="2" t="s">
        <v>1508</v>
      </c>
      <c r="P463" s="2" t="s">
        <v>79</v>
      </c>
      <c r="Q463" s="2" t="s">
        <v>41</v>
      </c>
      <c r="R463" s="2" t="n">
        <v>3</v>
      </c>
      <c r="S463" s="2" t="n">
        <v>3378.15</v>
      </c>
      <c r="T463" s="2" t="n">
        <v>0.15</v>
      </c>
      <c r="U463" s="2" t="str">
        <f aca="false">IF(ISBLANK(T463),"Yes","No")</f>
        <v>No</v>
      </c>
      <c r="V463" s="2" t="n">
        <f aca="false">IF(ISBLANK(T463),0,IF(ISNUMBER(T463),T463,VALUE(LEFT(T463,LEN(T463)-1))/100))</f>
        <v>0.15</v>
      </c>
      <c r="W463" s="2" t="str">
        <f aca="false">IF(AND(V463&gt;=0,V463&lt;=0.25),"Valid","Invalid")</f>
        <v>Valid</v>
      </c>
      <c r="X463" s="2" t="n">
        <v>8614.28</v>
      </c>
      <c r="Y463" s="2" t="n">
        <f aca="false">R463*S463*(1-V463)</f>
        <v>8614.2825</v>
      </c>
      <c r="Z463" s="2" t="str">
        <f aca="false">IF(ABS(X463-Y463)&gt;1,"Mismatch","OK")</f>
        <v>OK</v>
      </c>
      <c r="AA463" s="2" t="n">
        <v>7052.08</v>
      </c>
      <c r="AB463" s="2" t="n">
        <v>1562.2</v>
      </c>
      <c r="AC463" s="2" t="n">
        <f aca="false">Y463-AA463</f>
        <v>1562.2025</v>
      </c>
      <c r="AD463" s="2" t="str">
        <f aca="false">IF(ABS(AB463-AC463)&gt;1,"Mismatch","OK")</f>
        <v>OK</v>
      </c>
      <c r="AE463" s="4" t="n">
        <f aca="false">IF(Y463=0,0,AC463/Y463)</f>
        <v>0.181350274964862</v>
      </c>
      <c r="AF463" s="2" t="s">
        <v>52</v>
      </c>
      <c r="AG463" s="2" t="s">
        <v>53</v>
      </c>
      <c r="AH463" s="2" t="str">
        <f aca="false">IF(AND(AG463="Completed",AF463&lt;&gt;"Paid"),"Inconsistent","OK")</f>
        <v>OK</v>
      </c>
      <c r="AI463" s="2" t="n">
        <f aca="false">IF(OR(ISBLANK(B463),ISBLANK(C463)),"",C463-B463)</f>
        <v>1</v>
      </c>
      <c r="AJ463" s="2" t="str">
        <f aca="false">IF(AI463="","Unknown",IF(AI463&lt;0,"Invalid","OK"))</f>
        <v>OK</v>
      </c>
      <c r="AK463" s="2" t="str">
        <f aca="false">IF(ISBLANK(B463),"",TEXT(B463,"mmm"))</f>
        <v>May</v>
      </c>
      <c r="AL463" s="2" t="n">
        <f aca="false">IF(ISBLANK(B463),"",YEAR(B463))</f>
        <v>2025</v>
      </c>
      <c r="AM463" s="2" t="s">
        <v>41</v>
      </c>
      <c r="AN463" s="2" t="str">
        <f aca="false">IF(OR(W463="Invalid",AJ463="Invalid",AH463="Inconsistent",Z463="Mismatch",AD463="Mismatch",AM463="Yes",D463="Yes",E463="Yes"),"Invalid",IF(OR(J463="Yes",Q463="Yes",U463="Yes"),"Warning","Clean"))</f>
        <v>Clean</v>
      </c>
    </row>
    <row r="464" customFormat="false" ht="15" hidden="false" customHeight="false" outlineLevel="0" collapsed="false">
      <c r="A464" s="2" t="s">
        <v>1509</v>
      </c>
      <c r="B464" s="3" t="n">
        <v>45558</v>
      </c>
      <c r="C464" s="3" t="n">
        <v>45560</v>
      </c>
      <c r="D464" s="2" t="s">
        <v>41</v>
      </c>
      <c r="E464" s="2" t="s">
        <v>41</v>
      </c>
      <c r="F464" s="2" t="s">
        <v>1510</v>
      </c>
      <c r="G464" s="2" t="s">
        <v>148</v>
      </c>
      <c r="H464" s="2" t="s">
        <v>115</v>
      </c>
      <c r="I464" s="2" t="s">
        <v>45</v>
      </c>
      <c r="J464" s="2" t="s">
        <v>41</v>
      </c>
      <c r="K464" s="2" t="s">
        <v>372</v>
      </c>
      <c r="L464" s="2" t="s">
        <v>373</v>
      </c>
      <c r="M464" s="2" t="s">
        <v>48</v>
      </c>
      <c r="N464" s="2" t="s">
        <v>173</v>
      </c>
      <c r="O464" s="2" t="s">
        <v>1511</v>
      </c>
      <c r="P464" s="2" t="s">
        <v>70</v>
      </c>
      <c r="Q464" s="2" t="s">
        <v>41</v>
      </c>
      <c r="R464" s="2" t="n">
        <v>2</v>
      </c>
      <c r="S464" s="2" t="n">
        <v>1275.14</v>
      </c>
      <c r="T464" s="2" t="n">
        <v>0.2</v>
      </c>
      <c r="U464" s="2" t="str">
        <f aca="false">IF(ISBLANK(T464),"Yes","No")</f>
        <v>No</v>
      </c>
      <c r="V464" s="2" t="n">
        <f aca="false">IF(ISBLANK(T464),0,IF(ISNUMBER(T464),T464,VALUE(LEFT(T464,LEN(T464)-1))/100))</f>
        <v>0.2</v>
      </c>
      <c r="W464" s="2" t="str">
        <f aca="false">IF(AND(V464&gt;=0,V464&lt;=0.25),"Valid","Invalid")</f>
        <v>Valid</v>
      </c>
      <c r="X464" s="2" t="n">
        <v>2040.22</v>
      </c>
      <c r="Y464" s="2" t="n">
        <f aca="false">R464*S464*(1-V464)</f>
        <v>2040.224</v>
      </c>
      <c r="Z464" s="2" t="str">
        <f aca="false">IF(ABS(X464-Y464)&gt;1,"Mismatch","OK")</f>
        <v>OK</v>
      </c>
      <c r="AA464" s="2" t="n">
        <v>1395.71</v>
      </c>
      <c r="AB464" s="2" t="n">
        <v>644.51</v>
      </c>
      <c r="AC464" s="2" t="n">
        <f aca="false">Y464-AA464</f>
        <v>644.514</v>
      </c>
      <c r="AD464" s="2" t="str">
        <f aca="false">IF(ABS(AB464-AC464)&gt;1,"Mismatch","OK")</f>
        <v>OK</v>
      </c>
      <c r="AE464" s="4" t="n">
        <f aca="false">IF(Y464=0,0,AC464/Y464)</f>
        <v>0.315903547845727</v>
      </c>
      <c r="AF464" s="2" t="s">
        <v>52</v>
      </c>
      <c r="AG464" s="2" t="s">
        <v>53</v>
      </c>
      <c r="AH464" s="2" t="str">
        <f aca="false">IF(AND(AG464="Completed",AF464&lt;&gt;"Paid"),"Inconsistent","OK")</f>
        <v>OK</v>
      </c>
      <c r="AI464" s="2" t="n">
        <f aca="false">IF(OR(ISBLANK(B464),ISBLANK(C464)),"",C464-B464)</f>
        <v>2</v>
      </c>
      <c r="AJ464" s="2" t="str">
        <f aca="false">IF(AI464="","Unknown",IF(AI464&lt;0,"Invalid","OK"))</f>
        <v>OK</v>
      </c>
      <c r="AK464" s="2" t="str">
        <f aca="false">IF(ISBLANK(B464),"",TEXT(B464,"mmm"))</f>
        <v>Sep</v>
      </c>
      <c r="AL464" s="2" t="n">
        <f aca="false">IF(ISBLANK(B464),"",YEAR(B464))</f>
        <v>2024</v>
      </c>
      <c r="AM464" s="2" t="s">
        <v>41</v>
      </c>
      <c r="AN464" s="2" t="str">
        <f aca="false">IF(OR(W464="Invalid",AJ464="Invalid",AH464="Inconsistent",Z464="Mismatch",AD464="Mismatch",AM464="Yes",D464="Yes",E464="Yes"),"Invalid",IF(OR(J464="Yes",Q464="Yes",U464="Yes"),"Warning","Clean"))</f>
        <v>Clean</v>
      </c>
    </row>
    <row r="465" customFormat="false" ht="15" hidden="false" customHeight="false" outlineLevel="0" collapsed="false">
      <c r="A465" s="2" t="s">
        <v>1512</v>
      </c>
      <c r="B465" s="3" t="n">
        <v>45695</v>
      </c>
      <c r="C465" s="3" t="n">
        <v>45696</v>
      </c>
      <c r="D465" s="2" t="s">
        <v>41</v>
      </c>
      <c r="E465" s="2" t="s">
        <v>41</v>
      </c>
      <c r="F465" s="2" t="s">
        <v>1513</v>
      </c>
      <c r="G465" s="2" t="s">
        <v>73</v>
      </c>
      <c r="H465" s="2" t="s">
        <v>110</v>
      </c>
      <c r="I465" s="2" t="s">
        <v>83</v>
      </c>
      <c r="J465" s="2" t="s">
        <v>41</v>
      </c>
      <c r="K465" s="2" t="s">
        <v>92</v>
      </c>
      <c r="L465" s="2" t="s">
        <v>93</v>
      </c>
      <c r="M465" s="2" t="s">
        <v>94</v>
      </c>
      <c r="N465" s="2" t="s">
        <v>191</v>
      </c>
      <c r="O465" s="2" t="s">
        <v>1514</v>
      </c>
      <c r="P465" s="2" t="s">
        <v>79</v>
      </c>
      <c r="Q465" s="2" t="s">
        <v>41</v>
      </c>
      <c r="R465" s="2" t="n">
        <v>4</v>
      </c>
      <c r="S465" s="2" t="n">
        <v>889.5</v>
      </c>
      <c r="T465" s="2" t="n">
        <v>0.2</v>
      </c>
      <c r="U465" s="2" t="str">
        <f aca="false">IF(ISBLANK(T465),"Yes","No")</f>
        <v>No</v>
      </c>
      <c r="V465" s="2" t="n">
        <f aca="false">IF(ISBLANK(T465),0,IF(ISNUMBER(T465),T465,VALUE(LEFT(T465,LEN(T465)-1))/100))</f>
        <v>0.2</v>
      </c>
      <c r="W465" s="2" t="str">
        <f aca="false">IF(AND(V465&gt;=0,V465&lt;=0.25),"Valid","Invalid")</f>
        <v>Valid</v>
      </c>
      <c r="X465" s="2" t="n">
        <v>2846.4</v>
      </c>
      <c r="Y465" s="2" t="n">
        <f aca="false">R465*S465*(1-V465)</f>
        <v>2846.4</v>
      </c>
      <c r="Z465" s="2" t="str">
        <f aca="false">IF(ABS(X465-Y465)&gt;1,"Mismatch","OK")</f>
        <v>OK</v>
      </c>
      <c r="AA465" s="2" t="n">
        <v>2132.37</v>
      </c>
      <c r="AB465" s="2" t="n">
        <v>714.03</v>
      </c>
      <c r="AC465" s="2" t="n">
        <f aca="false">Y465-AA465</f>
        <v>714.03</v>
      </c>
      <c r="AD465" s="2" t="str">
        <f aca="false">IF(ABS(AB465-AC465)&gt;1,"Mismatch","OK")</f>
        <v>OK</v>
      </c>
      <c r="AE465" s="4" t="n">
        <f aca="false">IF(Y465=0,0,AC465/Y465)</f>
        <v>0.25085370994941</v>
      </c>
      <c r="AF465" s="2" t="s">
        <v>52</v>
      </c>
      <c r="AG465" s="2" t="s">
        <v>53</v>
      </c>
      <c r="AH465" s="2" t="str">
        <f aca="false">IF(AND(AG465="Completed",AF465&lt;&gt;"Paid"),"Inconsistent","OK")</f>
        <v>OK</v>
      </c>
      <c r="AI465" s="2" t="n">
        <f aca="false">IF(OR(ISBLANK(B465),ISBLANK(C465)),"",C465-B465)</f>
        <v>1</v>
      </c>
      <c r="AJ465" s="2" t="str">
        <f aca="false">IF(AI465="","Unknown",IF(AI465&lt;0,"Invalid","OK"))</f>
        <v>OK</v>
      </c>
      <c r="AK465" s="2" t="str">
        <f aca="false">IF(ISBLANK(B465),"",TEXT(B465,"mmm"))</f>
        <v>Feb</v>
      </c>
      <c r="AL465" s="2" t="n">
        <f aca="false">IF(ISBLANK(B465),"",YEAR(B465))</f>
        <v>2025</v>
      </c>
      <c r="AM465" s="2" t="s">
        <v>41</v>
      </c>
      <c r="AN465" s="2" t="str">
        <f aca="false">IF(OR(W465="Invalid",AJ465="Invalid",AH465="Inconsistent",Z465="Mismatch",AD465="Mismatch",AM465="Yes",D465="Yes",E465="Yes"),"Invalid",IF(OR(J465="Yes",Q465="Yes",U465="Yes"),"Warning","Clean"))</f>
        <v>Clean</v>
      </c>
    </row>
    <row r="466" customFormat="false" ht="15" hidden="false" customHeight="false" outlineLevel="0" collapsed="false">
      <c r="A466" s="2" t="s">
        <v>1515</v>
      </c>
      <c r="B466" s="3" t="n">
        <v>45727</v>
      </c>
      <c r="C466" s="3" t="n">
        <v>45731</v>
      </c>
      <c r="D466" s="2" t="s">
        <v>41</v>
      </c>
      <c r="E466" s="2" t="s">
        <v>41</v>
      </c>
      <c r="F466" s="2" t="s">
        <v>1516</v>
      </c>
      <c r="G466" s="2" t="s">
        <v>73</v>
      </c>
      <c r="H466" s="2" t="s">
        <v>110</v>
      </c>
      <c r="I466" s="2" t="s">
        <v>58</v>
      </c>
      <c r="J466" s="2" t="s">
        <v>41</v>
      </c>
      <c r="K466" s="2" t="s">
        <v>165</v>
      </c>
      <c r="L466" s="2" t="s">
        <v>166</v>
      </c>
      <c r="M466" s="2" t="s">
        <v>48</v>
      </c>
      <c r="N466" s="2" t="s">
        <v>49</v>
      </c>
      <c r="O466" s="2" t="s">
        <v>1517</v>
      </c>
      <c r="P466" s="2" t="s">
        <v>64</v>
      </c>
      <c r="Q466" s="2" t="s">
        <v>41</v>
      </c>
      <c r="R466" s="2" t="n">
        <v>3</v>
      </c>
      <c r="S466" s="2" t="n">
        <v>3625.08</v>
      </c>
      <c r="T466" s="2" t="n">
        <v>0.05</v>
      </c>
      <c r="U466" s="2" t="str">
        <f aca="false">IF(ISBLANK(T466),"Yes","No")</f>
        <v>No</v>
      </c>
      <c r="V466" s="2" t="n">
        <f aca="false">IF(ISBLANK(T466),0,IF(ISNUMBER(T466),T466,VALUE(LEFT(T466,LEN(T466)-1))/100))</f>
        <v>0.05</v>
      </c>
      <c r="W466" s="2" t="str">
        <f aca="false">IF(AND(V466&gt;=0,V466&lt;=0.25),"Valid","Invalid")</f>
        <v>Valid</v>
      </c>
      <c r="X466" s="2" t="n">
        <v>10331.48</v>
      </c>
      <c r="Y466" s="2" t="n">
        <f aca="false">R466*S466*(1-V466)</f>
        <v>10331.478</v>
      </c>
      <c r="Z466" s="2" t="str">
        <f aca="false">IF(ABS(X466-Y466)&gt;1,"Mismatch","OK")</f>
        <v>OK</v>
      </c>
      <c r="AA466" s="2" t="n">
        <v>7131.91</v>
      </c>
      <c r="AB466" s="2" t="n">
        <v>3199.57</v>
      </c>
      <c r="AC466" s="2" t="n">
        <f aca="false">Y466-AA466</f>
        <v>3199.568</v>
      </c>
      <c r="AD466" s="2" t="str">
        <f aca="false">IF(ABS(AB466-AC466)&gt;1,"Mismatch","OK")</f>
        <v>OK</v>
      </c>
      <c r="AE466" s="4" t="n">
        <f aca="false">IF(Y466=0,0,AC466/Y466)</f>
        <v>0.309691217461819</v>
      </c>
      <c r="AF466" s="2" t="s">
        <v>131</v>
      </c>
      <c r="AG466" s="2" t="s">
        <v>88</v>
      </c>
      <c r="AH466" s="2" t="str">
        <f aca="false">IF(AND(AG466="Completed",AF466&lt;&gt;"Paid"),"Inconsistent","OK")</f>
        <v>OK</v>
      </c>
      <c r="AI466" s="2" t="n">
        <f aca="false">IF(OR(ISBLANK(B466),ISBLANK(C466)),"",C466-B466)</f>
        <v>4</v>
      </c>
      <c r="AJ466" s="2" t="str">
        <f aca="false">IF(AI466="","Unknown",IF(AI466&lt;0,"Invalid","OK"))</f>
        <v>OK</v>
      </c>
      <c r="AK466" s="2" t="str">
        <f aca="false">IF(ISBLANK(B466),"",TEXT(B466,"mmm"))</f>
        <v>Mar</v>
      </c>
      <c r="AL466" s="2" t="n">
        <f aca="false">IF(ISBLANK(B466),"",YEAR(B466))</f>
        <v>2025</v>
      </c>
      <c r="AM466" s="2" t="s">
        <v>41</v>
      </c>
      <c r="AN466" s="2" t="str">
        <f aca="false">IF(OR(W466="Invalid",AJ466="Invalid",AH466="Inconsistent",Z466="Mismatch",AD466="Mismatch",AM466="Yes",D466="Yes",E466="Yes"),"Invalid",IF(OR(J466="Yes",Q466="Yes",U466="Yes"),"Warning","Clean"))</f>
        <v>Clean</v>
      </c>
    </row>
    <row r="467" customFormat="false" ht="15" hidden="false" customHeight="false" outlineLevel="0" collapsed="false">
      <c r="A467" s="2" t="s">
        <v>1518</v>
      </c>
      <c r="B467" s="3" t="n">
        <v>45320</v>
      </c>
      <c r="C467" s="3" t="n">
        <v>45328</v>
      </c>
      <c r="D467" s="2" t="s">
        <v>41</v>
      </c>
      <c r="E467" s="2" t="s">
        <v>41</v>
      </c>
      <c r="F467" s="2" t="s">
        <v>1519</v>
      </c>
      <c r="G467" s="2" t="s">
        <v>148</v>
      </c>
      <c r="H467" s="2" t="s">
        <v>57</v>
      </c>
      <c r="I467" s="2" t="s">
        <v>83</v>
      </c>
      <c r="J467" s="2" t="s">
        <v>41</v>
      </c>
      <c r="K467" s="2" t="s">
        <v>92</v>
      </c>
      <c r="L467" s="2" t="s">
        <v>93</v>
      </c>
      <c r="M467" s="2" t="s">
        <v>48</v>
      </c>
      <c r="N467" s="2" t="s">
        <v>111</v>
      </c>
      <c r="O467" s="2" t="s">
        <v>1520</v>
      </c>
      <c r="P467" s="2" t="s">
        <v>79</v>
      </c>
      <c r="Q467" s="2" t="s">
        <v>41</v>
      </c>
      <c r="R467" s="2" t="n">
        <v>2</v>
      </c>
      <c r="S467" s="2" t="n">
        <v>1258.9</v>
      </c>
      <c r="T467" s="2" t="n">
        <v>0</v>
      </c>
      <c r="U467" s="2" t="str">
        <f aca="false">IF(ISBLANK(T467),"Yes","No")</f>
        <v>No</v>
      </c>
      <c r="V467" s="2" t="n">
        <f aca="false">IF(ISBLANK(T467),0,IF(ISNUMBER(T467),T467,VALUE(LEFT(T467,LEN(T467)-1))/100))</f>
        <v>0</v>
      </c>
      <c r="W467" s="2" t="str">
        <f aca="false">IF(AND(V467&gt;=0,V467&lt;=0.25),"Valid","Invalid")</f>
        <v>Valid</v>
      </c>
      <c r="X467" s="2" t="n">
        <v>2517.8</v>
      </c>
      <c r="Y467" s="2" t="n">
        <f aca="false">R467*S467*(1-V467)</f>
        <v>2517.8</v>
      </c>
      <c r="Z467" s="2" t="str">
        <f aca="false">IF(ABS(X467-Y467)&gt;1,"Mismatch","OK")</f>
        <v>OK</v>
      </c>
      <c r="AA467" s="2" t="n">
        <v>1478.54</v>
      </c>
      <c r="AB467" s="2" t="n">
        <v>1039.26</v>
      </c>
      <c r="AC467" s="2" t="n">
        <f aca="false">Y467-AA467</f>
        <v>1039.26</v>
      </c>
      <c r="AD467" s="2" t="str">
        <f aca="false">IF(ABS(AB467-AC467)&gt;1,"Mismatch","OK")</f>
        <v>OK</v>
      </c>
      <c r="AE467" s="4" t="n">
        <f aca="false">IF(Y467=0,0,AC467/Y467)</f>
        <v>0.412765112399714</v>
      </c>
      <c r="AF467" s="2" t="s">
        <v>52</v>
      </c>
      <c r="AG467" s="2" t="s">
        <v>53</v>
      </c>
      <c r="AH467" s="2" t="str">
        <f aca="false">IF(AND(AG467="Completed",AF467&lt;&gt;"Paid"),"Inconsistent","OK")</f>
        <v>OK</v>
      </c>
      <c r="AI467" s="2" t="n">
        <f aca="false">IF(OR(ISBLANK(B467),ISBLANK(C467)),"",C467-B467)</f>
        <v>8</v>
      </c>
      <c r="AJ467" s="2" t="str">
        <f aca="false">IF(AI467="","Unknown",IF(AI467&lt;0,"Invalid","OK"))</f>
        <v>OK</v>
      </c>
      <c r="AK467" s="2" t="str">
        <f aca="false">IF(ISBLANK(B467),"",TEXT(B467,"mmm"))</f>
        <v>Jan</v>
      </c>
      <c r="AL467" s="2" t="n">
        <f aca="false">IF(ISBLANK(B467),"",YEAR(B467))</f>
        <v>2024</v>
      </c>
      <c r="AM467" s="2" t="s">
        <v>41</v>
      </c>
      <c r="AN467" s="2" t="str">
        <f aca="false">IF(OR(W467="Invalid",AJ467="Invalid",AH467="Inconsistent",Z467="Mismatch",AD467="Mismatch",AM467="Yes",D467="Yes",E467="Yes"),"Invalid",IF(OR(J467="Yes",Q467="Yes",U467="Yes"),"Warning","Clean"))</f>
        <v>Clean</v>
      </c>
    </row>
    <row r="468" customFormat="false" ht="15" hidden="false" customHeight="false" outlineLevel="0" collapsed="false">
      <c r="A468" s="2" t="s">
        <v>1521</v>
      </c>
      <c r="B468" s="3" t="n">
        <v>45295</v>
      </c>
      <c r="C468" s="3" t="n">
        <v>45299</v>
      </c>
      <c r="D468" s="2" t="s">
        <v>41</v>
      </c>
      <c r="E468" s="2" t="s">
        <v>41</v>
      </c>
      <c r="F468" s="2" t="s">
        <v>1522</v>
      </c>
      <c r="G468" s="2" t="s">
        <v>56</v>
      </c>
      <c r="H468" s="2" t="s">
        <v>57</v>
      </c>
      <c r="I468" s="2" t="s">
        <v>58</v>
      </c>
      <c r="J468" s="2" t="s">
        <v>41</v>
      </c>
      <c r="K468" s="2" t="s">
        <v>165</v>
      </c>
      <c r="L468" s="2" t="s">
        <v>166</v>
      </c>
      <c r="M468" s="2" t="s">
        <v>94</v>
      </c>
      <c r="N468" s="2" t="s">
        <v>95</v>
      </c>
      <c r="O468" s="2" t="s">
        <v>1523</v>
      </c>
      <c r="P468" s="2" t="s">
        <v>64</v>
      </c>
      <c r="Q468" s="2" t="s">
        <v>41</v>
      </c>
      <c r="R468" s="2" t="n">
        <v>9</v>
      </c>
      <c r="S468" s="2" t="n">
        <v>1591.96</v>
      </c>
      <c r="T468" s="2" t="n">
        <v>0.2</v>
      </c>
      <c r="U468" s="2" t="str">
        <f aca="false">IF(ISBLANK(T468),"Yes","No")</f>
        <v>No</v>
      </c>
      <c r="V468" s="2" t="n">
        <f aca="false">IF(ISBLANK(T468),0,IF(ISNUMBER(T468),T468,VALUE(LEFT(T468,LEN(T468)-1))/100))</f>
        <v>0.2</v>
      </c>
      <c r="W468" s="2" t="str">
        <f aca="false">IF(AND(V468&gt;=0,V468&lt;=0.25),"Valid","Invalid")</f>
        <v>Valid</v>
      </c>
      <c r="X468" s="2" t="n">
        <v>11462.11</v>
      </c>
      <c r="Y468" s="2" t="n">
        <f aca="false">R468*S468*(1-V468)</f>
        <v>11462.112</v>
      </c>
      <c r="Z468" s="2" t="str">
        <f aca="false">IF(ABS(X468-Y468)&gt;1,"Mismatch","OK")</f>
        <v>OK</v>
      </c>
      <c r="AA468" s="2" t="n">
        <v>7105.48</v>
      </c>
      <c r="AB468" s="2" t="n">
        <v>4356.63</v>
      </c>
      <c r="AC468" s="2" t="n">
        <f aca="false">Y468-AA468</f>
        <v>4356.632</v>
      </c>
      <c r="AD468" s="2" t="str">
        <f aca="false">IF(ABS(AB468-AC468)&gt;1,"Mismatch","OK")</f>
        <v>OK</v>
      </c>
      <c r="AE468" s="4" t="n">
        <f aca="false">IF(Y468=0,0,AC468/Y468)</f>
        <v>0.380089812418514</v>
      </c>
      <c r="AF468" s="2" t="s">
        <v>52</v>
      </c>
      <c r="AG468" s="2" t="s">
        <v>53</v>
      </c>
      <c r="AH468" s="2" t="str">
        <f aca="false">IF(AND(AG468="Completed",AF468&lt;&gt;"Paid"),"Inconsistent","OK")</f>
        <v>OK</v>
      </c>
      <c r="AI468" s="2" t="n">
        <f aca="false">IF(OR(ISBLANK(B468),ISBLANK(C468)),"",C468-B468)</f>
        <v>4</v>
      </c>
      <c r="AJ468" s="2" t="str">
        <f aca="false">IF(AI468="","Unknown",IF(AI468&lt;0,"Invalid","OK"))</f>
        <v>OK</v>
      </c>
      <c r="AK468" s="2" t="str">
        <f aca="false">IF(ISBLANK(B468),"",TEXT(B468,"mmm"))</f>
        <v>Jan</v>
      </c>
      <c r="AL468" s="2" t="n">
        <f aca="false">IF(ISBLANK(B468),"",YEAR(B468))</f>
        <v>2024</v>
      </c>
      <c r="AM468" s="2" t="s">
        <v>41</v>
      </c>
      <c r="AN468" s="2" t="str">
        <f aca="false">IF(OR(W468="Invalid",AJ468="Invalid",AH468="Inconsistent",Z468="Mismatch",AD468="Mismatch",AM468="Yes",D468="Yes",E468="Yes"),"Invalid",IF(OR(J468="Yes",Q468="Yes",U468="Yes"),"Warning","Clean"))</f>
        <v>Clean</v>
      </c>
    </row>
    <row r="469" customFormat="false" ht="15" hidden="false" customHeight="false" outlineLevel="0" collapsed="false">
      <c r="A469" s="2" t="s">
        <v>1524</v>
      </c>
      <c r="B469" s="3" t="n">
        <v>45524</v>
      </c>
      <c r="C469" s="3" t="n">
        <v>45525</v>
      </c>
      <c r="D469" s="2" t="s">
        <v>41</v>
      </c>
      <c r="E469" s="2" t="s">
        <v>41</v>
      </c>
      <c r="F469" s="2" t="s">
        <v>1525</v>
      </c>
      <c r="G469" s="2" t="s">
        <v>109</v>
      </c>
      <c r="H469" s="2" t="s">
        <v>110</v>
      </c>
      <c r="I469" s="2" t="s">
        <v>58</v>
      </c>
      <c r="J469" s="2" t="s">
        <v>41</v>
      </c>
      <c r="K469" s="2" t="s">
        <v>59</v>
      </c>
      <c r="L469" s="2" t="s">
        <v>60</v>
      </c>
      <c r="M469" s="2" t="s">
        <v>94</v>
      </c>
      <c r="N469" s="2" t="s">
        <v>100</v>
      </c>
      <c r="O469" s="2" t="s">
        <v>1526</v>
      </c>
      <c r="P469" s="2" t="s">
        <v>70</v>
      </c>
      <c r="Q469" s="2" t="s">
        <v>41</v>
      </c>
      <c r="R469" s="2" t="n">
        <v>5</v>
      </c>
      <c r="S469" s="2" t="n">
        <v>4288.33</v>
      </c>
      <c r="T469" s="2" t="n">
        <v>0.1</v>
      </c>
      <c r="U469" s="2" t="str">
        <f aca="false">IF(ISBLANK(T469),"Yes","No")</f>
        <v>No</v>
      </c>
      <c r="V469" s="2" t="n">
        <f aca="false">IF(ISBLANK(T469),0,IF(ISNUMBER(T469),T469,VALUE(LEFT(T469,LEN(T469)-1))/100))</f>
        <v>0.1</v>
      </c>
      <c r="W469" s="2" t="str">
        <f aca="false">IF(AND(V469&gt;=0,V469&lt;=0.25),"Valid","Invalid")</f>
        <v>Valid</v>
      </c>
      <c r="X469" s="2" t="n">
        <v>19297.49</v>
      </c>
      <c r="Y469" s="2" t="n">
        <f aca="false">R469*S469*(1-V469)</f>
        <v>19297.485</v>
      </c>
      <c r="Z469" s="2" t="str">
        <f aca="false">IF(ABS(X469-Y469)&gt;1,"Mismatch","OK")</f>
        <v>OK</v>
      </c>
      <c r="AA469" s="2" t="n">
        <v>15451.66</v>
      </c>
      <c r="AB469" s="2" t="n">
        <v>3845.83</v>
      </c>
      <c r="AC469" s="2" t="n">
        <f aca="false">Y469-AA469</f>
        <v>3845.825</v>
      </c>
      <c r="AD469" s="2" t="str">
        <f aca="false">IF(ABS(AB469-AC469)&gt;1,"Mismatch","OK")</f>
        <v>OK</v>
      </c>
      <c r="AE469" s="4" t="n">
        <f aca="false">IF(Y469=0,0,AC469/Y469)</f>
        <v>0.199291513894168</v>
      </c>
      <c r="AF469" s="2" t="s">
        <v>122</v>
      </c>
      <c r="AG469" s="2" t="s">
        <v>88</v>
      </c>
      <c r="AH469" s="2" t="str">
        <f aca="false">IF(AND(AG469="Completed",AF469&lt;&gt;"Paid"),"Inconsistent","OK")</f>
        <v>OK</v>
      </c>
      <c r="AI469" s="2" t="n">
        <f aca="false">IF(OR(ISBLANK(B469),ISBLANK(C469)),"",C469-B469)</f>
        <v>1</v>
      </c>
      <c r="AJ469" s="2" t="str">
        <f aca="false">IF(AI469="","Unknown",IF(AI469&lt;0,"Invalid","OK"))</f>
        <v>OK</v>
      </c>
      <c r="AK469" s="2" t="str">
        <f aca="false">IF(ISBLANK(B469),"",TEXT(B469,"mmm"))</f>
        <v>Aug</v>
      </c>
      <c r="AL469" s="2" t="n">
        <f aca="false">IF(ISBLANK(B469),"",YEAR(B469))</f>
        <v>2024</v>
      </c>
      <c r="AM469" s="2" t="s">
        <v>41</v>
      </c>
      <c r="AN469" s="2" t="str">
        <f aca="false">IF(OR(W469="Invalid",AJ469="Invalid",AH469="Inconsistent",Z469="Mismatch",AD469="Mismatch",AM469="Yes",D469="Yes",E469="Yes"),"Invalid",IF(OR(J469="Yes",Q469="Yes",U469="Yes"),"Warning","Clean"))</f>
        <v>Clean</v>
      </c>
    </row>
    <row r="470" customFormat="false" ht="15" hidden="false" customHeight="false" outlineLevel="0" collapsed="false">
      <c r="A470" s="2" t="s">
        <v>1527</v>
      </c>
      <c r="B470" s="3" t="n">
        <v>45666</v>
      </c>
      <c r="C470" s="3" t="n">
        <v>45664</v>
      </c>
      <c r="D470" s="2" t="s">
        <v>41</v>
      </c>
      <c r="E470" s="2" t="s">
        <v>41</v>
      </c>
      <c r="F470" s="2" t="s">
        <v>1528</v>
      </c>
      <c r="G470" s="2" t="s">
        <v>148</v>
      </c>
      <c r="H470" s="2" t="s">
        <v>115</v>
      </c>
      <c r="I470" s="2" t="s">
        <v>58</v>
      </c>
      <c r="J470" s="2" t="s">
        <v>41</v>
      </c>
      <c r="K470" s="2" t="s">
        <v>119</v>
      </c>
      <c r="L470" s="2" t="s">
        <v>120</v>
      </c>
      <c r="M470" s="2" t="s">
        <v>48</v>
      </c>
      <c r="N470" s="2" t="s">
        <v>173</v>
      </c>
      <c r="O470" s="2" t="s">
        <v>1529</v>
      </c>
      <c r="P470" s="2" t="s">
        <v>51</v>
      </c>
      <c r="Q470" s="2" t="s">
        <v>41</v>
      </c>
      <c r="R470" s="2" t="n">
        <v>3</v>
      </c>
      <c r="S470" s="2" t="n">
        <v>2188.33</v>
      </c>
      <c r="T470" s="2" t="n">
        <v>0</v>
      </c>
      <c r="U470" s="2" t="str">
        <f aca="false">IF(ISBLANK(T470),"Yes","No")</f>
        <v>No</v>
      </c>
      <c r="V470" s="2" t="n">
        <f aca="false">IF(ISBLANK(T470),0,IF(ISNUMBER(T470),T470,VALUE(LEFT(T470,LEN(T470)-1))/100))</f>
        <v>0</v>
      </c>
      <c r="W470" s="2" t="str">
        <f aca="false">IF(AND(V470&gt;=0,V470&lt;=0.25),"Valid","Invalid")</f>
        <v>Valid</v>
      </c>
      <c r="X470" s="2" t="n">
        <v>6564.99</v>
      </c>
      <c r="Y470" s="2" t="n">
        <f aca="false">R470*S470*(1-V470)</f>
        <v>6564.99</v>
      </c>
      <c r="Z470" s="2" t="str">
        <f aca="false">IF(ABS(X470-Y470)&gt;1,"Mismatch","OK")</f>
        <v>OK</v>
      </c>
      <c r="AA470" s="2" t="n">
        <v>5407.24</v>
      </c>
      <c r="AB470" s="2" t="n">
        <v>1157.75</v>
      </c>
      <c r="AC470" s="2" t="n">
        <f aca="false">Y470-AA470</f>
        <v>1157.75</v>
      </c>
      <c r="AD470" s="2" t="str">
        <f aca="false">IF(ABS(AB470-AC470)&gt;1,"Mismatch","OK")</f>
        <v>OK</v>
      </c>
      <c r="AE470" s="4" t="n">
        <f aca="false">IF(Y470=0,0,AC470/Y470)</f>
        <v>0.176352134580555</v>
      </c>
      <c r="AF470" s="2" t="s">
        <v>52</v>
      </c>
      <c r="AG470" s="2" t="s">
        <v>53</v>
      </c>
      <c r="AH470" s="2" t="str">
        <f aca="false">IF(AND(AG470="Completed",AF470&lt;&gt;"Paid"),"Inconsistent","OK")</f>
        <v>OK</v>
      </c>
      <c r="AI470" s="2" t="n">
        <f aca="false">IF(OR(ISBLANK(B470),ISBLANK(C470)),"",C470-B470)</f>
        <v>-2</v>
      </c>
      <c r="AJ470" s="2" t="str">
        <f aca="false">IF(AI470="","Unknown",IF(AI470&lt;0,"Invalid","OK"))</f>
        <v>Invalid</v>
      </c>
      <c r="AK470" s="2" t="str">
        <f aca="false">IF(ISBLANK(B470),"",TEXT(B470,"mmm"))</f>
        <v>Jan</v>
      </c>
      <c r="AL470" s="2" t="n">
        <f aca="false">IF(ISBLANK(B470),"",YEAR(B470))</f>
        <v>2025</v>
      </c>
      <c r="AM470" s="2" t="s">
        <v>41</v>
      </c>
      <c r="AN470" s="2" t="str">
        <f aca="false">IF(OR(W470="Invalid",AJ470="Invalid",AH470="Inconsistent",Z470="Mismatch",AD470="Mismatch",AM470="Yes",D470="Yes",E470="Yes"),"Invalid",IF(OR(J470="Yes",Q470="Yes",U470="Yes"),"Warning","Clean"))</f>
        <v>Invalid</v>
      </c>
    </row>
    <row r="471" customFormat="false" ht="15" hidden="false" customHeight="false" outlineLevel="0" collapsed="false">
      <c r="A471" s="2" t="s">
        <v>1530</v>
      </c>
      <c r="B471" s="3" t="n">
        <v>45310</v>
      </c>
      <c r="C471" s="3" t="n">
        <v>45316</v>
      </c>
      <c r="D471" s="2" t="s">
        <v>41</v>
      </c>
      <c r="E471" s="2" t="s">
        <v>41</v>
      </c>
      <c r="F471" s="2" t="s">
        <v>1531</v>
      </c>
      <c r="G471" s="2" t="s">
        <v>109</v>
      </c>
      <c r="H471" s="2" t="s">
        <v>110</v>
      </c>
      <c r="I471" s="2" t="s">
        <v>83</v>
      </c>
      <c r="J471" s="2" t="s">
        <v>41</v>
      </c>
      <c r="K471" s="2" t="s">
        <v>210</v>
      </c>
      <c r="L471" s="2" t="s">
        <v>211</v>
      </c>
      <c r="M471" s="2" t="s">
        <v>94</v>
      </c>
      <c r="N471" s="2" t="s">
        <v>100</v>
      </c>
      <c r="O471" s="2" t="s">
        <v>1532</v>
      </c>
      <c r="P471" s="2" t="s">
        <v>70</v>
      </c>
      <c r="Q471" s="2" t="s">
        <v>41</v>
      </c>
      <c r="R471" s="2" t="n">
        <v>3</v>
      </c>
      <c r="S471" s="2" t="n">
        <v>1041.66</v>
      </c>
      <c r="T471" s="2" t="n">
        <v>0.1</v>
      </c>
      <c r="U471" s="2" t="str">
        <f aca="false">IF(ISBLANK(T471),"Yes","No")</f>
        <v>No</v>
      </c>
      <c r="V471" s="2" t="n">
        <f aca="false">IF(ISBLANK(T471),0,IF(ISNUMBER(T471),T471,VALUE(LEFT(T471,LEN(T471)-1))/100))</f>
        <v>0.1</v>
      </c>
      <c r="W471" s="2" t="str">
        <f aca="false">IF(AND(V471&gt;=0,V471&lt;=0.25),"Valid","Invalid")</f>
        <v>Valid</v>
      </c>
      <c r="X471" s="2" t="n">
        <v>2812.48</v>
      </c>
      <c r="Y471" s="2" t="n">
        <f aca="false">R471*S471*(1-V471)</f>
        <v>2812.482</v>
      </c>
      <c r="Z471" s="2" t="str">
        <f aca="false">IF(ABS(X471-Y471)&gt;1,"Mismatch","OK")</f>
        <v>OK</v>
      </c>
      <c r="AA471" s="2" t="n">
        <v>2282.12</v>
      </c>
      <c r="AB471" s="2" t="n">
        <v>530.36</v>
      </c>
      <c r="AC471" s="2" t="n">
        <f aca="false">Y471-AA471</f>
        <v>530.362000000001</v>
      </c>
      <c r="AD471" s="2" t="str">
        <f aca="false">IF(ABS(AB471-AC471)&gt;1,"Mismatch","OK")</f>
        <v>OK</v>
      </c>
      <c r="AE471" s="4" t="n">
        <f aca="false">IF(Y471=0,0,AC471/Y471)</f>
        <v>0.188574362431475</v>
      </c>
      <c r="AF471" s="2" t="s">
        <v>52</v>
      </c>
      <c r="AG471" s="2" t="s">
        <v>53</v>
      </c>
      <c r="AH471" s="2" t="str">
        <f aca="false">IF(AND(AG471="Completed",AF471&lt;&gt;"Paid"),"Inconsistent","OK")</f>
        <v>OK</v>
      </c>
      <c r="AI471" s="2" t="n">
        <f aca="false">IF(OR(ISBLANK(B471),ISBLANK(C471)),"",C471-B471)</f>
        <v>6</v>
      </c>
      <c r="AJ471" s="2" t="str">
        <f aca="false">IF(AI471="","Unknown",IF(AI471&lt;0,"Invalid","OK"))</f>
        <v>OK</v>
      </c>
      <c r="AK471" s="2" t="str">
        <f aca="false">IF(ISBLANK(B471),"",TEXT(B471,"mmm"))</f>
        <v>Jan</v>
      </c>
      <c r="AL471" s="2" t="n">
        <f aca="false">IF(ISBLANK(B471),"",YEAR(B471))</f>
        <v>2024</v>
      </c>
      <c r="AM471" s="2" t="s">
        <v>41</v>
      </c>
      <c r="AN471" s="2" t="str">
        <f aca="false">IF(OR(W471="Invalid",AJ471="Invalid",AH471="Inconsistent",Z471="Mismatch",AD471="Mismatch",AM471="Yes",D471="Yes",E471="Yes"),"Invalid",IF(OR(J471="Yes",Q471="Yes",U471="Yes"),"Warning","Clean"))</f>
        <v>Clean</v>
      </c>
    </row>
    <row r="472" customFormat="false" ht="15" hidden="false" customHeight="false" outlineLevel="0" collapsed="false">
      <c r="A472" s="2" t="s">
        <v>1533</v>
      </c>
      <c r="B472" s="3" t="n">
        <v>45501</v>
      </c>
      <c r="C472" s="3" t="n">
        <v>45504</v>
      </c>
      <c r="D472" s="2" t="s">
        <v>41</v>
      </c>
      <c r="E472" s="2" t="s">
        <v>41</v>
      </c>
      <c r="F472" s="2" t="s">
        <v>1534</v>
      </c>
      <c r="G472" s="2" t="s">
        <v>109</v>
      </c>
      <c r="H472" s="2" t="s">
        <v>44</v>
      </c>
      <c r="I472" s="2" t="s">
        <v>45</v>
      </c>
      <c r="J472" s="2" t="s">
        <v>41</v>
      </c>
      <c r="K472" s="2" t="s">
        <v>46</v>
      </c>
      <c r="L472" s="2" t="s">
        <v>47</v>
      </c>
      <c r="M472" s="2" t="s">
        <v>61</v>
      </c>
      <c r="N472" s="2" t="s">
        <v>62</v>
      </c>
      <c r="O472" s="2" t="s">
        <v>1535</v>
      </c>
      <c r="P472" s="2" t="s">
        <v>64</v>
      </c>
      <c r="Q472" s="2" t="s">
        <v>41</v>
      </c>
      <c r="R472" s="2" t="n">
        <v>2</v>
      </c>
      <c r="S472" s="2" t="n">
        <v>4424.78</v>
      </c>
      <c r="T472" s="2" t="n">
        <v>0.2</v>
      </c>
      <c r="U472" s="2" t="str">
        <f aca="false">IF(ISBLANK(T472),"Yes","No")</f>
        <v>No</v>
      </c>
      <c r="V472" s="2" t="n">
        <f aca="false">IF(ISBLANK(T472),0,IF(ISNUMBER(T472),T472,VALUE(LEFT(T472,LEN(T472)-1))/100))</f>
        <v>0.2</v>
      </c>
      <c r="W472" s="2" t="str">
        <f aca="false">IF(AND(V472&gt;=0,V472&lt;=0.25),"Valid","Invalid")</f>
        <v>Valid</v>
      </c>
      <c r="X472" s="2" t="n">
        <v>7079.65</v>
      </c>
      <c r="Y472" s="2" t="n">
        <f aca="false">R472*S472*(1-V472)</f>
        <v>7079.648</v>
      </c>
      <c r="Z472" s="2" t="str">
        <f aca="false">IF(ABS(X472-Y472)&gt;1,"Mismatch","OK")</f>
        <v>OK</v>
      </c>
      <c r="AA472" s="2" t="n">
        <v>4465.91</v>
      </c>
      <c r="AB472" s="2" t="n">
        <v>2613.74</v>
      </c>
      <c r="AC472" s="2" t="n">
        <f aca="false">Y472-AA472</f>
        <v>2613.738</v>
      </c>
      <c r="AD472" s="2" t="str">
        <f aca="false">IF(ABS(AB472-AC472)&gt;1,"Mismatch","OK")</f>
        <v>OK</v>
      </c>
      <c r="AE472" s="4" t="n">
        <f aca="false">IF(Y472=0,0,AC472/Y472)</f>
        <v>0.369190389126691</v>
      </c>
      <c r="AF472" s="2" t="s">
        <v>52</v>
      </c>
      <c r="AG472" s="2" t="s">
        <v>53</v>
      </c>
      <c r="AH472" s="2" t="str">
        <f aca="false">IF(AND(AG472="Completed",AF472&lt;&gt;"Paid"),"Inconsistent","OK")</f>
        <v>OK</v>
      </c>
      <c r="AI472" s="2" t="n">
        <f aca="false">IF(OR(ISBLANK(B472),ISBLANK(C472)),"",C472-B472)</f>
        <v>3</v>
      </c>
      <c r="AJ472" s="2" t="str">
        <f aca="false">IF(AI472="","Unknown",IF(AI472&lt;0,"Invalid","OK"))</f>
        <v>OK</v>
      </c>
      <c r="AK472" s="2" t="str">
        <f aca="false">IF(ISBLANK(B472),"",TEXT(B472,"mmm"))</f>
        <v>Jul</v>
      </c>
      <c r="AL472" s="2" t="n">
        <f aca="false">IF(ISBLANK(B472),"",YEAR(B472))</f>
        <v>2024</v>
      </c>
      <c r="AM472" s="2" t="s">
        <v>41</v>
      </c>
      <c r="AN472" s="2" t="str">
        <f aca="false">IF(OR(W472="Invalid",AJ472="Invalid",AH472="Inconsistent",Z472="Mismatch",AD472="Mismatch",AM472="Yes",D472="Yes",E472="Yes"),"Invalid",IF(OR(J472="Yes",Q472="Yes",U472="Yes"),"Warning","Clean"))</f>
        <v>Clean</v>
      </c>
    </row>
    <row r="473" customFormat="false" ht="15" hidden="false" customHeight="false" outlineLevel="0" collapsed="false">
      <c r="A473" s="2" t="s">
        <v>1536</v>
      </c>
      <c r="B473" s="3" t="n">
        <v>45333</v>
      </c>
      <c r="C473" s="3" t="n">
        <v>45337</v>
      </c>
      <c r="D473" s="2" t="s">
        <v>41</v>
      </c>
      <c r="E473" s="2" t="s">
        <v>41</v>
      </c>
      <c r="F473" s="2" t="s">
        <v>1537</v>
      </c>
      <c r="G473" s="2" t="s">
        <v>286</v>
      </c>
      <c r="H473" s="2" t="s">
        <v>44</v>
      </c>
      <c r="I473" s="2" t="s">
        <v>74</v>
      </c>
      <c r="J473" s="2" t="s">
        <v>41</v>
      </c>
      <c r="K473" s="2" t="s">
        <v>75</v>
      </c>
      <c r="L473" s="2" t="s">
        <v>76</v>
      </c>
      <c r="M473" s="2" t="s">
        <v>48</v>
      </c>
      <c r="N473" s="2" t="s">
        <v>173</v>
      </c>
      <c r="O473" s="2" t="s">
        <v>1538</v>
      </c>
      <c r="P473" s="2" t="s">
        <v>79</v>
      </c>
      <c r="Q473" s="2" t="s">
        <v>41</v>
      </c>
      <c r="R473" s="2" t="n">
        <v>3</v>
      </c>
      <c r="S473" s="2" t="n">
        <v>3019.14</v>
      </c>
      <c r="T473" s="2" t="n">
        <v>0.25</v>
      </c>
      <c r="U473" s="2" t="str">
        <f aca="false">IF(ISBLANK(T473),"Yes","No")</f>
        <v>No</v>
      </c>
      <c r="V473" s="2" t="n">
        <f aca="false">IF(ISBLANK(T473),0,IF(ISNUMBER(T473),T473,VALUE(LEFT(T473,LEN(T473)-1))/100))</f>
        <v>0.25</v>
      </c>
      <c r="W473" s="2" t="str">
        <f aca="false">IF(AND(V473&gt;=0,V473&lt;=0.25),"Valid","Invalid")</f>
        <v>Valid</v>
      </c>
      <c r="X473" s="2" t="n">
        <v>6793.07</v>
      </c>
      <c r="Y473" s="2" t="n">
        <f aca="false">R473*S473*(1-V473)</f>
        <v>6793.065</v>
      </c>
      <c r="Z473" s="2" t="str">
        <f aca="false">IF(ABS(X473-Y473)&gt;1,"Mismatch","OK")</f>
        <v>OK</v>
      </c>
      <c r="AA473" s="2" t="n">
        <v>4985.22</v>
      </c>
      <c r="AB473" s="2" t="n">
        <v>1807.85</v>
      </c>
      <c r="AC473" s="2" t="n">
        <f aca="false">Y473-AA473</f>
        <v>1807.845</v>
      </c>
      <c r="AD473" s="2" t="str">
        <f aca="false">IF(ABS(AB473-AC473)&gt;1,"Mismatch","OK")</f>
        <v>OK</v>
      </c>
      <c r="AE473" s="4" t="n">
        <f aca="false">IF(Y473=0,0,AC473/Y473)</f>
        <v>0.266130973279367</v>
      </c>
      <c r="AF473" s="2" t="s">
        <v>52</v>
      </c>
      <c r="AG473" s="2" t="s">
        <v>53</v>
      </c>
      <c r="AH473" s="2" t="str">
        <f aca="false">IF(AND(AG473="Completed",AF473&lt;&gt;"Paid"),"Inconsistent","OK")</f>
        <v>OK</v>
      </c>
      <c r="AI473" s="2" t="n">
        <f aca="false">IF(OR(ISBLANK(B473),ISBLANK(C473)),"",C473-B473)</f>
        <v>4</v>
      </c>
      <c r="AJ473" s="2" t="str">
        <f aca="false">IF(AI473="","Unknown",IF(AI473&lt;0,"Invalid","OK"))</f>
        <v>OK</v>
      </c>
      <c r="AK473" s="2" t="str">
        <f aca="false">IF(ISBLANK(B473),"",TEXT(B473,"mmm"))</f>
        <v>Feb</v>
      </c>
      <c r="AL473" s="2" t="n">
        <f aca="false">IF(ISBLANK(B473),"",YEAR(B473))</f>
        <v>2024</v>
      </c>
      <c r="AM473" s="2" t="s">
        <v>41</v>
      </c>
      <c r="AN473" s="2" t="str">
        <f aca="false">IF(OR(W473="Invalid",AJ473="Invalid",AH473="Inconsistent",Z473="Mismatch",AD473="Mismatch",AM473="Yes",D473="Yes",E473="Yes"),"Invalid",IF(OR(J473="Yes",Q473="Yes",U473="Yes"),"Warning","Clean"))</f>
        <v>Clean</v>
      </c>
    </row>
    <row r="474" customFormat="false" ht="15" hidden="false" customHeight="false" outlineLevel="0" collapsed="false">
      <c r="A474" s="2" t="s">
        <v>1539</v>
      </c>
      <c r="B474" s="3" t="n">
        <v>45353</v>
      </c>
      <c r="C474" s="3" t="n">
        <v>45358</v>
      </c>
      <c r="D474" s="2" t="s">
        <v>41</v>
      </c>
      <c r="E474" s="2" t="s">
        <v>41</v>
      </c>
      <c r="F474" s="2" t="s">
        <v>1540</v>
      </c>
      <c r="G474" s="2" t="s">
        <v>161</v>
      </c>
      <c r="H474" s="2" t="s">
        <v>110</v>
      </c>
      <c r="I474" s="2" t="s">
        <v>58</v>
      </c>
      <c r="J474" s="2" t="s">
        <v>41</v>
      </c>
      <c r="K474" s="2" t="s">
        <v>59</v>
      </c>
      <c r="L474" s="2" t="s">
        <v>60</v>
      </c>
      <c r="M474" s="2" t="s">
        <v>48</v>
      </c>
      <c r="N474" s="2" t="s">
        <v>144</v>
      </c>
      <c r="O474" s="2" t="s">
        <v>1541</v>
      </c>
      <c r="P474" s="2" t="s">
        <v>79</v>
      </c>
      <c r="Q474" s="2" t="s">
        <v>41</v>
      </c>
      <c r="R474" s="2" t="n">
        <v>7</v>
      </c>
      <c r="S474" s="2" t="n">
        <v>263.46</v>
      </c>
      <c r="T474" s="2" t="n">
        <v>0</v>
      </c>
      <c r="U474" s="2" t="str">
        <f aca="false">IF(ISBLANK(T474),"Yes","No")</f>
        <v>No</v>
      </c>
      <c r="V474" s="2" t="n">
        <f aca="false">IF(ISBLANK(T474),0,IF(ISNUMBER(T474),T474,VALUE(LEFT(T474,LEN(T474)-1))/100))</f>
        <v>0</v>
      </c>
      <c r="W474" s="2" t="str">
        <f aca="false">IF(AND(V474&gt;=0,V474&lt;=0.25),"Valid","Invalid")</f>
        <v>Valid</v>
      </c>
      <c r="X474" s="2" t="n">
        <v>1844.22</v>
      </c>
      <c r="Y474" s="2" t="n">
        <f aca="false">R474*S474*(1-V474)</f>
        <v>1844.22</v>
      </c>
      <c r="Z474" s="2" t="str">
        <f aca="false">IF(ABS(X474-Y474)&gt;1,"Mismatch","OK")</f>
        <v>OK</v>
      </c>
      <c r="AA474" s="2" t="n">
        <v>1094.21</v>
      </c>
      <c r="AB474" s="2" t="n">
        <v>750.01</v>
      </c>
      <c r="AC474" s="2" t="n">
        <f aca="false">Y474-AA474</f>
        <v>750.01</v>
      </c>
      <c r="AD474" s="2" t="str">
        <f aca="false">IF(ABS(AB474-AC474)&gt;1,"Mismatch","OK")</f>
        <v>OK</v>
      </c>
      <c r="AE474" s="4" t="n">
        <f aca="false">IF(Y474=0,0,AC474/Y474)</f>
        <v>0.40668141544935</v>
      </c>
      <c r="AF474" s="2" t="s">
        <v>52</v>
      </c>
      <c r="AG474" s="2" t="s">
        <v>53</v>
      </c>
      <c r="AH474" s="2" t="str">
        <f aca="false">IF(AND(AG474="Completed",AF474&lt;&gt;"Paid"),"Inconsistent","OK")</f>
        <v>OK</v>
      </c>
      <c r="AI474" s="2" t="n">
        <f aca="false">IF(OR(ISBLANK(B474),ISBLANK(C474)),"",C474-B474)</f>
        <v>5</v>
      </c>
      <c r="AJ474" s="2" t="str">
        <f aca="false">IF(AI474="","Unknown",IF(AI474&lt;0,"Invalid","OK"))</f>
        <v>OK</v>
      </c>
      <c r="AK474" s="2" t="str">
        <f aca="false">IF(ISBLANK(B474),"",TEXT(B474,"mmm"))</f>
        <v>Mar</v>
      </c>
      <c r="AL474" s="2" t="n">
        <f aca="false">IF(ISBLANK(B474),"",YEAR(B474))</f>
        <v>2024</v>
      </c>
      <c r="AM474" s="2" t="s">
        <v>41</v>
      </c>
      <c r="AN474" s="2" t="str">
        <f aca="false">IF(OR(W474="Invalid",AJ474="Invalid",AH474="Inconsistent",Z474="Mismatch",AD474="Mismatch",AM474="Yes",D474="Yes",E474="Yes"),"Invalid",IF(OR(J474="Yes",Q474="Yes",U474="Yes"),"Warning","Clean"))</f>
        <v>Clean</v>
      </c>
    </row>
    <row r="475" customFormat="false" ht="15" hidden="false" customHeight="false" outlineLevel="0" collapsed="false">
      <c r="A475" s="2" t="s">
        <v>1542</v>
      </c>
      <c r="B475" s="3" t="n">
        <v>45609</v>
      </c>
      <c r="C475" s="3" t="n">
        <v>45609</v>
      </c>
      <c r="D475" s="2" t="s">
        <v>41</v>
      </c>
      <c r="E475" s="2" t="s">
        <v>41</v>
      </c>
      <c r="F475" s="2" t="s">
        <v>1543</v>
      </c>
      <c r="G475" s="2" t="s">
        <v>134</v>
      </c>
      <c r="H475" s="2" t="s">
        <v>44</v>
      </c>
      <c r="I475" s="2" t="s">
        <v>83</v>
      </c>
      <c r="J475" s="2" t="s">
        <v>41</v>
      </c>
      <c r="K475" s="2" t="s">
        <v>210</v>
      </c>
      <c r="L475" s="2" t="s">
        <v>211</v>
      </c>
      <c r="M475" s="2" t="s">
        <v>94</v>
      </c>
      <c r="N475" s="2" t="s">
        <v>100</v>
      </c>
      <c r="O475" s="2" t="s">
        <v>1544</v>
      </c>
      <c r="P475" s="2" t="s">
        <v>79</v>
      </c>
      <c r="Q475" s="2" t="s">
        <v>41</v>
      </c>
      <c r="R475" s="2" t="n">
        <v>6</v>
      </c>
      <c r="S475" s="2" t="n">
        <v>191.45</v>
      </c>
      <c r="T475" s="2" t="n">
        <v>0.2</v>
      </c>
      <c r="U475" s="2" t="str">
        <f aca="false">IF(ISBLANK(T475),"Yes","No")</f>
        <v>No</v>
      </c>
      <c r="V475" s="2" t="n">
        <f aca="false">IF(ISBLANK(T475),0,IF(ISNUMBER(T475),T475,VALUE(LEFT(T475,LEN(T475)-1))/100))</f>
        <v>0.2</v>
      </c>
      <c r="W475" s="2" t="str">
        <f aca="false">IF(AND(V475&gt;=0,V475&lt;=0.25),"Valid","Invalid")</f>
        <v>Valid</v>
      </c>
      <c r="X475" s="2" t="n">
        <v>918.96</v>
      </c>
      <c r="Y475" s="2" t="n">
        <f aca="false">R475*S475*(1-V475)</f>
        <v>918.96</v>
      </c>
      <c r="Z475" s="2" t="str">
        <f aca="false">IF(ABS(X475-Y475)&gt;1,"Mismatch","OK")</f>
        <v>OK</v>
      </c>
      <c r="AA475" s="2" t="n">
        <v>554.18</v>
      </c>
      <c r="AB475" s="2" t="n">
        <v>364.78</v>
      </c>
      <c r="AC475" s="2" t="n">
        <f aca="false">Y475-AA475</f>
        <v>364.78</v>
      </c>
      <c r="AD475" s="2" t="str">
        <f aca="false">IF(ABS(AB475-AC475)&gt;1,"Mismatch","OK")</f>
        <v>OK</v>
      </c>
      <c r="AE475" s="4" t="n">
        <f aca="false">IF(Y475=0,0,AC475/Y475)</f>
        <v>0.396948724645251</v>
      </c>
      <c r="AF475" s="2" t="s">
        <v>52</v>
      </c>
      <c r="AG475" s="2" t="s">
        <v>53</v>
      </c>
      <c r="AH475" s="2" t="str">
        <f aca="false">IF(AND(AG475="Completed",AF475&lt;&gt;"Paid"),"Inconsistent","OK")</f>
        <v>OK</v>
      </c>
      <c r="AI475" s="2" t="n">
        <f aca="false">IF(OR(ISBLANK(B475),ISBLANK(C475)),"",C475-B475)</f>
        <v>0</v>
      </c>
      <c r="AJ475" s="2" t="str">
        <f aca="false">IF(AI475="","Unknown",IF(AI475&lt;0,"Invalid","OK"))</f>
        <v>OK</v>
      </c>
      <c r="AK475" s="2" t="str">
        <f aca="false">IF(ISBLANK(B475),"",TEXT(B475,"mmm"))</f>
        <v>Nov</v>
      </c>
      <c r="AL475" s="2" t="n">
        <f aca="false">IF(ISBLANK(B475),"",YEAR(B475))</f>
        <v>2024</v>
      </c>
      <c r="AM475" s="2" t="s">
        <v>41</v>
      </c>
      <c r="AN475" s="2" t="str">
        <f aca="false">IF(OR(W475="Invalid",AJ475="Invalid",AH475="Inconsistent",Z475="Mismatch",AD475="Mismatch",AM475="Yes",D475="Yes",E475="Yes"),"Invalid",IF(OR(J475="Yes",Q475="Yes",U475="Yes"),"Warning","Clean"))</f>
        <v>Clean</v>
      </c>
    </row>
    <row r="476" customFormat="false" ht="15" hidden="false" customHeight="false" outlineLevel="0" collapsed="false">
      <c r="A476" s="2" t="s">
        <v>1545</v>
      </c>
      <c r="B476" s="3" t="n">
        <v>45446</v>
      </c>
      <c r="C476" s="3" t="n">
        <v>45453</v>
      </c>
      <c r="D476" s="2" t="s">
        <v>41</v>
      </c>
      <c r="E476" s="2" t="s">
        <v>41</v>
      </c>
      <c r="F476" s="2" t="s">
        <v>1546</v>
      </c>
      <c r="G476" s="2" t="s">
        <v>182</v>
      </c>
      <c r="H476" s="2" t="s">
        <v>110</v>
      </c>
      <c r="I476" s="2" t="s">
        <v>45</v>
      </c>
      <c r="J476" s="2" t="s">
        <v>41</v>
      </c>
      <c r="K476" s="2" t="s">
        <v>142</v>
      </c>
      <c r="L476" s="2" t="s">
        <v>143</v>
      </c>
      <c r="M476" s="2" t="s">
        <v>61</v>
      </c>
      <c r="N476" s="2" t="s">
        <v>77</v>
      </c>
      <c r="O476" s="2" t="s">
        <v>1547</v>
      </c>
      <c r="P476" s="2" t="s">
        <v>79</v>
      </c>
      <c r="Q476" s="2" t="s">
        <v>41</v>
      </c>
      <c r="R476" s="2" t="n">
        <v>3</v>
      </c>
      <c r="S476" s="2" t="n">
        <v>1633.57</v>
      </c>
      <c r="T476" s="2" t="n">
        <v>0</v>
      </c>
      <c r="U476" s="2" t="str">
        <f aca="false">IF(ISBLANK(T476),"Yes","No")</f>
        <v>No</v>
      </c>
      <c r="V476" s="2" t="n">
        <f aca="false">IF(ISBLANK(T476),0,IF(ISNUMBER(T476),T476,VALUE(LEFT(T476,LEN(T476)-1))/100))</f>
        <v>0</v>
      </c>
      <c r="W476" s="2" t="str">
        <f aca="false">IF(AND(V476&gt;=0,V476&lt;=0.25),"Valid","Invalid")</f>
        <v>Valid</v>
      </c>
      <c r="X476" s="2" t="n">
        <v>4900.71</v>
      </c>
      <c r="Y476" s="2" t="n">
        <f aca="false">R476*S476*(1-V476)</f>
        <v>4900.71</v>
      </c>
      <c r="Z476" s="2" t="str">
        <f aca="false">IF(ABS(X476-Y476)&gt;1,"Mismatch","OK")</f>
        <v>OK</v>
      </c>
      <c r="AA476" s="2" t="n">
        <v>2713.9</v>
      </c>
      <c r="AB476" s="2" t="n">
        <v>2186.81</v>
      </c>
      <c r="AC476" s="2" t="n">
        <f aca="false">Y476-AA476</f>
        <v>2186.81</v>
      </c>
      <c r="AD476" s="2" t="str">
        <f aca="false">IF(ABS(AB476-AC476)&gt;1,"Mismatch","OK")</f>
        <v>OK</v>
      </c>
      <c r="AE476" s="4" t="n">
        <f aca="false">IF(Y476=0,0,AC476/Y476)</f>
        <v>0.446223098285759</v>
      </c>
      <c r="AF476" s="2" t="s">
        <v>52</v>
      </c>
      <c r="AG476" s="2" t="s">
        <v>53</v>
      </c>
      <c r="AH476" s="2" t="str">
        <f aca="false">IF(AND(AG476="Completed",AF476&lt;&gt;"Paid"),"Inconsistent","OK")</f>
        <v>OK</v>
      </c>
      <c r="AI476" s="2" t="n">
        <f aca="false">IF(OR(ISBLANK(B476),ISBLANK(C476)),"",C476-B476)</f>
        <v>7</v>
      </c>
      <c r="AJ476" s="2" t="str">
        <f aca="false">IF(AI476="","Unknown",IF(AI476&lt;0,"Invalid","OK"))</f>
        <v>OK</v>
      </c>
      <c r="AK476" s="2" t="str">
        <f aca="false">IF(ISBLANK(B476),"",TEXT(B476,"mmm"))</f>
        <v>Jun</v>
      </c>
      <c r="AL476" s="2" t="n">
        <f aca="false">IF(ISBLANK(B476),"",YEAR(B476))</f>
        <v>2024</v>
      </c>
      <c r="AM476" s="2" t="s">
        <v>41</v>
      </c>
      <c r="AN476" s="2" t="str">
        <f aca="false">IF(OR(W476="Invalid",AJ476="Invalid",AH476="Inconsistent",Z476="Mismatch",AD476="Mismatch",AM476="Yes",D476="Yes",E476="Yes"),"Invalid",IF(OR(J476="Yes",Q476="Yes",U476="Yes"),"Warning","Clean"))</f>
        <v>Clean</v>
      </c>
    </row>
    <row r="477" customFormat="false" ht="15" hidden="false" customHeight="false" outlineLevel="0" collapsed="false">
      <c r="A477" s="2" t="s">
        <v>1548</v>
      </c>
      <c r="B477" s="3" t="n">
        <v>45717</v>
      </c>
      <c r="C477" s="3" t="n">
        <v>45724</v>
      </c>
      <c r="D477" s="2" t="s">
        <v>41</v>
      </c>
      <c r="E477" s="2" t="s">
        <v>41</v>
      </c>
      <c r="F477" s="2" t="s">
        <v>1549</v>
      </c>
      <c r="G477" s="2" t="s">
        <v>91</v>
      </c>
      <c r="H477" s="2" t="s">
        <v>44</v>
      </c>
      <c r="I477" s="2" t="s">
        <v>58</v>
      </c>
      <c r="J477" s="2" t="s">
        <v>41</v>
      </c>
      <c r="K477" s="2" t="s">
        <v>119</v>
      </c>
      <c r="L477" s="2" t="s">
        <v>120</v>
      </c>
      <c r="M477" s="2" t="s">
        <v>61</v>
      </c>
      <c r="N477" s="2" t="s">
        <v>86</v>
      </c>
      <c r="O477" s="2" t="s">
        <v>1550</v>
      </c>
      <c r="P477" s="2" t="s">
        <v>64</v>
      </c>
      <c r="Q477" s="2" t="s">
        <v>41</v>
      </c>
      <c r="R477" s="2" t="n">
        <v>8</v>
      </c>
      <c r="S477" s="2" t="n">
        <v>3378.82</v>
      </c>
      <c r="T477" s="2" t="n">
        <v>0.25</v>
      </c>
      <c r="U477" s="2" t="str">
        <f aca="false">IF(ISBLANK(T477),"Yes","No")</f>
        <v>No</v>
      </c>
      <c r="V477" s="2" t="n">
        <f aca="false">IF(ISBLANK(T477),0,IF(ISNUMBER(T477),T477,VALUE(LEFT(T477,LEN(T477)-1))/100))</f>
        <v>0.25</v>
      </c>
      <c r="W477" s="2" t="str">
        <f aca="false">IF(AND(V477&gt;=0,V477&lt;=0.25),"Valid","Invalid")</f>
        <v>Valid</v>
      </c>
      <c r="X477" s="2" t="n">
        <v>20272.92</v>
      </c>
      <c r="Y477" s="2" t="n">
        <f aca="false">R477*S477*(1-V477)</f>
        <v>20272.92</v>
      </c>
      <c r="Z477" s="2" t="str">
        <f aca="false">IF(ABS(X477-Y477)&gt;1,"Mismatch","OK")</f>
        <v>OK</v>
      </c>
      <c r="AA477" s="2" t="n">
        <v>15873.38</v>
      </c>
      <c r="AB477" s="2" t="n">
        <v>4399.54</v>
      </c>
      <c r="AC477" s="2" t="n">
        <f aca="false">Y477-AA477</f>
        <v>4399.54</v>
      </c>
      <c r="AD477" s="2" t="str">
        <f aca="false">IF(ABS(AB477-AC477)&gt;1,"Mismatch","OK")</f>
        <v>OK</v>
      </c>
      <c r="AE477" s="4" t="n">
        <f aca="false">IF(Y477=0,0,AC477/Y477)</f>
        <v>0.217015605053441</v>
      </c>
      <c r="AF477" s="2" t="s">
        <v>131</v>
      </c>
      <c r="AG477" s="2" t="s">
        <v>123</v>
      </c>
      <c r="AH477" s="2" t="str">
        <f aca="false">IF(AND(AG477="Completed",AF477&lt;&gt;"Paid"),"Inconsistent","OK")</f>
        <v>OK</v>
      </c>
      <c r="AI477" s="2" t="n">
        <f aca="false">IF(OR(ISBLANK(B477),ISBLANK(C477)),"",C477-B477)</f>
        <v>7</v>
      </c>
      <c r="AJ477" s="2" t="str">
        <f aca="false">IF(AI477="","Unknown",IF(AI477&lt;0,"Invalid","OK"))</f>
        <v>OK</v>
      </c>
      <c r="AK477" s="2" t="str">
        <f aca="false">IF(ISBLANK(B477),"",TEXT(B477,"mmm"))</f>
        <v>Mar</v>
      </c>
      <c r="AL477" s="2" t="n">
        <f aca="false">IF(ISBLANK(B477),"",YEAR(B477))</f>
        <v>2025</v>
      </c>
      <c r="AM477" s="2" t="s">
        <v>41</v>
      </c>
      <c r="AN477" s="2" t="str">
        <f aca="false">IF(OR(W477="Invalid",AJ477="Invalid",AH477="Inconsistent",Z477="Mismatch",AD477="Mismatch",AM477="Yes",D477="Yes",E477="Yes"),"Invalid",IF(OR(J477="Yes",Q477="Yes",U477="Yes"),"Warning","Clean"))</f>
        <v>Clean</v>
      </c>
    </row>
    <row r="478" customFormat="false" ht="15" hidden="false" customHeight="false" outlineLevel="0" collapsed="false">
      <c r="A478" s="2" t="s">
        <v>1551</v>
      </c>
      <c r="B478" s="3" t="n">
        <v>45419</v>
      </c>
      <c r="C478" s="3" t="n">
        <v>45426</v>
      </c>
      <c r="D478" s="2" t="s">
        <v>41</v>
      </c>
      <c r="E478" s="2" t="s">
        <v>41</v>
      </c>
      <c r="F478" s="2" t="s">
        <v>1552</v>
      </c>
      <c r="G478" s="2" t="s">
        <v>152</v>
      </c>
      <c r="H478" s="2" t="s">
        <v>57</v>
      </c>
      <c r="I478" s="2" t="s">
        <v>45</v>
      </c>
      <c r="J478" s="2" t="s">
        <v>41</v>
      </c>
      <c r="K478" s="2" t="s">
        <v>46</v>
      </c>
      <c r="L478" s="2" t="s">
        <v>47</v>
      </c>
      <c r="M478" s="2" t="s">
        <v>48</v>
      </c>
      <c r="N478" s="2" t="s">
        <v>144</v>
      </c>
      <c r="O478" s="2" t="s">
        <v>1553</v>
      </c>
      <c r="P478" s="2" t="s">
        <v>70</v>
      </c>
      <c r="Q478" s="2" t="s">
        <v>41</v>
      </c>
      <c r="R478" s="2" t="n">
        <v>3</v>
      </c>
      <c r="S478" s="2" t="n">
        <v>383.58</v>
      </c>
      <c r="T478" s="2" t="n">
        <v>0.1</v>
      </c>
      <c r="U478" s="2" t="str">
        <f aca="false">IF(ISBLANK(T478),"Yes","No")</f>
        <v>No</v>
      </c>
      <c r="V478" s="2" t="n">
        <f aca="false">IF(ISBLANK(T478),0,IF(ISNUMBER(T478),T478,VALUE(LEFT(T478,LEN(T478)-1))/100))</f>
        <v>0.1</v>
      </c>
      <c r="W478" s="2" t="str">
        <f aca="false">IF(AND(V478&gt;=0,V478&lt;=0.25),"Valid","Invalid")</f>
        <v>Valid</v>
      </c>
      <c r="X478" s="2" t="n">
        <v>1035.67</v>
      </c>
      <c r="Y478" s="2" t="n">
        <f aca="false">R478*S478*(1-V478)</f>
        <v>1035.666</v>
      </c>
      <c r="Z478" s="2" t="str">
        <f aca="false">IF(ABS(X478-Y478)&gt;1,"Mismatch","OK")</f>
        <v>OK</v>
      </c>
      <c r="AA478" s="2" t="n">
        <v>595.42</v>
      </c>
      <c r="AB478" s="2" t="n">
        <v>440.25</v>
      </c>
      <c r="AC478" s="2" t="n">
        <f aca="false">Y478-AA478</f>
        <v>440.246</v>
      </c>
      <c r="AD478" s="2" t="str">
        <f aca="false">IF(ABS(AB478-AC478)&gt;1,"Mismatch","OK")</f>
        <v>OK</v>
      </c>
      <c r="AE478" s="4" t="n">
        <f aca="false">IF(Y478=0,0,AC478/Y478)</f>
        <v>0.425084921200464</v>
      </c>
      <c r="AF478" s="2" t="s">
        <v>52</v>
      </c>
      <c r="AG478" s="2" t="s">
        <v>53</v>
      </c>
      <c r="AH478" s="2" t="str">
        <f aca="false">IF(AND(AG478="Completed",AF478&lt;&gt;"Paid"),"Inconsistent","OK")</f>
        <v>OK</v>
      </c>
      <c r="AI478" s="2" t="n">
        <f aca="false">IF(OR(ISBLANK(B478),ISBLANK(C478)),"",C478-B478)</f>
        <v>7</v>
      </c>
      <c r="AJ478" s="2" t="str">
        <f aca="false">IF(AI478="","Unknown",IF(AI478&lt;0,"Invalid","OK"))</f>
        <v>OK</v>
      </c>
      <c r="AK478" s="2" t="str">
        <f aca="false">IF(ISBLANK(B478),"",TEXT(B478,"mmm"))</f>
        <v>May</v>
      </c>
      <c r="AL478" s="2" t="n">
        <f aca="false">IF(ISBLANK(B478),"",YEAR(B478))</f>
        <v>2024</v>
      </c>
      <c r="AM478" s="2" t="s">
        <v>41</v>
      </c>
      <c r="AN478" s="2" t="str">
        <f aca="false">IF(OR(W478="Invalid",AJ478="Invalid",AH478="Inconsistent",Z478="Mismatch",AD478="Mismatch",AM478="Yes",D478="Yes",E478="Yes"),"Invalid",IF(OR(J478="Yes",Q478="Yes",U478="Yes"),"Warning","Clean"))</f>
        <v>Clean</v>
      </c>
    </row>
    <row r="479" customFormat="false" ht="15" hidden="false" customHeight="false" outlineLevel="0" collapsed="false">
      <c r="A479" s="2" t="s">
        <v>1554</v>
      </c>
      <c r="B479" s="3" t="n">
        <v>45892</v>
      </c>
      <c r="C479" s="3" t="n">
        <v>45897</v>
      </c>
      <c r="D479" s="2" t="s">
        <v>41</v>
      </c>
      <c r="E479" s="2" t="s">
        <v>41</v>
      </c>
      <c r="F479" s="2" t="s">
        <v>1555</v>
      </c>
      <c r="G479" s="2" t="s">
        <v>91</v>
      </c>
      <c r="H479" s="2" t="s">
        <v>110</v>
      </c>
      <c r="I479" s="2" t="s">
        <v>83</v>
      </c>
      <c r="J479" s="2" t="s">
        <v>41</v>
      </c>
      <c r="K479" s="2" t="s">
        <v>200</v>
      </c>
      <c r="L479" s="2" t="s">
        <v>201</v>
      </c>
      <c r="M479" s="2" t="s">
        <v>61</v>
      </c>
      <c r="N479" s="2" t="s">
        <v>86</v>
      </c>
      <c r="O479" s="2" t="s">
        <v>1556</v>
      </c>
      <c r="P479" s="2" t="s">
        <v>79</v>
      </c>
      <c r="Q479" s="2" t="s">
        <v>41</v>
      </c>
      <c r="R479" s="2" t="n">
        <v>6</v>
      </c>
      <c r="S479" s="2" t="n">
        <v>2193.23</v>
      </c>
      <c r="T479" s="2" t="n">
        <v>0.1</v>
      </c>
      <c r="U479" s="2" t="str">
        <f aca="false">IF(ISBLANK(T479),"Yes","No")</f>
        <v>No</v>
      </c>
      <c r="V479" s="2" t="n">
        <f aca="false">IF(ISBLANK(T479),0,IF(ISNUMBER(T479),T479,VALUE(LEFT(T479,LEN(T479)-1))/100))</f>
        <v>0.1</v>
      </c>
      <c r="W479" s="2" t="str">
        <f aca="false">IF(AND(V479&gt;=0,V479&lt;=0.25),"Valid","Invalid")</f>
        <v>Valid</v>
      </c>
      <c r="X479" s="2" t="n">
        <v>11843.44</v>
      </c>
      <c r="Y479" s="2" t="n">
        <f aca="false">R479*S479*(1-V479)</f>
        <v>11843.442</v>
      </c>
      <c r="Z479" s="2" t="str">
        <f aca="false">IF(ABS(X479-Y479)&gt;1,"Mismatch","OK")</f>
        <v>OK</v>
      </c>
      <c r="AA479" s="2" t="n">
        <v>9356.88</v>
      </c>
      <c r="AB479" s="2" t="n">
        <v>2486.56</v>
      </c>
      <c r="AC479" s="2" t="n">
        <f aca="false">Y479-AA479</f>
        <v>2486.562</v>
      </c>
      <c r="AD479" s="2" t="str">
        <f aca="false">IF(ABS(AB479-AC479)&gt;1,"Mismatch","OK")</f>
        <v>OK</v>
      </c>
      <c r="AE479" s="4" t="n">
        <f aca="false">IF(Y479=0,0,AC479/Y479)</f>
        <v>0.20995264721185</v>
      </c>
      <c r="AF479" s="2" t="s">
        <v>52</v>
      </c>
      <c r="AG479" s="2" t="s">
        <v>88</v>
      </c>
      <c r="AH479" s="2" t="str">
        <f aca="false">IF(AND(AG479="Completed",AF479&lt;&gt;"Paid"),"Inconsistent","OK")</f>
        <v>OK</v>
      </c>
      <c r="AI479" s="2" t="n">
        <f aca="false">IF(OR(ISBLANK(B479),ISBLANK(C479)),"",C479-B479)</f>
        <v>5</v>
      </c>
      <c r="AJ479" s="2" t="str">
        <f aca="false">IF(AI479="","Unknown",IF(AI479&lt;0,"Invalid","OK"))</f>
        <v>OK</v>
      </c>
      <c r="AK479" s="2" t="str">
        <f aca="false">IF(ISBLANK(B479),"",TEXT(B479,"mmm"))</f>
        <v>Aug</v>
      </c>
      <c r="AL479" s="2" t="n">
        <f aca="false">IF(ISBLANK(B479),"",YEAR(B479))</f>
        <v>2025</v>
      </c>
      <c r="AM479" s="2" t="s">
        <v>41</v>
      </c>
      <c r="AN479" s="2" t="str">
        <f aca="false">IF(OR(W479="Invalid",AJ479="Invalid",AH479="Inconsistent",Z479="Mismatch",AD479="Mismatch",AM479="Yes",D479="Yes",E479="Yes"),"Invalid",IF(OR(J479="Yes",Q479="Yes",U479="Yes"),"Warning","Clean"))</f>
        <v>Clean</v>
      </c>
    </row>
    <row r="480" customFormat="false" ht="15" hidden="false" customHeight="false" outlineLevel="0" collapsed="false">
      <c r="A480" s="2" t="s">
        <v>1557</v>
      </c>
      <c r="B480" s="3" t="n">
        <v>45452</v>
      </c>
      <c r="C480" s="3" t="n">
        <v>45456</v>
      </c>
      <c r="D480" s="2" t="s">
        <v>41</v>
      </c>
      <c r="E480" s="2" t="s">
        <v>41</v>
      </c>
      <c r="F480" s="2" t="s">
        <v>1558</v>
      </c>
      <c r="G480" s="2" t="s">
        <v>56</v>
      </c>
      <c r="H480" s="2" t="s">
        <v>115</v>
      </c>
      <c r="I480" s="2" t="s">
        <v>225</v>
      </c>
      <c r="J480" s="2" t="s">
        <v>226</v>
      </c>
      <c r="K480" s="2" t="s">
        <v>156</v>
      </c>
      <c r="L480" s="2" t="s">
        <v>157</v>
      </c>
      <c r="M480" s="2" t="s">
        <v>94</v>
      </c>
      <c r="N480" s="2" t="s">
        <v>296</v>
      </c>
      <c r="O480" s="2" t="s">
        <v>1559</v>
      </c>
      <c r="P480" s="2" t="s">
        <v>64</v>
      </c>
      <c r="Q480" s="2" t="s">
        <v>41</v>
      </c>
      <c r="R480" s="2" t="n">
        <v>7</v>
      </c>
      <c r="S480" s="2" t="n">
        <v>4079.71</v>
      </c>
      <c r="T480" s="2" t="n">
        <v>0.1</v>
      </c>
      <c r="U480" s="2" t="str">
        <f aca="false">IF(ISBLANK(T480),"Yes","No")</f>
        <v>No</v>
      </c>
      <c r="V480" s="2" t="n">
        <f aca="false">IF(ISBLANK(T480),0,IF(ISNUMBER(T480),T480,VALUE(LEFT(T480,LEN(T480)-1))/100))</f>
        <v>0.1</v>
      </c>
      <c r="W480" s="2" t="str">
        <f aca="false">IF(AND(V480&gt;=0,V480&lt;=0.25),"Valid","Invalid")</f>
        <v>Valid</v>
      </c>
      <c r="X480" s="2" t="n">
        <v>25702.17</v>
      </c>
      <c r="Y480" s="2" t="n">
        <f aca="false">R480*S480*(1-V480)</f>
        <v>25702.173</v>
      </c>
      <c r="Z480" s="2" t="str">
        <f aca="false">IF(ABS(X480-Y480)&gt;1,"Mismatch","OK")</f>
        <v>OK</v>
      </c>
      <c r="AA480" s="2" t="n">
        <v>14571.48</v>
      </c>
      <c r="AB480" s="2" t="n">
        <v>11130.69</v>
      </c>
      <c r="AC480" s="2" t="n">
        <f aca="false">Y480-AA480</f>
        <v>11130.693</v>
      </c>
      <c r="AD480" s="2" t="str">
        <f aca="false">IF(ABS(AB480-AC480)&gt;1,"Mismatch","OK")</f>
        <v>OK</v>
      </c>
      <c r="AE480" s="4" t="n">
        <f aca="false">IF(Y480=0,0,AC480/Y480)</f>
        <v>0.433064278261609</v>
      </c>
      <c r="AF480" s="2" t="s">
        <v>122</v>
      </c>
      <c r="AG480" s="2" t="s">
        <v>123</v>
      </c>
      <c r="AH480" s="2" t="str">
        <f aca="false">IF(AND(AG480="Completed",AF480&lt;&gt;"Paid"),"Inconsistent","OK")</f>
        <v>OK</v>
      </c>
      <c r="AI480" s="2" t="n">
        <f aca="false">IF(OR(ISBLANK(B480),ISBLANK(C480)),"",C480-B480)</f>
        <v>4</v>
      </c>
      <c r="AJ480" s="2" t="str">
        <f aca="false">IF(AI480="","Unknown",IF(AI480&lt;0,"Invalid","OK"))</f>
        <v>OK</v>
      </c>
      <c r="AK480" s="2" t="str">
        <f aca="false">IF(ISBLANK(B480),"",TEXT(B480,"mmm"))</f>
        <v>Jun</v>
      </c>
      <c r="AL480" s="2" t="n">
        <f aca="false">IF(ISBLANK(B480),"",YEAR(B480))</f>
        <v>2024</v>
      </c>
      <c r="AM480" s="2" t="s">
        <v>41</v>
      </c>
      <c r="AN480" s="2" t="str">
        <f aca="false">IF(OR(W480="Invalid",AJ480="Invalid",AH480="Inconsistent",Z480="Mismatch",AD480="Mismatch",AM480="Yes",D480="Yes",E480="Yes"),"Invalid",IF(OR(J480="Yes",Q480="Yes",U480="Yes"),"Warning","Clean"))</f>
        <v>Warning</v>
      </c>
    </row>
    <row r="481" customFormat="false" ht="15" hidden="false" customHeight="false" outlineLevel="0" collapsed="false">
      <c r="A481" s="2" t="s">
        <v>1560</v>
      </c>
      <c r="B481" s="3" t="n">
        <v>45345</v>
      </c>
      <c r="C481" s="3" t="n">
        <v>45342</v>
      </c>
      <c r="D481" s="2" t="s">
        <v>41</v>
      </c>
      <c r="E481" s="2" t="s">
        <v>41</v>
      </c>
      <c r="F481" s="2" t="s">
        <v>1561</v>
      </c>
      <c r="G481" s="2" t="s">
        <v>73</v>
      </c>
      <c r="H481" s="2" t="s">
        <v>110</v>
      </c>
      <c r="I481" s="2" t="s">
        <v>58</v>
      </c>
      <c r="J481" s="2" t="s">
        <v>41</v>
      </c>
      <c r="K481" s="2" t="s">
        <v>59</v>
      </c>
      <c r="L481" s="2" t="s">
        <v>60</v>
      </c>
      <c r="M481" s="2" t="s">
        <v>61</v>
      </c>
      <c r="N481" s="2" t="s">
        <v>86</v>
      </c>
      <c r="O481" s="2" t="s">
        <v>1562</v>
      </c>
      <c r="P481" s="2" t="s">
        <v>51</v>
      </c>
      <c r="Q481" s="2" t="s">
        <v>41</v>
      </c>
      <c r="R481" s="2" t="n">
        <v>1</v>
      </c>
      <c r="S481" s="2" t="n">
        <v>2202.55</v>
      </c>
      <c r="T481" s="2"/>
      <c r="U481" s="2" t="str">
        <f aca="false">IF(ISBLANK(T481),"Yes","No")</f>
        <v>Yes</v>
      </c>
      <c r="V481" s="2" t="n">
        <f aca="false">IF(ISBLANK(T481),0,IF(ISNUMBER(T481),T481,VALUE(LEFT(T481,LEN(T481)-1))/100))</f>
        <v>0</v>
      </c>
      <c r="W481" s="2" t="str">
        <f aca="false">IF(AND(V481&gt;=0,V481&lt;=0.25),"Valid","Invalid")</f>
        <v>Valid</v>
      </c>
      <c r="X481" s="2" t="n">
        <v>1651.91</v>
      </c>
      <c r="Y481" s="2" t="n">
        <f aca="false">R481*S481*(1-V481)</f>
        <v>2202.55</v>
      </c>
      <c r="Z481" s="2" t="str">
        <f aca="false">IF(ABS(X481-Y481)&gt;1,"Mismatch","OK")</f>
        <v>Mismatch</v>
      </c>
      <c r="AA481" s="2" t="n">
        <v>1034.57</v>
      </c>
      <c r="AB481" s="2" t="n">
        <v>617.34</v>
      </c>
      <c r="AC481" s="2" t="n">
        <f aca="false">Y481-AA481</f>
        <v>1167.98</v>
      </c>
      <c r="AD481" s="2" t="str">
        <f aca="false">IF(ABS(AB481-AC481)&gt;1,"Mismatch","OK")</f>
        <v>Mismatch</v>
      </c>
      <c r="AE481" s="4" t="n">
        <f aca="false">IF(Y481=0,0,AC481/Y481)</f>
        <v>0.53028535107035</v>
      </c>
      <c r="AF481" s="2" t="s">
        <v>52</v>
      </c>
      <c r="AG481" s="2" t="s">
        <v>53</v>
      </c>
      <c r="AH481" s="2" t="str">
        <f aca="false">IF(AND(AG481="Completed",AF481&lt;&gt;"Paid"),"Inconsistent","OK")</f>
        <v>OK</v>
      </c>
      <c r="AI481" s="2" t="n">
        <f aca="false">IF(OR(ISBLANK(B481),ISBLANK(C481)),"",C481-B481)</f>
        <v>-3</v>
      </c>
      <c r="AJ481" s="2" t="str">
        <f aca="false">IF(AI481="","Unknown",IF(AI481&lt;0,"Invalid","OK"))</f>
        <v>Invalid</v>
      </c>
      <c r="AK481" s="2" t="str">
        <f aca="false">IF(ISBLANK(B481),"",TEXT(B481,"mmm"))</f>
        <v>Feb</v>
      </c>
      <c r="AL481" s="2" t="n">
        <f aca="false">IF(ISBLANK(B481),"",YEAR(B481))</f>
        <v>2024</v>
      </c>
      <c r="AM481" s="2" t="s">
        <v>41</v>
      </c>
      <c r="AN481" s="2" t="str">
        <f aca="false">IF(OR(W481="Invalid",AJ481="Invalid",AH481="Inconsistent",Z481="Mismatch",AD481="Mismatch",AM481="Yes",D481="Yes",E481="Yes"),"Invalid",IF(OR(J481="Yes",Q481="Yes",U481="Yes"),"Warning","Clean"))</f>
        <v>Invalid</v>
      </c>
    </row>
    <row r="482" customFormat="false" ht="15" hidden="false" customHeight="false" outlineLevel="0" collapsed="false">
      <c r="A482" s="2" t="s">
        <v>1563</v>
      </c>
      <c r="B482" s="3" t="n">
        <v>45662</v>
      </c>
      <c r="C482" s="3" t="n">
        <v>45666</v>
      </c>
      <c r="D482" s="2" t="s">
        <v>41</v>
      </c>
      <c r="E482" s="2" t="s">
        <v>41</v>
      </c>
      <c r="F482" s="2" t="s">
        <v>1564</v>
      </c>
      <c r="G482" s="2" t="s">
        <v>99</v>
      </c>
      <c r="H482" s="2" t="s">
        <v>57</v>
      </c>
      <c r="I482" s="2" t="s">
        <v>74</v>
      </c>
      <c r="J482" s="2" t="s">
        <v>41</v>
      </c>
      <c r="K482" s="2" t="s">
        <v>269</v>
      </c>
      <c r="L482" s="2" t="s">
        <v>270</v>
      </c>
      <c r="M482" s="2" t="s">
        <v>48</v>
      </c>
      <c r="N482" s="2" t="s">
        <v>144</v>
      </c>
      <c r="O482" s="2" t="s">
        <v>1565</v>
      </c>
      <c r="P482" s="2" t="s">
        <v>225</v>
      </c>
      <c r="Q482" s="2" t="s">
        <v>226</v>
      </c>
      <c r="R482" s="2" t="n">
        <v>5</v>
      </c>
      <c r="S482" s="2" t="n">
        <v>905.16</v>
      </c>
      <c r="T482" s="2" t="n">
        <v>0</v>
      </c>
      <c r="U482" s="2" t="str">
        <f aca="false">IF(ISBLANK(T482),"Yes","No")</f>
        <v>No</v>
      </c>
      <c r="V482" s="2" t="n">
        <f aca="false">IF(ISBLANK(T482),0,IF(ISNUMBER(T482),T482,VALUE(LEFT(T482,LEN(T482)-1))/100))</f>
        <v>0</v>
      </c>
      <c r="W482" s="2" t="str">
        <f aca="false">IF(AND(V482&gt;=0,V482&lt;=0.25),"Valid","Invalid")</f>
        <v>Valid</v>
      </c>
      <c r="X482" s="2" t="n">
        <v>4525.8</v>
      </c>
      <c r="Y482" s="2" t="n">
        <f aca="false">R482*S482*(1-V482)</f>
        <v>4525.8</v>
      </c>
      <c r="Z482" s="2" t="str">
        <f aca="false">IF(ABS(X482-Y482)&gt;1,"Mismatch","OK")</f>
        <v>OK</v>
      </c>
      <c r="AA482" s="2" t="n">
        <v>2714.51</v>
      </c>
      <c r="AB482" s="2" t="n">
        <v>1811.29</v>
      </c>
      <c r="AC482" s="2" t="n">
        <f aca="false">Y482-AA482</f>
        <v>1811.29</v>
      </c>
      <c r="AD482" s="2" t="str">
        <f aca="false">IF(ABS(AB482-AC482)&gt;1,"Mismatch","OK")</f>
        <v>OK</v>
      </c>
      <c r="AE482" s="4" t="n">
        <f aca="false">IF(Y482=0,0,AC482/Y482)</f>
        <v>0.400214326748862</v>
      </c>
      <c r="AF482" s="2" t="s">
        <v>52</v>
      </c>
      <c r="AG482" s="2" t="s">
        <v>53</v>
      </c>
      <c r="AH482" s="2" t="str">
        <f aca="false">IF(AND(AG482="Completed",AF482&lt;&gt;"Paid"),"Inconsistent","OK")</f>
        <v>OK</v>
      </c>
      <c r="AI482" s="2" t="n">
        <f aca="false">IF(OR(ISBLANK(B482),ISBLANK(C482)),"",C482-B482)</f>
        <v>4</v>
      </c>
      <c r="AJ482" s="2" t="str">
        <f aca="false">IF(AI482="","Unknown",IF(AI482&lt;0,"Invalid","OK"))</f>
        <v>OK</v>
      </c>
      <c r="AK482" s="2" t="str">
        <f aca="false">IF(ISBLANK(B482),"",TEXT(B482,"mmm"))</f>
        <v>Jan</v>
      </c>
      <c r="AL482" s="2" t="n">
        <f aca="false">IF(ISBLANK(B482),"",YEAR(B482))</f>
        <v>2025</v>
      </c>
      <c r="AM482" s="2" t="s">
        <v>41</v>
      </c>
      <c r="AN482" s="2" t="str">
        <f aca="false">IF(OR(W482="Invalid",AJ482="Invalid",AH482="Inconsistent",Z482="Mismatch",AD482="Mismatch",AM482="Yes",D482="Yes",E482="Yes"),"Invalid",IF(OR(J482="Yes",Q482="Yes",U482="Yes"),"Warning","Clean"))</f>
        <v>Warning</v>
      </c>
    </row>
    <row r="483" customFormat="false" ht="15" hidden="false" customHeight="false" outlineLevel="0" collapsed="false">
      <c r="A483" s="2" t="s">
        <v>1566</v>
      </c>
      <c r="B483" s="3" t="n">
        <v>45813</v>
      </c>
      <c r="C483" s="3" t="n">
        <v>45821</v>
      </c>
      <c r="D483" s="2" t="s">
        <v>41</v>
      </c>
      <c r="E483" s="2" t="s">
        <v>41</v>
      </c>
      <c r="F483" s="2" t="s">
        <v>1567</v>
      </c>
      <c r="G483" s="2" t="s">
        <v>67</v>
      </c>
      <c r="H483" s="2" t="s">
        <v>44</v>
      </c>
      <c r="I483" s="2" t="s">
        <v>45</v>
      </c>
      <c r="J483" s="2" t="s">
        <v>41</v>
      </c>
      <c r="K483" s="2" t="s">
        <v>156</v>
      </c>
      <c r="L483" s="2" t="s">
        <v>157</v>
      </c>
      <c r="M483" s="2" t="s">
        <v>94</v>
      </c>
      <c r="N483" s="2" t="s">
        <v>296</v>
      </c>
      <c r="O483" s="2" t="s">
        <v>1568</v>
      </c>
      <c r="P483" s="2" t="s">
        <v>64</v>
      </c>
      <c r="Q483" s="2" t="s">
        <v>41</v>
      </c>
      <c r="R483" s="2" t="n">
        <v>4</v>
      </c>
      <c r="S483" s="2" t="n">
        <v>2793.88</v>
      </c>
      <c r="T483" s="2" t="s">
        <v>790</v>
      </c>
      <c r="U483" s="2" t="str">
        <f aca="false">IF(ISBLANK(T483),"Yes","No")</f>
        <v>No</v>
      </c>
      <c r="V483" s="2" t="n">
        <f aca="false">IF(ISBLANK(T483),0,IF(ISNUMBER(T483),T483,VALUE(LEFT(T483,LEN(T483)-1))/100))</f>
        <v>0.85</v>
      </c>
      <c r="W483" s="2" t="str">
        <f aca="false">IF(AND(V483&gt;=0,V483&lt;=0.25),"Valid","Invalid")</f>
        <v>Invalid</v>
      </c>
      <c r="X483" s="2" t="n">
        <v>10616.74</v>
      </c>
      <c r="Y483" s="2" t="n">
        <f aca="false">R483*S483*(1-V483)</f>
        <v>1676.328</v>
      </c>
      <c r="Z483" s="2" t="str">
        <f aca="false">IF(ABS(X483-Y483)&gt;1,"Mismatch","OK")</f>
        <v>Mismatch</v>
      </c>
      <c r="AA483" s="2" t="n">
        <v>6353.59</v>
      </c>
      <c r="AB483" s="2" t="n">
        <v>4263.15</v>
      </c>
      <c r="AC483" s="2" t="n">
        <f aca="false">Y483-AA483</f>
        <v>-4677.262</v>
      </c>
      <c r="AD483" s="2" t="str">
        <f aca="false">IF(ABS(AB483-AC483)&gt;1,"Mismatch","OK")</f>
        <v>Mismatch</v>
      </c>
      <c r="AE483" s="4" t="n">
        <f aca="false">IF(Y483=0,0,AC483/Y483)</f>
        <v>-2.79018306679838</v>
      </c>
      <c r="AF483" s="2" t="s">
        <v>52</v>
      </c>
      <c r="AG483" s="2" t="s">
        <v>53</v>
      </c>
      <c r="AH483" s="2" t="str">
        <f aca="false">IF(AND(AG483="Completed",AF483&lt;&gt;"Paid"),"Inconsistent","OK")</f>
        <v>OK</v>
      </c>
      <c r="AI483" s="2" t="n">
        <f aca="false">IF(OR(ISBLANK(B483),ISBLANK(C483)),"",C483-B483)</f>
        <v>8</v>
      </c>
      <c r="AJ483" s="2" t="str">
        <f aca="false">IF(AI483="","Unknown",IF(AI483&lt;0,"Invalid","OK"))</f>
        <v>OK</v>
      </c>
      <c r="AK483" s="2" t="str">
        <f aca="false">IF(ISBLANK(B483),"",TEXT(B483,"mmm"))</f>
        <v>Jun</v>
      </c>
      <c r="AL483" s="2" t="n">
        <f aca="false">IF(ISBLANK(B483),"",YEAR(B483))</f>
        <v>2025</v>
      </c>
      <c r="AM483" s="2" t="s">
        <v>41</v>
      </c>
      <c r="AN483" s="2" t="str">
        <f aca="false">IF(OR(W483="Invalid",AJ483="Invalid",AH483="Inconsistent",Z483="Mismatch",AD483="Mismatch",AM483="Yes",D483="Yes",E483="Yes"),"Invalid",IF(OR(J483="Yes",Q483="Yes",U483="Yes"),"Warning","Clean"))</f>
        <v>Invalid</v>
      </c>
    </row>
    <row r="484" customFormat="false" ht="15" hidden="false" customHeight="false" outlineLevel="0" collapsed="false">
      <c r="A484" s="2" t="s">
        <v>1569</v>
      </c>
      <c r="B484" s="3" t="n">
        <v>45495</v>
      </c>
      <c r="C484" s="3" t="n">
        <v>45495</v>
      </c>
      <c r="D484" s="2" t="s">
        <v>41</v>
      </c>
      <c r="E484" s="2" t="s">
        <v>41</v>
      </c>
      <c r="F484" s="2" t="s">
        <v>1570</v>
      </c>
      <c r="G484" s="2" t="s">
        <v>134</v>
      </c>
      <c r="H484" s="2" t="s">
        <v>44</v>
      </c>
      <c r="I484" s="2" t="s">
        <v>74</v>
      </c>
      <c r="J484" s="2" t="s">
        <v>41</v>
      </c>
      <c r="K484" s="2" t="s">
        <v>195</v>
      </c>
      <c r="L484" s="2" t="s">
        <v>196</v>
      </c>
      <c r="M484" s="2" t="s">
        <v>94</v>
      </c>
      <c r="N484" s="2" t="s">
        <v>95</v>
      </c>
      <c r="O484" s="2" t="s">
        <v>1571</v>
      </c>
      <c r="P484" s="2" t="s">
        <v>51</v>
      </c>
      <c r="Q484" s="2" t="s">
        <v>41</v>
      </c>
      <c r="R484" s="2" t="n">
        <v>3</v>
      </c>
      <c r="S484" s="2" t="n">
        <v>1286.22</v>
      </c>
      <c r="T484" s="2" t="n">
        <v>0.25</v>
      </c>
      <c r="U484" s="2" t="str">
        <f aca="false">IF(ISBLANK(T484),"Yes","No")</f>
        <v>No</v>
      </c>
      <c r="V484" s="2" t="n">
        <f aca="false">IF(ISBLANK(T484),0,IF(ISNUMBER(T484),T484,VALUE(LEFT(T484,LEN(T484)-1))/100))</f>
        <v>0.25</v>
      </c>
      <c r="W484" s="2" t="str">
        <f aca="false">IF(AND(V484&gt;=0,V484&lt;=0.25),"Valid","Invalid")</f>
        <v>Valid</v>
      </c>
      <c r="X484" s="2" t="n">
        <v>2893.99</v>
      </c>
      <c r="Y484" s="2" t="n">
        <f aca="false">R484*S484*(1-V484)</f>
        <v>2893.995</v>
      </c>
      <c r="Z484" s="2" t="str">
        <f aca="false">IF(ABS(X484-Y484)&gt;1,"Mismatch","OK")</f>
        <v>OK</v>
      </c>
      <c r="AA484" s="2" t="n">
        <v>1856.03</v>
      </c>
      <c r="AB484" s="2" t="n">
        <v>1037.96</v>
      </c>
      <c r="AC484" s="2" t="n">
        <f aca="false">Y484-AA484</f>
        <v>1037.965</v>
      </c>
      <c r="AD484" s="2" t="str">
        <f aca="false">IF(ABS(AB484-AC484)&gt;1,"Mismatch","OK")</f>
        <v>OK</v>
      </c>
      <c r="AE484" s="4" t="n">
        <f aca="false">IF(Y484=0,0,AC484/Y484)</f>
        <v>0.358661642470011</v>
      </c>
      <c r="AF484" s="2" t="s">
        <v>52</v>
      </c>
      <c r="AG484" s="2" t="s">
        <v>53</v>
      </c>
      <c r="AH484" s="2" t="str">
        <f aca="false">IF(AND(AG484="Completed",AF484&lt;&gt;"Paid"),"Inconsistent","OK")</f>
        <v>OK</v>
      </c>
      <c r="AI484" s="2" t="n">
        <f aca="false">IF(OR(ISBLANK(B484),ISBLANK(C484)),"",C484-B484)</f>
        <v>0</v>
      </c>
      <c r="AJ484" s="2" t="str">
        <f aca="false">IF(AI484="","Unknown",IF(AI484&lt;0,"Invalid","OK"))</f>
        <v>OK</v>
      </c>
      <c r="AK484" s="2" t="str">
        <f aca="false">IF(ISBLANK(B484),"",TEXT(B484,"mmm"))</f>
        <v>Jul</v>
      </c>
      <c r="AL484" s="2" t="n">
        <f aca="false">IF(ISBLANK(B484),"",YEAR(B484))</f>
        <v>2024</v>
      </c>
      <c r="AM484" s="2" t="s">
        <v>41</v>
      </c>
      <c r="AN484" s="2" t="str">
        <f aca="false">IF(OR(W484="Invalid",AJ484="Invalid",AH484="Inconsistent",Z484="Mismatch",AD484="Mismatch",AM484="Yes",D484="Yes",E484="Yes"),"Invalid",IF(OR(J484="Yes",Q484="Yes",U484="Yes"),"Warning","Clean"))</f>
        <v>Clean</v>
      </c>
    </row>
    <row r="485" customFormat="false" ht="15" hidden="false" customHeight="false" outlineLevel="0" collapsed="false">
      <c r="A485" s="2" t="s">
        <v>1572</v>
      </c>
      <c r="B485" s="3" t="n">
        <v>45651</v>
      </c>
      <c r="C485" s="3" t="n">
        <v>45651</v>
      </c>
      <c r="D485" s="2" t="s">
        <v>41</v>
      </c>
      <c r="E485" s="2" t="s">
        <v>41</v>
      </c>
      <c r="F485" s="2" t="s">
        <v>1573</v>
      </c>
      <c r="G485" s="2" t="s">
        <v>56</v>
      </c>
      <c r="H485" s="2" t="s">
        <v>110</v>
      </c>
      <c r="I485" s="2" t="s">
        <v>58</v>
      </c>
      <c r="J485" s="2" t="s">
        <v>41</v>
      </c>
      <c r="K485" s="2" t="s">
        <v>165</v>
      </c>
      <c r="L485" s="2" t="s">
        <v>166</v>
      </c>
      <c r="M485" s="2" t="s">
        <v>94</v>
      </c>
      <c r="N485" s="2" t="s">
        <v>100</v>
      </c>
      <c r="O485" s="2" t="s">
        <v>1574</v>
      </c>
      <c r="P485" s="2" t="s">
        <v>79</v>
      </c>
      <c r="Q485" s="2" t="s">
        <v>41</v>
      </c>
      <c r="R485" s="2" t="n">
        <v>1</v>
      </c>
      <c r="S485" s="2" t="n">
        <v>829.66</v>
      </c>
      <c r="T485" s="2" t="n">
        <v>0.15</v>
      </c>
      <c r="U485" s="2" t="str">
        <f aca="false">IF(ISBLANK(T485),"Yes","No")</f>
        <v>No</v>
      </c>
      <c r="V485" s="2" t="n">
        <f aca="false">IF(ISBLANK(T485),0,IF(ISNUMBER(T485),T485,VALUE(LEFT(T485,LEN(T485)-1))/100))</f>
        <v>0.15</v>
      </c>
      <c r="W485" s="2" t="str">
        <f aca="false">IF(AND(V485&gt;=0,V485&lt;=0.25),"Valid","Invalid")</f>
        <v>Valid</v>
      </c>
      <c r="X485" s="2" t="n">
        <v>705.21</v>
      </c>
      <c r="Y485" s="2" t="n">
        <f aca="false">R485*S485*(1-V485)</f>
        <v>705.211</v>
      </c>
      <c r="Z485" s="2" t="str">
        <f aca="false">IF(ABS(X485-Y485)&gt;1,"Mismatch","OK")</f>
        <v>OK</v>
      </c>
      <c r="AA485" s="2" t="n">
        <v>438.32</v>
      </c>
      <c r="AB485" s="2" t="n">
        <v>266.89</v>
      </c>
      <c r="AC485" s="2" t="n">
        <f aca="false">Y485-AA485</f>
        <v>266.891</v>
      </c>
      <c r="AD485" s="2" t="str">
        <f aca="false">IF(ABS(AB485-AC485)&gt;1,"Mismatch","OK")</f>
        <v>OK</v>
      </c>
      <c r="AE485" s="4" t="n">
        <f aca="false">IF(Y485=0,0,AC485/Y485)</f>
        <v>0.378455526076593</v>
      </c>
      <c r="AF485" s="2" t="s">
        <v>52</v>
      </c>
      <c r="AG485" s="2" t="s">
        <v>53</v>
      </c>
      <c r="AH485" s="2" t="str">
        <f aca="false">IF(AND(AG485="Completed",AF485&lt;&gt;"Paid"),"Inconsistent","OK")</f>
        <v>OK</v>
      </c>
      <c r="AI485" s="2" t="n">
        <f aca="false">IF(OR(ISBLANK(B485),ISBLANK(C485)),"",C485-B485)</f>
        <v>0</v>
      </c>
      <c r="AJ485" s="2" t="str">
        <f aca="false">IF(AI485="","Unknown",IF(AI485&lt;0,"Invalid","OK"))</f>
        <v>OK</v>
      </c>
      <c r="AK485" s="2" t="str">
        <f aca="false">IF(ISBLANK(B485),"",TEXT(B485,"mmm"))</f>
        <v>Dec</v>
      </c>
      <c r="AL485" s="2" t="n">
        <f aca="false">IF(ISBLANK(B485),"",YEAR(B485))</f>
        <v>2024</v>
      </c>
      <c r="AM485" s="2" t="s">
        <v>41</v>
      </c>
      <c r="AN485" s="2" t="str">
        <f aca="false">IF(OR(W485="Invalid",AJ485="Invalid",AH485="Inconsistent",Z485="Mismatch",AD485="Mismatch",AM485="Yes",D485="Yes",E485="Yes"),"Invalid",IF(OR(J485="Yes",Q485="Yes",U485="Yes"),"Warning","Clean"))</f>
        <v>Clean</v>
      </c>
    </row>
    <row r="486" customFormat="false" ht="15" hidden="false" customHeight="false" outlineLevel="0" collapsed="false">
      <c r="A486" s="2" t="s">
        <v>1575</v>
      </c>
      <c r="B486" s="3" t="n">
        <v>45654</v>
      </c>
      <c r="C486" s="3" t="n">
        <v>45657</v>
      </c>
      <c r="D486" s="2" t="s">
        <v>41</v>
      </c>
      <c r="E486" s="2" t="s">
        <v>41</v>
      </c>
      <c r="F486" s="2" t="s">
        <v>1576</v>
      </c>
      <c r="G486" s="2" t="s">
        <v>56</v>
      </c>
      <c r="H486" s="2" t="s">
        <v>57</v>
      </c>
      <c r="I486" s="2" t="s">
        <v>74</v>
      </c>
      <c r="J486" s="2" t="s">
        <v>41</v>
      </c>
      <c r="K486" s="2" t="s">
        <v>104</v>
      </c>
      <c r="L486" s="2" t="s">
        <v>105</v>
      </c>
      <c r="M486" s="2" t="s">
        <v>61</v>
      </c>
      <c r="N486" s="2" t="s">
        <v>77</v>
      </c>
      <c r="O486" s="2" t="s">
        <v>1577</v>
      </c>
      <c r="P486" s="2" t="s">
        <v>70</v>
      </c>
      <c r="Q486" s="2" t="s">
        <v>41</v>
      </c>
      <c r="R486" s="2" t="n">
        <v>6</v>
      </c>
      <c r="S486" s="2" t="n">
        <v>3641.22</v>
      </c>
      <c r="T486" s="2" t="n">
        <v>0.25</v>
      </c>
      <c r="U486" s="2" t="str">
        <f aca="false">IF(ISBLANK(T486),"Yes","No")</f>
        <v>No</v>
      </c>
      <c r="V486" s="2" t="n">
        <f aca="false">IF(ISBLANK(T486),0,IF(ISNUMBER(T486),T486,VALUE(LEFT(T486,LEN(T486)-1))/100))</f>
        <v>0.25</v>
      </c>
      <c r="W486" s="2" t="str">
        <f aca="false">IF(AND(V486&gt;=0,V486&lt;=0.25),"Valid","Invalid")</f>
        <v>Valid</v>
      </c>
      <c r="X486" s="2" t="n">
        <v>16385.49</v>
      </c>
      <c r="Y486" s="2" t="n">
        <f aca="false">R486*S486*(1-V486)</f>
        <v>16385.49</v>
      </c>
      <c r="Z486" s="2" t="str">
        <f aca="false">IF(ABS(X486-Y486)&gt;1,"Mismatch","OK")</f>
        <v>OK</v>
      </c>
      <c r="AA486" s="2" t="n">
        <v>13679.24</v>
      </c>
      <c r="AB486" s="2" t="n">
        <v>2706.25</v>
      </c>
      <c r="AC486" s="2" t="n">
        <f aca="false">Y486-AA486</f>
        <v>2706.25</v>
      </c>
      <c r="AD486" s="2" t="str">
        <f aca="false">IF(ABS(AB486-AC486)&gt;1,"Mismatch","OK")</f>
        <v>OK</v>
      </c>
      <c r="AE486" s="4" t="n">
        <f aca="false">IF(Y486=0,0,AC486/Y486)</f>
        <v>0.165161371432896</v>
      </c>
      <c r="AF486" s="2" t="s">
        <v>52</v>
      </c>
      <c r="AG486" s="2" t="s">
        <v>53</v>
      </c>
      <c r="AH486" s="2" t="str">
        <f aca="false">IF(AND(AG486="Completed",AF486&lt;&gt;"Paid"),"Inconsistent","OK")</f>
        <v>OK</v>
      </c>
      <c r="AI486" s="2" t="n">
        <f aca="false">IF(OR(ISBLANK(B486),ISBLANK(C486)),"",C486-B486)</f>
        <v>3</v>
      </c>
      <c r="AJ486" s="2" t="str">
        <f aca="false">IF(AI486="","Unknown",IF(AI486&lt;0,"Invalid","OK"))</f>
        <v>OK</v>
      </c>
      <c r="AK486" s="2" t="str">
        <f aca="false">IF(ISBLANK(B486),"",TEXT(B486,"mmm"))</f>
        <v>Dec</v>
      </c>
      <c r="AL486" s="2" t="n">
        <f aca="false">IF(ISBLANK(B486),"",YEAR(B486))</f>
        <v>2024</v>
      </c>
      <c r="AM486" s="2" t="s">
        <v>41</v>
      </c>
      <c r="AN486" s="2" t="str">
        <f aca="false">IF(OR(W486="Invalid",AJ486="Invalid",AH486="Inconsistent",Z486="Mismatch",AD486="Mismatch",AM486="Yes",D486="Yes",E486="Yes"),"Invalid",IF(OR(J486="Yes",Q486="Yes",U486="Yes"),"Warning","Clean"))</f>
        <v>Clean</v>
      </c>
    </row>
    <row r="487" customFormat="false" ht="15" hidden="false" customHeight="false" outlineLevel="0" collapsed="false">
      <c r="A487" s="2" t="s">
        <v>1578</v>
      </c>
      <c r="B487" s="3" t="n">
        <v>45679</v>
      </c>
      <c r="C487" s="3" t="n">
        <v>45680</v>
      </c>
      <c r="D487" s="2" t="s">
        <v>41</v>
      </c>
      <c r="E487" s="2" t="s">
        <v>41</v>
      </c>
      <c r="F487" s="2" t="s">
        <v>1579</v>
      </c>
      <c r="G487" s="2" t="s">
        <v>138</v>
      </c>
      <c r="H487" s="2" t="s">
        <v>110</v>
      </c>
      <c r="I487" s="2" t="s">
        <v>83</v>
      </c>
      <c r="J487" s="2" t="s">
        <v>41</v>
      </c>
      <c r="K487" s="2" t="s">
        <v>210</v>
      </c>
      <c r="L487" s="2" t="s">
        <v>211</v>
      </c>
      <c r="M487" s="2" t="s">
        <v>61</v>
      </c>
      <c r="N487" s="2" t="s">
        <v>178</v>
      </c>
      <c r="O487" s="2" t="s">
        <v>1580</v>
      </c>
      <c r="P487" s="2" t="s">
        <v>79</v>
      </c>
      <c r="Q487" s="2" t="s">
        <v>41</v>
      </c>
      <c r="R487" s="2" t="n">
        <v>4</v>
      </c>
      <c r="S487" s="2" t="n">
        <v>2555.19</v>
      </c>
      <c r="T487" s="2" t="n">
        <v>0.25</v>
      </c>
      <c r="U487" s="2" t="str">
        <f aca="false">IF(ISBLANK(T487),"Yes","No")</f>
        <v>No</v>
      </c>
      <c r="V487" s="2" t="n">
        <f aca="false">IF(ISBLANK(T487),0,IF(ISNUMBER(T487),T487,VALUE(LEFT(T487,LEN(T487)-1))/100))</f>
        <v>0.25</v>
      </c>
      <c r="W487" s="2" t="str">
        <f aca="false">IF(AND(V487&gt;=0,V487&lt;=0.25),"Valid","Invalid")</f>
        <v>Valid</v>
      </c>
      <c r="X487" s="2" t="n">
        <v>7665.57</v>
      </c>
      <c r="Y487" s="2" t="n">
        <f aca="false">R487*S487*(1-V487)</f>
        <v>7665.57</v>
      </c>
      <c r="Z487" s="2" t="str">
        <f aca="false">IF(ABS(X487-Y487)&gt;1,"Mismatch","OK")</f>
        <v>OK</v>
      </c>
      <c r="AA487" s="2" t="n">
        <v>5595.6</v>
      </c>
      <c r="AB487" s="2" t="n">
        <v>2069.97</v>
      </c>
      <c r="AC487" s="2" t="n">
        <f aca="false">Y487-AA487</f>
        <v>2069.97</v>
      </c>
      <c r="AD487" s="2" t="str">
        <f aca="false">IF(ABS(AB487-AC487)&gt;1,"Mismatch","OK")</f>
        <v>OK</v>
      </c>
      <c r="AE487" s="4" t="n">
        <f aca="false">IF(Y487=0,0,AC487/Y487)</f>
        <v>0.270034713661215</v>
      </c>
      <c r="AF487" s="2" t="s">
        <v>52</v>
      </c>
      <c r="AG487" s="2" t="s">
        <v>53</v>
      </c>
      <c r="AH487" s="2" t="str">
        <f aca="false">IF(AND(AG487="Completed",AF487&lt;&gt;"Paid"),"Inconsistent","OK")</f>
        <v>OK</v>
      </c>
      <c r="AI487" s="2" t="n">
        <f aca="false">IF(OR(ISBLANK(B487),ISBLANK(C487)),"",C487-B487)</f>
        <v>1</v>
      </c>
      <c r="AJ487" s="2" t="str">
        <f aca="false">IF(AI487="","Unknown",IF(AI487&lt;0,"Invalid","OK"))</f>
        <v>OK</v>
      </c>
      <c r="AK487" s="2" t="str">
        <f aca="false">IF(ISBLANK(B487),"",TEXT(B487,"mmm"))</f>
        <v>Jan</v>
      </c>
      <c r="AL487" s="2" t="n">
        <f aca="false">IF(ISBLANK(B487),"",YEAR(B487))</f>
        <v>2025</v>
      </c>
      <c r="AM487" s="2" t="s">
        <v>41</v>
      </c>
      <c r="AN487" s="2" t="str">
        <f aca="false">IF(OR(W487="Invalid",AJ487="Invalid",AH487="Inconsistent",Z487="Mismatch",AD487="Mismatch",AM487="Yes",D487="Yes",E487="Yes"),"Invalid",IF(OR(J487="Yes",Q487="Yes",U487="Yes"),"Warning","Clean"))</f>
        <v>Clean</v>
      </c>
    </row>
    <row r="488" customFormat="false" ht="15" hidden="false" customHeight="false" outlineLevel="0" collapsed="false">
      <c r="A488" s="2" t="s">
        <v>1581</v>
      </c>
      <c r="B488" s="3" t="n">
        <v>45830</v>
      </c>
      <c r="C488" s="3" t="n">
        <v>45834</v>
      </c>
      <c r="D488" s="2" t="s">
        <v>41</v>
      </c>
      <c r="E488" s="2" t="s">
        <v>41</v>
      </c>
      <c r="F488" s="2" t="s">
        <v>1582</v>
      </c>
      <c r="G488" s="2" t="s">
        <v>138</v>
      </c>
      <c r="H488" s="2" t="s">
        <v>110</v>
      </c>
      <c r="I488" s="2" t="s">
        <v>83</v>
      </c>
      <c r="J488" s="2" t="s">
        <v>41</v>
      </c>
      <c r="K488" s="2" t="s">
        <v>210</v>
      </c>
      <c r="L488" s="2" t="s">
        <v>211</v>
      </c>
      <c r="M488" s="2" t="s">
        <v>61</v>
      </c>
      <c r="N488" s="2" t="s">
        <v>62</v>
      </c>
      <c r="O488" s="2" t="s">
        <v>1583</v>
      </c>
      <c r="P488" s="2" t="s">
        <v>79</v>
      </c>
      <c r="Q488" s="2" t="s">
        <v>41</v>
      </c>
      <c r="R488" s="2" t="n">
        <v>3</v>
      </c>
      <c r="S488" s="2" t="n">
        <v>1946.18</v>
      </c>
      <c r="T488" s="2" t="n">
        <v>0.2</v>
      </c>
      <c r="U488" s="2" t="str">
        <f aca="false">IF(ISBLANK(T488),"Yes","No")</f>
        <v>No</v>
      </c>
      <c r="V488" s="2" t="n">
        <f aca="false">IF(ISBLANK(T488),0,IF(ISNUMBER(T488),T488,VALUE(LEFT(T488,LEN(T488)-1))/100))</f>
        <v>0.2</v>
      </c>
      <c r="W488" s="2" t="str">
        <f aca="false">IF(AND(V488&gt;=0,V488&lt;=0.25),"Valid","Invalid")</f>
        <v>Valid</v>
      </c>
      <c r="X488" s="2" t="n">
        <v>4670.83</v>
      </c>
      <c r="Y488" s="2" t="n">
        <f aca="false">R488*S488*(1-V488)</f>
        <v>4670.832</v>
      </c>
      <c r="Z488" s="2" t="str">
        <f aca="false">IF(ABS(X488-Y488)&gt;1,"Mismatch","OK")</f>
        <v>OK</v>
      </c>
      <c r="AA488" s="2" t="n">
        <v>3166.49</v>
      </c>
      <c r="AB488" s="2" t="n">
        <v>1504.34</v>
      </c>
      <c r="AC488" s="2" t="n">
        <f aca="false">Y488-AA488</f>
        <v>1504.342</v>
      </c>
      <c r="AD488" s="2" t="str">
        <f aca="false">IF(ABS(AB488-AC488)&gt;1,"Mismatch","OK")</f>
        <v>OK</v>
      </c>
      <c r="AE488" s="4" t="n">
        <f aca="false">IF(Y488=0,0,AC488/Y488)</f>
        <v>0.322071528156012</v>
      </c>
      <c r="AF488" s="2" t="s">
        <v>52</v>
      </c>
      <c r="AG488" s="2" t="s">
        <v>53</v>
      </c>
      <c r="AH488" s="2" t="str">
        <f aca="false">IF(AND(AG488="Completed",AF488&lt;&gt;"Paid"),"Inconsistent","OK")</f>
        <v>OK</v>
      </c>
      <c r="AI488" s="2" t="n">
        <f aca="false">IF(OR(ISBLANK(B488),ISBLANK(C488)),"",C488-B488)</f>
        <v>4</v>
      </c>
      <c r="AJ488" s="2" t="str">
        <f aca="false">IF(AI488="","Unknown",IF(AI488&lt;0,"Invalid","OK"))</f>
        <v>OK</v>
      </c>
      <c r="AK488" s="2" t="str">
        <f aca="false">IF(ISBLANK(B488),"",TEXT(B488,"mmm"))</f>
        <v>Jun</v>
      </c>
      <c r="AL488" s="2" t="n">
        <f aca="false">IF(ISBLANK(B488),"",YEAR(B488))</f>
        <v>2025</v>
      </c>
      <c r="AM488" s="2" t="s">
        <v>41</v>
      </c>
      <c r="AN488" s="2" t="str">
        <f aca="false">IF(OR(W488="Invalid",AJ488="Invalid",AH488="Inconsistent",Z488="Mismatch",AD488="Mismatch",AM488="Yes",D488="Yes",E488="Yes"),"Invalid",IF(OR(J488="Yes",Q488="Yes",U488="Yes"),"Warning","Clean"))</f>
        <v>Clean</v>
      </c>
    </row>
    <row r="489" customFormat="false" ht="15" hidden="false" customHeight="false" outlineLevel="0" collapsed="false">
      <c r="A489" s="2" t="s">
        <v>1584</v>
      </c>
      <c r="B489" s="3" t="n">
        <v>45818</v>
      </c>
      <c r="C489" s="3" t="n">
        <v>45825</v>
      </c>
      <c r="D489" s="2" t="s">
        <v>41</v>
      </c>
      <c r="E489" s="2" t="s">
        <v>41</v>
      </c>
      <c r="F489" s="2" t="s">
        <v>1585</v>
      </c>
      <c r="G489" s="2" t="s">
        <v>138</v>
      </c>
      <c r="H489" s="2" t="s">
        <v>110</v>
      </c>
      <c r="I489" s="2" t="s">
        <v>74</v>
      </c>
      <c r="J489" s="2" t="s">
        <v>41</v>
      </c>
      <c r="K489" s="2" t="s">
        <v>75</v>
      </c>
      <c r="L489" s="2" t="s">
        <v>76</v>
      </c>
      <c r="M489" s="2" t="s">
        <v>61</v>
      </c>
      <c r="N489" s="2" t="s">
        <v>77</v>
      </c>
      <c r="O489" s="2" t="s">
        <v>1586</v>
      </c>
      <c r="P489" s="2" t="s">
        <v>79</v>
      </c>
      <c r="Q489" s="2" t="s">
        <v>41</v>
      </c>
      <c r="R489" s="2" t="n">
        <v>5</v>
      </c>
      <c r="S489" s="2" t="n">
        <v>1231.1</v>
      </c>
      <c r="T489" s="2" t="n">
        <v>0</v>
      </c>
      <c r="U489" s="2" t="str">
        <f aca="false">IF(ISBLANK(T489),"Yes","No")</f>
        <v>No</v>
      </c>
      <c r="V489" s="2" t="n">
        <f aca="false">IF(ISBLANK(T489),0,IF(ISNUMBER(T489),T489,VALUE(LEFT(T489,LEN(T489)-1))/100))</f>
        <v>0</v>
      </c>
      <c r="W489" s="2" t="str">
        <f aca="false">IF(AND(V489&gt;=0,V489&lt;=0.25),"Valid","Invalid")</f>
        <v>Valid</v>
      </c>
      <c r="X489" s="2" t="n">
        <v>6155.5</v>
      </c>
      <c r="Y489" s="2" t="n">
        <f aca="false">R489*S489*(1-V489)</f>
        <v>6155.5</v>
      </c>
      <c r="Z489" s="2" t="str">
        <f aca="false">IF(ABS(X489-Y489)&gt;1,"Mismatch","OK")</f>
        <v>OK</v>
      </c>
      <c r="AA489" s="2" t="n">
        <v>4282.09</v>
      </c>
      <c r="AB489" s="2" t="n">
        <v>1873.41</v>
      </c>
      <c r="AC489" s="2" t="n">
        <f aca="false">Y489-AA489</f>
        <v>1873.41</v>
      </c>
      <c r="AD489" s="2" t="str">
        <f aca="false">IF(ABS(AB489-AC489)&gt;1,"Mismatch","OK")</f>
        <v>OK</v>
      </c>
      <c r="AE489" s="4" t="n">
        <f aca="false">IF(Y489=0,0,AC489/Y489)</f>
        <v>0.304347331654618</v>
      </c>
      <c r="AF489" s="2" t="s">
        <v>122</v>
      </c>
      <c r="AG489" s="2" t="s">
        <v>123</v>
      </c>
      <c r="AH489" s="2" t="str">
        <f aca="false">IF(AND(AG489="Completed",AF489&lt;&gt;"Paid"),"Inconsistent","OK")</f>
        <v>OK</v>
      </c>
      <c r="AI489" s="2" t="n">
        <f aca="false">IF(OR(ISBLANK(B489),ISBLANK(C489)),"",C489-B489)</f>
        <v>7</v>
      </c>
      <c r="AJ489" s="2" t="str">
        <f aca="false">IF(AI489="","Unknown",IF(AI489&lt;0,"Invalid","OK"))</f>
        <v>OK</v>
      </c>
      <c r="AK489" s="2" t="str">
        <f aca="false">IF(ISBLANK(B489),"",TEXT(B489,"mmm"))</f>
        <v>Jun</v>
      </c>
      <c r="AL489" s="2" t="n">
        <f aca="false">IF(ISBLANK(B489),"",YEAR(B489))</f>
        <v>2025</v>
      </c>
      <c r="AM489" s="2" t="s">
        <v>41</v>
      </c>
      <c r="AN489" s="2" t="str">
        <f aca="false">IF(OR(W489="Invalid",AJ489="Invalid",AH489="Inconsistent",Z489="Mismatch",AD489="Mismatch",AM489="Yes",D489="Yes",E489="Yes"),"Invalid",IF(OR(J489="Yes",Q489="Yes",U489="Yes"),"Warning","Clean"))</f>
        <v>Clean</v>
      </c>
    </row>
    <row r="490" customFormat="false" ht="15" hidden="false" customHeight="false" outlineLevel="0" collapsed="false">
      <c r="A490" s="2" t="s">
        <v>1587</v>
      </c>
      <c r="B490" s="3" t="n">
        <v>45579</v>
      </c>
      <c r="C490" s="3" t="n">
        <v>45585</v>
      </c>
      <c r="D490" s="2" t="s">
        <v>41</v>
      </c>
      <c r="E490" s="2" t="s">
        <v>41</v>
      </c>
      <c r="F490" s="2" t="s">
        <v>1588</v>
      </c>
      <c r="G490" s="2" t="s">
        <v>109</v>
      </c>
      <c r="H490" s="2" t="s">
        <v>57</v>
      </c>
      <c r="I490" s="2" t="s">
        <v>45</v>
      </c>
      <c r="J490" s="2" t="s">
        <v>41</v>
      </c>
      <c r="K490" s="2" t="s">
        <v>46</v>
      </c>
      <c r="L490" s="2" t="s">
        <v>47</v>
      </c>
      <c r="M490" s="2" t="s">
        <v>61</v>
      </c>
      <c r="N490" s="2" t="s">
        <v>62</v>
      </c>
      <c r="O490" s="2" t="s">
        <v>1589</v>
      </c>
      <c r="P490" s="2" t="s">
        <v>64</v>
      </c>
      <c r="Q490" s="2" t="s">
        <v>41</v>
      </c>
      <c r="R490" s="2" t="n">
        <v>7</v>
      </c>
      <c r="S490" s="2" t="n">
        <v>1547.6</v>
      </c>
      <c r="T490" s="2" t="n">
        <v>0.2</v>
      </c>
      <c r="U490" s="2" t="str">
        <f aca="false">IF(ISBLANK(T490),"Yes","No")</f>
        <v>No</v>
      </c>
      <c r="V490" s="2" t="n">
        <f aca="false">IF(ISBLANK(T490),0,IF(ISNUMBER(T490),T490,VALUE(LEFT(T490,LEN(T490)-1))/100))</f>
        <v>0.2</v>
      </c>
      <c r="W490" s="2" t="str">
        <f aca="false">IF(AND(V490&gt;=0,V490&lt;=0.25),"Valid","Invalid")</f>
        <v>Valid</v>
      </c>
      <c r="X490" s="2" t="n">
        <v>8666.56</v>
      </c>
      <c r="Y490" s="2" t="n">
        <f aca="false">R490*S490*(1-V490)</f>
        <v>8666.56</v>
      </c>
      <c r="Z490" s="2" t="str">
        <f aca="false">IF(ABS(X490-Y490)&gt;1,"Mismatch","OK")</f>
        <v>OK</v>
      </c>
      <c r="AA490" s="2" t="n">
        <v>5967.44</v>
      </c>
      <c r="AB490" s="2" t="n">
        <v>2699.12</v>
      </c>
      <c r="AC490" s="2" t="n">
        <f aca="false">Y490-AA490</f>
        <v>2699.12</v>
      </c>
      <c r="AD490" s="2" t="str">
        <f aca="false">IF(ABS(AB490-AC490)&gt;1,"Mismatch","OK")</f>
        <v>OK</v>
      </c>
      <c r="AE490" s="4" t="n">
        <f aca="false">IF(Y490=0,0,AC490/Y490)</f>
        <v>0.311440756193922</v>
      </c>
      <c r="AF490" s="2" t="s">
        <v>52</v>
      </c>
      <c r="AG490" s="2" t="s">
        <v>53</v>
      </c>
      <c r="AH490" s="2" t="str">
        <f aca="false">IF(AND(AG490="Completed",AF490&lt;&gt;"Paid"),"Inconsistent","OK")</f>
        <v>OK</v>
      </c>
      <c r="AI490" s="2" t="n">
        <f aca="false">IF(OR(ISBLANK(B490),ISBLANK(C490)),"",C490-B490)</f>
        <v>6</v>
      </c>
      <c r="AJ490" s="2" t="str">
        <f aca="false">IF(AI490="","Unknown",IF(AI490&lt;0,"Invalid","OK"))</f>
        <v>OK</v>
      </c>
      <c r="AK490" s="2" t="str">
        <f aca="false">IF(ISBLANK(B490),"",TEXT(B490,"mmm"))</f>
        <v>Oct</v>
      </c>
      <c r="AL490" s="2" t="n">
        <f aca="false">IF(ISBLANK(B490),"",YEAR(B490))</f>
        <v>2024</v>
      </c>
      <c r="AM490" s="2" t="s">
        <v>41</v>
      </c>
      <c r="AN490" s="2" t="str">
        <f aca="false">IF(OR(W490="Invalid",AJ490="Invalid",AH490="Inconsistent",Z490="Mismatch",AD490="Mismatch",AM490="Yes",D490="Yes",E490="Yes"),"Invalid",IF(OR(J490="Yes",Q490="Yes",U490="Yes"),"Warning","Clean"))</f>
        <v>Clean</v>
      </c>
    </row>
    <row r="491" customFormat="false" ht="15" hidden="false" customHeight="false" outlineLevel="0" collapsed="false">
      <c r="A491" s="2" t="s">
        <v>1590</v>
      </c>
      <c r="B491" s="3" t="n">
        <v>45329</v>
      </c>
      <c r="C491" s="3" t="n">
        <v>45334</v>
      </c>
      <c r="D491" s="2" t="s">
        <v>41</v>
      </c>
      <c r="E491" s="2" t="s">
        <v>41</v>
      </c>
      <c r="F491" s="2" t="s">
        <v>1591</v>
      </c>
      <c r="G491" s="2" t="s">
        <v>73</v>
      </c>
      <c r="H491" s="2" t="s">
        <v>115</v>
      </c>
      <c r="I491" s="2" t="s">
        <v>58</v>
      </c>
      <c r="J491" s="2" t="s">
        <v>41</v>
      </c>
      <c r="K491" s="2" t="s">
        <v>119</v>
      </c>
      <c r="L491" s="2" t="s">
        <v>120</v>
      </c>
      <c r="M491" s="2" t="s">
        <v>94</v>
      </c>
      <c r="N491" s="2" t="s">
        <v>95</v>
      </c>
      <c r="O491" s="2" t="s">
        <v>1592</v>
      </c>
      <c r="P491" s="2" t="s">
        <v>51</v>
      </c>
      <c r="Q491" s="2" t="s">
        <v>41</v>
      </c>
      <c r="R491" s="2" t="n">
        <v>1</v>
      </c>
      <c r="S491" s="2" t="n">
        <v>452.19</v>
      </c>
      <c r="T491" s="2" t="n">
        <v>0.2</v>
      </c>
      <c r="U491" s="2" t="str">
        <f aca="false">IF(ISBLANK(T491),"Yes","No")</f>
        <v>No</v>
      </c>
      <c r="V491" s="2" t="n">
        <f aca="false">IF(ISBLANK(T491),0,IF(ISNUMBER(T491),T491,VALUE(LEFT(T491,LEN(T491)-1))/100))</f>
        <v>0.2</v>
      </c>
      <c r="W491" s="2" t="str">
        <f aca="false">IF(AND(V491&gt;=0,V491&lt;=0.25),"Valid","Invalid")</f>
        <v>Valid</v>
      </c>
      <c r="X491" s="2" t="n">
        <v>361.75</v>
      </c>
      <c r="Y491" s="2" t="n">
        <f aca="false">R491*S491*(1-V491)</f>
        <v>361.752</v>
      </c>
      <c r="Z491" s="2" t="str">
        <f aca="false">IF(ABS(X491-Y491)&gt;1,"Mismatch","OK")</f>
        <v>OK</v>
      </c>
      <c r="AA491" s="2" t="n">
        <v>262.53</v>
      </c>
      <c r="AB491" s="2" t="n">
        <v>99.22</v>
      </c>
      <c r="AC491" s="2" t="n">
        <f aca="false">Y491-AA491</f>
        <v>99.222</v>
      </c>
      <c r="AD491" s="2" t="str">
        <f aca="false">IF(ABS(AB491-AC491)&gt;1,"Mismatch","OK")</f>
        <v>OK</v>
      </c>
      <c r="AE491" s="4" t="n">
        <f aca="false">IF(Y491=0,0,AC491/Y491)</f>
        <v>0.27428182843495</v>
      </c>
      <c r="AF491" s="2" t="s">
        <v>52</v>
      </c>
      <c r="AG491" s="2" t="s">
        <v>53</v>
      </c>
      <c r="AH491" s="2" t="str">
        <f aca="false">IF(AND(AG491="Completed",AF491&lt;&gt;"Paid"),"Inconsistent","OK")</f>
        <v>OK</v>
      </c>
      <c r="AI491" s="2" t="n">
        <f aca="false">IF(OR(ISBLANK(B491),ISBLANK(C491)),"",C491-B491)</f>
        <v>5</v>
      </c>
      <c r="AJ491" s="2" t="str">
        <f aca="false">IF(AI491="","Unknown",IF(AI491&lt;0,"Invalid","OK"))</f>
        <v>OK</v>
      </c>
      <c r="AK491" s="2" t="str">
        <f aca="false">IF(ISBLANK(B491),"",TEXT(B491,"mmm"))</f>
        <v>Feb</v>
      </c>
      <c r="AL491" s="2" t="n">
        <f aca="false">IF(ISBLANK(B491),"",YEAR(B491))</f>
        <v>2024</v>
      </c>
      <c r="AM491" s="2" t="s">
        <v>41</v>
      </c>
      <c r="AN491" s="2" t="str">
        <f aca="false">IF(OR(W491="Invalid",AJ491="Invalid",AH491="Inconsistent",Z491="Mismatch",AD491="Mismatch",AM491="Yes",D491="Yes",E491="Yes"),"Invalid",IF(OR(J491="Yes",Q491="Yes",U491="Yes"),"Warning","Clean"))</f>
        <v>Clean</v>
      </c>
    </row>
    <row r="492" customFormat="false" ht="15" hidden="false" customHeight="false" outlineLevel="0" collapsed="false">
      <c r="A492" s="2" t="s">
        <v>1593</v>
      </c>
      <c r="B492" s="3" t="n">
        <v>45551</v>
      </c>
      <c r="C492" s="3" t="n">
        <v>45554</v>
      </c>
      <c r="D492" s="2" t="s">
        <v>41</v>
      </c>
      <c r="E492" s="2" t="s">
        <v>41</v>
      </c>
      <c r="F492" s="2" t="s">
        <v>1594</v>
      </c>
      <c r="G492" s="2" t="s">
        <v>109</v>
      </c>
      <c r="H492" s="2" t="s">
        <v>44</v>
      </c>
      <c r="I492" s="2" t="s">
        <v>83</v>
      </c>
      <c r="J492" s="2" t="s">
        <v>41</v>
      </c>
      <c r="K492" s="2" t="s">
        <v>46</v>
      </c>
      <c r="L492" s="2" t="s">
        <v>129</v>
      </c>
      <c r="M492" s="2" t="s">
        <v>48</v>
      </c>
      <c r="N492" s="2" t="s">
        <v>173</v>
      </c>
      <c r="O492" s="2" t="s">
        <v>1595</v>
      </c>
      <c r="P492" s="2" t="s">
        <v>70</v>
      </c>
      <c r="Q492" s="2" t="s">
        <v>41</v>
      </c>
      <c r="R492" s="2" t="n">
        <v>7</v>
      </c>
      <c r="S492" s="2" t="n">
        <v>406.42</v>
      </c>
      <c r="T492" s="2" t="n">
        <v>0.15</v>
      </c>
      <c r="U492" s="2" t="str">
        <f aca="false">IF(ISBLANK(T492),"Yes","No")</f>
        <v>No</v>
      </c>
      <c r="V492" s="2" t="n">
        <f aca="false">IF(ISBLANK(T492),0,IF(ISNUMBER(T492),T492,VALUE(LEFT(T492,LEN(T492)-1))/100))</f>
        <v>0.15</v>
      </c>
      <c r="W492" s="2" t="str">
        <f aca="false">IF(AND(V492&gt;=0,V492&lt;=0.25),"Valid","Invalid")</f>
        <v>Valid</v>
      </c>
      <c r="X492" s="2" t="n">
        <v>2418.2</v>
      </c>
      <c r="Y492" s="2" t="n">
        <f aca="false">R492*S492*(1-V492)</f>
        <v>2418.199</v>
      </c>
      <c r="Z492" s="2" t="str">
        <f aca="false">IF(ABS(X492-Y492)&gt;1,"Mismatch","OK")</f>
        <v>OK</v>
      </c>
      <c r="AA492" s="2" t="n">
        <v>1613.82</v>
      </c>
      <c r="AB492" s="2" t="n">
        <v>804.38</v>
      </c>
      <c r="AC492" s="2" t="n">
        <f aca="false">Y492-AA492</f>
        <v>804.379</v>
      </c>
      <c r="AD492" s="2" t="str">
        <f aca="false">IF(ABS(AB492-AC492)&gt;1,"Mismatch","OK")</f>
        <v>OK</v>
      </c>
      <c r="AE492" s="4" t="n">
        <f aca="false">IF(Y492=0,0,AC492/Y492)</f>
        <v>0.332635568867575</v>
      </c>
      <c r="AF492" s="2" t="s">
        <v>52</v>
      </c>
      <c r="AG492" s="2" t="s">
        <v>53</v>
      </c>
      <c r="AH492" s="2" t="str">
        <f aca="false">IF(AND(AG492="Completed",AF492&lt;&gt;"Paid"),"Inconsistent","OK")</f>
        <v>OK</v>
      </c>
      <c r="AI492" s="2" t="n">
        <f aca="false">IF(OR(ISBLANK(B492),ISBLANK(C492)),"",C492-B492)</f>
        <v>3</v>
      </c>
      <c r="AJ492" s="2" t="str">
        <f aca="false">IF(AI492="","Unknown",IF(AI492&lt;0,"Invalid","OK"))</f>
        <v>OK</v>
      </c>
      <c r="AK492" s="2" t="str">
        <f aca="false">IF(ISBLANK(B492),"",TEXT(B492,"mmm"))</f>
        <v>Sep</v>
      </c>
      <c r="AL492" s="2" t="n">
        <f aca="false">IF(ISBLANK(B492),"",YEAR(B492))</f>
        <v>2024</v>
      </c>
      <c r="AM492" s="2" t="s">
        <v>41</v>
      </c>
      <c r="AN492" s="2" t="str">
        <f aca="false">IF(OR(W492="Invalid",AJ492="Invalid",AH492="Inconsistent",Z492="Mismatch",AD492="Mismatch",AM492="Yes",D492="Yes",E492="Yes"),"Invalid",IF(OR(J492="Yes",Q492="Yes",U492="Yes"),"Warning","Clean"))</f>
        <v>Clean</v>
      </c>
    </row>
    <row r="493" customFormat="false" ht="15" hidden="false" customHeight="false" outlineLevel="0" collapsed="false">
      <c r="A493" s="2" t="s">
        <v>1596</v>
      </c>
      <c r="B493" s="3" t="n">
        <v>45776</v>
      </c>
      <c r="C493" s="3" t="n">
        <v>45777</v>
      </c>
      <c r="D493" s="2" t="s">
        <v>41</v>
      </c>
      <c r="E493" s="2" t="s">
        <v>41</v>
      </c>
      <c r="F493" s="2" t="s">
        <v>1597</v>
      </c>
      <c r="G493" s="2" t="s">
        <v>56</v>
      </c>
      <c r="H493" s="2" t="s">
        <v>110</v>
      </c>
      <c r="I493" s="2" t="s">
        <v>74</v>
      </c>
      <c r="J493" s="2" t="s">
        <v>41</v>
      </c>
      <c r="K493" s="2" t="s">
        <v>205</v>
      </c>
      <c r="L493" s="2" t="s">
        <v>206</v>
      </c>
      <c r="M493" s="2" t="s">
        <v>94</v>
      </c>
      <c r="N493" s="2" t="s">
        <v>95</v>
      </c>
      <c r="O493" s="2" t="s">
        <v>1598</v>
      </c>
      <c r="P493" s="2" t="s">
        <v>79</v>
      </c>
      <c r="Q493" s="2" t="s">
        <v>41</v>
      </c>
      <c r="R493" s="2" t="n">
        <v>4</v>
      </c>
      <c r="S493" s="2" t="n">
        <v>606.58</v>
      </c>
      <c r="T493" s="2" t="n">
        <v>0.2</v>
      </c>
      <c r="U493" s="2" t="str">
        <f aca="false">IF(ISBLANK(T493),"Yes","No")</f>
        <v>No</v>
      </c>
      <c r="V493" s="2" t="n">
        <f aca="false">IF(ISBLANK(T493),0,IF(ISNUMBER(T493),T493,VALUE(LEFT(T493,LEN(T493)-1))/100))</f>
        <v>0.2</v>
      </c>
      <c r="W493" s="2" t="str">
        <f aca="false">IF(AND(V493&gt;=0,V493&lt;=0.25),"Valid","Invalid")</f>
        <v>Valid</v>
      </c>
      <c r="X493" s="2" t="n">
        <v>1941.06</v>
      </c>
      <c r="Y493" s="2" t="n">
        <f aca="false">R493*S493*(1-V493)</f>
        <v>1941.056</v>
      </c>
      <c r="Z493" s="2" t="str">
        <f aca="false">IF(ABS(X493-Y493)&gt;1,"Mismatch","OK")</f>
        <v>OK</v>
      </c>
      <c r="AA493" s="2" t="n">
        <v>1207.42</v>
      </c>
      <c r="AB493" s="2" t="n">
        <v>733.64</v>
      </c>
      <c r="AC493" s="2" t="n">
        <f aca="false">Y493-AA493</f>
        <v>733.636</v>
      </c>
      <c r="AD493" s="2" t="str">
        <f aca="false">IF(ABS(AB493-AC493)&gt;1,"Mismatch","OK")</f>
        <v>OK</v>
      </c>
      <c r="AE493" s="4" t="n">
        <f aca="false">IF(Y493=0,0,AC493/Y493)</f>
        <v>0.377957153219691</v>
      </c>
      <c r="AF493" s="2" t="s">
        <v>52</v>
      </c>
      <c r="AG493" s="2" t="s">
        <v>53</v>
      </c>
      <c r="AH493" s="2" t="str">
        <f aca="false">IF(AND(AG493="Completed",AF493&lt;&gt;"Paid"),"Inconsistent","OK")</f>
        <v>OK</v>
      </c>
      <c r="AI493" s="2" t="n">
        <f aca="false">IF(OR(ISBLANK(B493),ISBLANK(C493)),"",C493-B493)</f>
        <v>1</v>
      </c>
      <c r="AJ493" s="2" t="str">
        <f aca="false">IF(AI493="","Unknown",IF(AI493&lt;0,"Invalid","OK"))</f>
        <v>OK</v>
      </c>
      <c r="AK493" s="2" t="str">
        <f aca="false">IF(ISBLANK(B493),"",TEXT(B493,"mmm"))</f>
        <v>Apr</v>
      </c>
      <c r="AL493" s="2" t="n">
        <f aca="false">IF(ISBLANK(B493),"",YEAR(B493))</f>
        <v>2025</v>
      </c>
      <c r="AM493" s="2" t="s">
        <v>41</v>
      </c>
      <c r="AN493" s="2" t="str">
        <f aca="false">IF(OR(W493="Invalid",AJ493="Invalid",AH493="Inconsistent",Z493="Mismatch",AD493="Mismatch",AM493="Yes",D493="Yes",E493="Yes"),"Invalid",IF(OR(J493="Yes",Q493="Yes",U493="Yes"),"Warning","Clean"))</f>
        <v>Clean</v>
      </c>
    </row>
    <row r="494" customFormat="false" ht="15" hidden="false" customHeight="false" outlineLevel="0" collapsed="false">
      <c r="A494" s="2" t="s">
        <v>1599</v>
      </c>
      <c r="B494" s="3" t="n">
        <v>45836</v>
      </c>
      <c r="C494" s="3" t="n">
        <v>45840</v>
      </c>
      <c r="D494" s="2" t="s">
        <v>41</v>
      </c>
      <c r="E494" s="2" t="s">
        <v>41</v>
      </c>
      <c r="F494" s="2" t="s">
        <v>1600</v>
      </c>
      <c r="G494" s="2" t="s">
        <v>82</v>
      </c>
      <c r="H494" s="2" t="s">
        <v>110</v>
      </c>
      <c r="I494" s="2" t="s">
        <v>74</v>
      </c>
      <c r="J494" s="2" t="s">
        <v>41</v>
      </c>
      <c r="K494" s="2" t="s">
        <v>104</v>
      </c>
      <c r="L494" s="2" t="s">
        <v>105</v>
      </c>
      <c r="M494" s="2" t="s">
        <v>48</v>
      </c>
      <c r="N494" s="2" t="s">
        <v>144</v>
      </c>
      <c r="O494" s="2" t="s">
        <v>1601</v>
      </c>
      <c r="P494" s="2" t="s">
        <v>51</v>
      </c>
      <c r="Q494" s="2" t="s">
        <v>41</v>
      </c>
      <c r="R494" s="2" t="n">
        <v>2</v>
      </c>
      <c r="S494" s="2" t="n">
        <v>2725.44</v>
      </c>
      <c r="T494" s="2" t="n">
        <v>0.25</v>
      </c>
      <c r="U494" s="2" t="str">
        <f aca="false">IF(ISBLANK(T494),"Yes","No")</f>
        <v>No</v>
      </c>
      <c r="V494" s="2" t="n">
        <f aca="false">IF(ISBLANK(T494),0,IF(ISNUMBER(T494),T494,VALUE(LEFT(T494,LEN(T494)-1))/100))</f>
        <v>0.25</v>
      </c>
      <c r="W494" s="2" t="str">
        <f aca="false">IF(AND(V494&gt;=0,V494&lt;=0.25),"Valid","Invalid")</f>
        <v>Valid</v>
      </c>
      <c r="X494" s="2" t="n">
        <v>4088.16</v>
      </c>
      <c r="Y494" s="2" t="n">
        <f aca="false">R494*S494*(1-V494)</f>
        <v>4088.16</v>
      </c>
      <c r="Z494" s="2" t="str">
        <f aca="false">IF(ABS(X494-Y494)&gt;1,"Mismatch","OK")</f>
        <v>OK</v>
      </c>
      <c r="AA494" s="2" t="n">
        <v>3205.68</v>
      </c>
      <c r="AB494" s="2" t="n">
        <v>882.48</v>
      </c>
      <c r="AC494" s="2" t="n">
        <f aca="false">Y494-AA494</f>
        <v>882.48</v>
      </c>
      <c r="AD494" s="2" t="str">
        <f aca="false">IF(ABS(AB494-AC494)&gt;1,"Mismatch","OK")</f>
        <v>OK</v>
      </c>
      <c r="AE494" s="4" t="n">
        <f aca="false">IF(Y494=0,0,AC494/Y494)</f>
        <v>0.215862392861336</v>
      </c>
      <c r="AF494" s="2" t="s">
        <v>52</v>
      </c>
      <c r="AG494" s="2" t="s">
        <v>53</v>
      </c>
      <c r="AH494" s="2" t="str">
        <f aca="false">IF(AND(AG494="Completed",AF494&lt;&gt;"Paid"),"Inconsistent","OK")</f>
        <v>OK</v>
      </c>
      <c r="AI494" s="2" t="n">
        <f aca="false">IF(OR(ISBLANK(B494),ISBLANK(C494)),"",C494-B494)</f>
        <v>4</v>
      </c>
      <c r="AJ494" s="2" t="str">
        <f aca="false">IF(AI494="","Unknown",IF(AI494&lt;0,"Invalid","OK"))</f>
        <v>OK</v>
      </c>
      <c r="AK494" s="2" t="str">
        <f aca="false">IF(ISBLANK(B494),"",TEXT(B494,"mmm"))</f>
        <v>Jun</v>
      </c>
      <c r="AL494" s="2" t="n">
        <f aca="false">IF(ISBLANK(B494),"",YEAR(B494))</f>
        <v>2025</v>
      </c>
      <c r="AM494" s="2" t="s">
        <v>41</v>
      </c>
      <c r="AN494" s="2" t="str">
        <f aca="false">IF(OR(W494="Invalid",AJ494="Invalid",AH494="Inconsistent",Z494="Mismatch",AD494="Mismatch",AM494="Yes",D494="Yes",E494="Yes"),"Invalid",IF(OR(J494="Yes",Q494="Yes",U494="Yes"),"Warning","Clean"))</f>
        <v>Clean</v>
      </c>
    </row>
    <row r="495" customFormat="false" ht="15" hidden="false" customHeight="false" outlineLevel="0" collapsed="false">
      <c r="A495" s="2" t="s">
        <v>1602</v>
      </c>
      <c r="B495" s="3" t="n">
        <v>45701</v>
      </c>
      <c r="C495" s="3" t="n">
        <v>45701</v>
      </c>
      <c r="D495" s="2" t="s">
        <v>41</v>
      </c>
      <c r="E495" s="2" t="s">
        <v>41</v>
      </c>
      <c r="F495" s="2" t="s">
        <v>1603</v>
      </c>
      <c r="G495" s="2" t="s">
        <v>286</v>
      </c>
      <c r="H495" s="2" t="s">
        <v>110</v>
      </c>
      <c r="I495" s="2" t="s">
        <v>58</v>
      </c>
      <c r="J495" s="2" t="s">
        <v>41</v>
      </c>
      <c r="K495" s="2" t="s">
        <v>59</v>
      </c>
      <c r="L495" s="2" t="s">
        <v>60</v>
      </c>
      <c r="M495" s="2" t="s">
        <v>48</v>
      </c>
      <c r="N495" s="2" t="s">
        <v>49</v>
      </c>
      <c r="O495" s="2" t="s">
        <v>1604</v>
      </c>
      <c r="P495" s="2" t="s">
        <v>51</v>
      </c>
      <c r="Q495" s="2" t="s">
        <v>41</v>
      </c>
      <c r="R495" s="2" t="n">
        <v>7</v>
      </c>
      <c r="S495" s="2" t="n">
        <v>2296.7</v>
      </c>
      <c r="T495" s="2" t="n">
        <v>0.05</v>
      </c>
      <c r="U495" s="2" t="str">
        <f aca="false">IF(ISBLANK(T495),"Yes","No")</f>
        <v>No</v>
      </c>
      <c r="V495" s="2" t="n">
        <f aca="false">IF(ISBLANK(T495),0,IF(ISNUMBER(T495),T495,VALUE(LEFT(T495,LEN(T495)-1))/100))</f>
        <v>0.05</v>
      </c>
      <c r="W495" s="2" t="str">
        <f aca="false">IF(AND(V495&gt;=0,V495&lt;=0.25),"Valid","Invalid")</f>
        <v>Valid</v>
      </c>
      <c r="X495" s="2" t="n">
        <v>15273.05</v>
      </c>
      <c r="Y495" s="2" t="n">
        <f aca="false">R495*S495*(1-V495)</f>
        <v>15273.055</v>
      </c>
      <c r="Z495" s="2" t="str">
        <f aca="false">IF(ABS(X495-Y495)&gt;1,"Mismatch","OK")</f>
        <v>OK</v>
      </c>
      <c r="AA495" s="2" t="n">
        <v>11088.76</v>
      </c>
      <c r="AB495" s="2" t="n">
        <v>4184.29</v>
      </c>
      <c r="AC495" s="2" t="n">
        <f aca="false">Y495-AA495</f>
        <v>4184.295</v>
      </c>
      <c r="AD495" s="2" t="str">
        <f aca="false">IF(ABS(AB495-AC495)&gt;1,"Mismatch","OK")</f>
        <v>OK</v>
      </c>
      <c r="AE495" s="4" t="n">
        <f aca="false">IF(Y495=0,0,AC495/Y495)</f>
        <v>0.273965817578736</v>
      </c>
      <c r="AF495" s="2" t="s">
        <v>52</v>
      </c>
      <c r="AG495" s="2" t="s">
        <v>53</v>
      </c>
      <c r="AH495" s="2" t="str">
        <f aca="false">IF(AND(AG495="Completed",AF495&lt;&gt;"Paid"),"Inconsistent","OK")</f>
        <v>OK</v>
      </c>
      <c r="AI495" s="2" t="n">
        <f aca="false">IF(OR(ISBLANK(B495),ISBLANK(C495)),"",C495-B495)</f>
        <v>0</v>
      </c>
      <c r="AJ495" s="2" t="str">
        <f aca="false">IF(AI495="","Unknown",IF(AI495&lt;0,"Invalid","OK"))</f>
        <v>OK</v>
      </c>
      <c r="AK495" s="2" t="str">
        <f aca="false">IF(ISBLANK(B495),"",TEXT(B495,"mmm"))</f>
        <v>Feb</v>
      </c>
      <c r="AL495" s="2" t="n">
        <f aca="false">IF(ISBLANK(B495),"",YEAR(B495))</f>
        <v>2025</v>
      </c>
      <c r="AM495" s="2" t="s">
        <v>41</v>
      </c>
      <c r="AN495" s="2" t="str">
        <f aca="false">IF(OR(W495="Invalid",AJ495="Invalid",AH495="Inconsistent",Z495="Mismatch",AD495="Mismatch",AM495="Yes",D495="Yes",E495="Yes"),"Invalid",IF(OR(J495="Yes",Q495="Yes",U495="Yes"),"Warning","Clean"))</f>
        <v>Clean</v>
      </c>
    </row>
    <row r="496" customFormat="false" ht="15" hidden="false" customHeight="false" outlineLevel="0" collapsed="false">
      <c r="A496" s="2" t="s">
        <v>1605</v>
      </c>
      <c r="B496" s="3" t="n">
        <v>45610</v>
      </c>
      <c r="C496" s="3" t="n">
        <v>45618</v>
      </c>
      <c r="D496" s="2" t="s">
        <v>41</v>
      </c>
      <c r="E496" s="2" t="s">
        <v>41</v>
      </c>
      <c r="F496" s="2" t="s">
        <v>1606</v>
      </c>
      <c r="G496" s="2" t="s">
        <v>67</v>
      </c>
      <c r="H496" s="2" t="s">
        <v>44</v>
      </c>
      <c r="I496" s="2" t="s">
        <v>83</v>
      </c>
      <c r="J496" s="2" t="s">
        <v>41</v>
      </c>
      <c r="K496" s="2" t="s">
        <v>92</v>
      </c>
      <c r="L496" s="2" t="s">
        <v>93</v>
      </c>
      <c r="M496" s="2" t="s">
        <v>94</v>
      </c>
      <c r="N496" s="2" t="s">
        <v>191</v>
      </c>
      <c r="O496" s="2" t="s">
        <v>1607</v>
      </c>
      <c r="P496" s="2" t="s">
        <v>79</v>
      </c>
      <c r="Q496" s="2" t="s">
        <v>41</v>
      </c>
      <c r="R496" s="2" t="n">
        <v>3</v>
      </c>
      <c r="S496" s="2" t="n">
        <v>671.68</v>
      </c>
      <c r="T496" s="2" t="n">
        <v>-0.13</v>
      </c>
      <c r="U496" s="2" t="str">
        <f aca="false">IF(ISBLANK(T496),"Yes","No")</f>
        <v>No</v>
      </c>
      <c r="V496" s="2" t="n">
        <f aca="false">IF(ISBLANK(T496),0,IF(ISNUMBER(T496),T496,VALUE(LEFT(T496,LEN(T496)-1))/100))</f>
        <v>-0.13</v>
      </c>
      <c r="W496" s="2" t="str">
        <f aca="false">IF(AND(V496&gt;=0,V496&lt;=0.25),"Valid","Invalid")</f>
        <v>Invalid</v>
      </c>
      <c r="X496" s="2" t="n">
        <v>1712.78</v>
      </c>
      <c r="Y496" s="2" t="n">
        <f aca="false">R496*S496*(1-V496)</f>
        <v>2276.9952</v>
      </c>
      <c r="Z496" s="2" t="str">
        <f aca="false">IF(ABS(X496-Y496)&gt;1,"Mismatch","OK")</f>
        <v>Mismatch</v>
      </c>
      <c r="AA496" s="2" t="n">
        <v>1569.38</v>
      </c>
      <c r="AB496" s="2" t="n">
        <v>360.66</v>
      </c>
      <c r="AC496" s="2" t="n">
        <f aca="false">Y496-AA496</f>
        <v>707.6152</v>
      </c>
      <c r="AD496" s="2" t="str">
        <f aca="false">IF(ABS(AB496-AC496)&gt;1,"Mismatch","OK")</f>
        <v>Mismatch</v>
      </c>
      <c r="AE496" s="4" t="n">
        <f aca="false">IF(Y496=0,0,AC496/Y496)</f>
        <v>0.310767102188006</v>
      </c>
      <c r="AF496" s="2" t="s">
        <v>175</v>
      </c>
      <c r="AG496" s="2" t="s">
        <v>88</v>
      </c>
      <c r="AH496" s="2" t="str">
        <f aca="false">IF(AND(AG496="Completed",AF496&lt;&gt;"Paid"),"Inconsistent","OK")</f>
        <v>OK</v>
      </c>
      <c r="AI496" s="2" t="n">
        <f aca="false">IF(OR(ISBLANK(B496),ISBLANK(C496)),"",C496-B496)</f>
        <v>8</v>
      </c>
      <c r="AJ496" s="2" t="str">
        <f aca="false">IF(AI496="","Unknown",IF(AI496&lt;0,"Invalid","OK"))</f>
        <v>OK</v>
      </c>
      <c r="AK496" s="2" t="str">
        <f aca="false">IF(ISBLANK(B496),"",TEXT(B496,"mmm"))</f>
        <v>Nov</v>
      </c>
      <c r="AL496" s="2" t="n">
        <f aca="false">IF(ISBLANK(B496),"",YEAR(B496))</f>
        <v>2024</v>
      </c>
      <c r="AM496" s="2" t="s">
        <v>41</v>
      </c>
      <c r="AN496" s="2" t="str">
        <f aca="false">IF(OR(W496="Invalid",AJ496="Invalid",AH496="Inconsistent",Z496="Mismatch",AD496="Mismatch",AM496="Yes",D496="Yes",E496="Yes"),"Invalid",IF(OR(J496="Yes",Q496="Yes",U496="Yes"),"Warning","Clean"))</f>
        <v>Invalid</v>
      </c>
    </row>
    <row r="497" customFormat="false" ht="15" hidden="false" customHeight="false" outlineLevel="0" collapsed="false">
      <c r="A497" s="2" t="s">
        <v>1608</v>
      </c>
      <c r="B497" s="3" t="n">
        <v>45421</v>
      </c>
      <c r="C497" s="3" t="n">
        <v>45427</v>
      </c>
      <c r="D497" s="2" t="s">
        <v>41</v>
      </c>
      <c r="E497" s="2" t="s">
        <v>41</v>
      </c>
      <c r="F497" s="2" t="s">
        <v>1609</v>
      </c>
      <c r="G497" s="2" t="s">
        <v>56</v>
      </c>
      <c r="H497" s="2" t="s">
        <v>57</v>
      </c>
      <c r="I497" s="2" t="s">
        <v>58</v>
      </c>
      <c r="J497" s="2" t="s">
        <v>41</v>
      </c>
      <c r="K497" s="2" t="s">
        <v>186</v>
      </c>
      <c r="L497" s="2" t="s">
        <v>187</v>
      </c>
      <c r="M497" s="2" t="s">
        <v>94</v>
      </c>
      <c r="N497" s="2" t="s">
        <v>191</v>
      </c>
      <c r="O497" s="2" t="s">
        <v>1610</v>
      </c>
      <c r="P497" s="2" t="s">
        <v>51</v>
      </c>
      <c r="Q497" s="2" t="s">
        <v>41</v>
      </c>
      <c r="R497" s="2" t="n">
        <v>4</v>
      </c>
      <c r="S497" s="2" t="n">
        <v>995.98</v>
      </c>
      <c r="T497" s="2" t="n">
        <v>0.05</v>
      </c>
      <c r="U497" s="2" t="str">
        <f aca="false">IF(ISBLANK(T497),"Yes","No")</f>
        <v>No</v>
      </c>
      <c r="V497" s="2" t="n">
        <f aca="false">IF(ISBLANK(T497),0,IF(ISNUMBER(T497),T497,VALUE(LEFT(T497,LEN(T497)-1))/100))</f>
        <v>0.05</v>
      </c>
      <c r="W497" s="2" t="str">
        <f aca="false">IF(AND(V497&gt;=0,V497&lt;=0.25),"Valid","Invalid")</f>
        <v>Valid</v>
      </c>
      <c r="X497" s="2" t="n">
        <v>3784.72</v>
      </c>
      <c r="Y497" s="2" t="n">
        <f aca="false">R497*S497*(1-V497)</f>
        <v>3784.724</v>
      </c>
      <c r="Z497" s="2" t="str">
        <f aca="false">IF(ABS(X497-Y497)&gt;1,"Mismatch","OK")</f>
        <v>OK</v>
      </c>
      <c r="AA497" s="2" t="n">
        <v>2419.24</v>
      </c>
      <c r="AB497" s="2" t="n">
        <v>1365.48</v>
      </c>
      <c r="AC497" s="2" t="n">
        <f aca="false">Y497-AA497</f>
        <v>1365.484</v>
      </c>
      <c r="AD497" s="2" t="str">
        <f aca="false">IF(ABS(AB497-AC497)&gt;1,"Mismatch","OK")</f>
        <v>OK</v>
      </c>
      <c r="AE497" s="4" t="n">
        <f aca="false">IF(Y497=0,0,AC497/Y497)</f>
        <v>0.360788263556339</v>
      </c>
      <c r="AF497" s="2" t="s">
        <v>122</v>
      </c>
      <c r="AG497" s="2" t="s">
        <v>123</v>
      </c>
      <c r="AH497" s="2" t="str">
        <f aca="false">IF(AND(AG497="Completed",AF497&lt;&gt;"Paid"),"Inconsistent","OK")</f>
        <v>OK</v>
      </c>
      <c r="AI497" s="2" t="n">
        <f aca="false">IF(OR(ISBLANK(B497),ISBLANK(C497)),"",C497-B497)</f>
        <v>6</v>
      </c>
      <c r="AJ497" s="2" t="str">
        <f aca="false">IF(AI497="","Unknown",IF(AI497&lt;0,"Invalid","OK"))</f>
        <v>OK</v>
      </c>
      <c r="AK497" s="2" t="str">
        <f aca="false">IF(ISBLANK(B497),"",TEXT(B497,"mmm"))</f>
        <v>May</v>
      </c>
      <c r="AL497" s="2" t="n">
        <f aca="false">IF(ISBLANK(B497),"",YEAR(B497))</f>
        <v>2024</v>
      </c>
      <c r="AM497" s="2" t="s">
        <v>41</v>
      </c>
      <c r="AN497" s="2" t="str">
        <f aca="false">IF(OR(W497="Invalid",AJ497="Invalid",AH497="Inconsistent",Z497="Mismatch",AD497="Mismatch",AM497="Yes",D497="Yes",E497="Yes"),"Invalid",IF(OR(J497="Yes",Q497="Yes",U497="Yes"),"Warning","Clean"))</f>
        <v>Clean</v>
      </c>
    </row>
    <row r="498" customFormat="false" ht="15" hidden="false" customHeight="false" outlineLevel="0" collapsed="false">
      <c r="A498" s="2" t="s">
        <v>1611</v>
      </c>
      <c r="B498" s="3" t="n">
        <v>45842</v>
      </c>
      <c r="C498" s="3" t="n">
        <v>45844</v>
      </c>
      <c r="D498" s="2" t="s">
        <v>41</v>
      </c>
      <c r="E498" s="2" t="s">
        <v>41</v>
      </c>
      <c r="F498" s="2" t="s">
        <v>1612</v>
      </c>
      <c r="G498" s="2" t="s">
        <v>286</v>
      </c>
      <c r="H498" s="2" t="s">
        <v>57</v>
      </c>
      <c r="I498" s="2" t="s">
        <v>58</v>
      </c>
      <c r="J498" s="2" t="s">
        <v>41</v>
      </c>
      <c r="K498" s="2" t="s">
        <v>250</v>
      </c>
      <c r="L498" s="2" t="s">
        <v>251</v>
      </c>
      <c r="M498" s="2" t="s">
        <v>61</v>
      </c>
      <c r="N498" s="2" t="s">
        <v>86</v>
      </c>
      <c r="O498" s="2" t="s">
        <v>1613</v>
      </c>
      <c r="P498" s="2" t="s">
        <v>51</v>
      </c>
      <c r="Q498" s="2" t="s">
        <v>41</v>
      </c>
      <c r="R498" s="2" t="n">
        <v>2</v>
      </c>
      <c r="S498" s="2" t="n">
        <v>3686.42</v>
      </c>
      <c r="T498" s="2" t="n">
        <v>0.1</v>
      </c>
      <c r="U498" s="2" t="str">
        <f aca="false">IF(ISBLANK(T498),"Yes","No")</f>
        <v>No</v>
      </c>
      <c r="V498" s="2" t="n">
        <f aca="false">IF(ISBLANK(T498),0,IF(ISNUMBER(T498),T498,VALUE(LEFT(T498,LEN(T498)-1))/100))</f>
        <v>0.1</v>
      </c>
      <c r="W498" s="2" t="str">
        <f aca="false">IF(AND(V498&gt;=0,V498&lt;=0.25),"Valid","Invalid")</f>
        <v>Valid</v>
      </c>
      <c r="X498" s="2" t="n">
        <v>6635.56</v>
      </c>
      <c r="Y498" s="2" t="n">
        <f aca="false">R498*S498*(1-V498)</f>
        <v>6635.556</v>
      </c>
      <c r="Z498" s="2" t="str">
        <f aca="false">IF(ABS(X498-Y498)&gt;1,"Mismatch","OK")</f>
        <v>OK</v>
      </c>
      <c r="AA498" s="2" t="n">
        <v>3652.91</v>
      </c>
      <c r="AB498" s="2" t="n">
        <v>2982.65</v>
      </c>
      <c r="AC498" s="2" t="n">
        <f aca="false">Y498-AA498</f>
        <v>2982.646</v>
      </c>
      <c r="AD498" s="2" t="str">
        <f aca="false">IF(ABS(AB498-AC498)&gt;1,"Mismatch","OK")</f>
        <v>OK</v>
      </c>
      <c r="AE498" s="4" t="n">
        <f aca="false">IF(Y498=0,0,AC498/Y498)</f>
        <v>0.449494511085431</v>
      </c>
      <c r="AF498" s="2" t="s">
        <v>52</v>
      </c>
      <c r="AG498" s="2" t="s">
        <v>53</v>
      </c>
      <c r="AH498" s="2" t="str">
        <f aca="false">IF(AND(AG498="Completed",AF498&lt;&gt;"Paid"),"Inconsistent","OK")</f>
        <v>OK</v>
      </c>
      <c r="AI498" s="2" t="n">
        <f aca="false">IF(OR(ISBLANK(B498),ISBLANK(C498)),"",C498-B498)</f>
        <v>2</v>
      </c>
      <c r="AJ498" s="2" t="str">
        <f aca="false">IF(AI498="","Unknown",IF(AI498&lt;0,"Invalid","OK"))</f>
        <v>OK</v>
      </c>
      <c r="AK498" s="2" t="str">
        <f aca="false">IF(ISBLANK(B498),"",TEXT(B498,"mmm"))</f>
        <v>Jul</v>
      </c>
      <c r="AL498" s="2" t="n">
        <f aca="false">IF(ISBLANK(B498),"",YEAR(B498))</f>
        <v>2025</v>
      </c>
      <c r="AM498" s="2" t="s">
        <v>41</v>
      </c>
      <c r="AN498" s="2" t="str">
        <f aca="false">IF(OR(W498="Invalid",AJ498="Invalid",AH498="Inconsistent",Z498="Mismatch",AD498="Mismatch",AM498="Yes",D498="Yes",E498="Yes"),"Invalid",IF(OR(J498="Yes",Q498="Yes",U498="Yes"),"Warning","Clean"))</f>
        <v>Clean</v>
      </c>
    </row>
    <row r="499" customFormat="false" ht="15" hidden="false" customHeight="false" outlineLevel="0" collapsed="false">
      <c r="A499" s="2" t="s">
        <v>1614</v>
      </c>
      <c r="B499" s="3" t="n">
        <v>45533</v>
      </c>
      <c r="C499" s="3" t="n">
        <v>45533</v>
      </c>
      <c r="D499" s="2" t="s">
        <v>41</v>
      </c>
      <c r="E499" s="2" t="s">
        <v>41</v>
      </c>
      <c r="F499" s="2" t="s">
        <v>1615</v>
      </c>
      <c r="G499" s="2" t="s">
        <v>152</v>
      </c>
      <c r="H499" s="2" t="s">
        <v>57</v>
      </c>
      <c r="I499" s="2" t="s">
        <v>45</v>
      </c>
      <c r="J499" s="2" t="s">
        <v>41</v>
      </c>
      <c r="K499" s="2" t="s">
        <v>156</v>
      </c>
      <c r="L499" s="2" t="s">
        <v>157</v>
      </c>
      <c r="M499" s="2" t="s">
        <v>94</v>
      </c>
      <c r="N499" s="2" t="s">
        <v>95</v>
      </c>
      <c r="O499" s="2" t="s">
        <v>1616</v>
      </c>
      <c r="P499" s="2" t="s">
        <v>51</v>
      </c>
      <c r="Q499" s="2" t="s">
        <v>41</v>
      </c>
      <c r="R499" s="2" t="n">
        <v>1</v>
      </c>
      <c r="S499" s="2" t="n">
        <v>3106.88</v>
      </c>
      <c r="T499" s="2" t="n">
        <v>0.2</v>
      </c>
      <c r="U499" s="2" t="str">
        <f aca="false">IF(ISBLANK(T499),"Yes","No")</f>
        <v>No</v>
      </c>
      <c r="V499" s="2" t="n">
        <f aca="false">IF(ISBLANK(T499),0,IF(ISNUMBER(T499),T499,VALUE(LEFT(T499,LEN(T499)-1))/100))</f>
        <v>0.2</v>
      </c>
      <c r="W499" s="2" t="str">
        <f aca="false">IF(AND(V499&gt;=0,V499&lt;=0.25),"Valid","Invalid")</f>
        <v>Valid</v>
      </c>
      <c r="X499" s="2" t="n">
        <v>2485.5</v>
      </c>
      <c r="Y499" s="2" t="n">
        <f aca="false">R499*S499*(1-V499)</f>
        <v>2485.504</v>
      </c>
      <c r="Z499" s="2" t="str">
        <f aca="false">IF(ABS(X499-Y499)&gt;1,"Mismatch","OK")</f>
        <v>OK</v>
      </c>
      <c r="AA499" s="2" t="n">
        <v>2028.43</v>
      </c>
      <c r="AB499" s="2" t="n">
        <v>457.07</v>
      </c>
      <c r="AC499" s="2" t="n">
        <f aca="false">Y499-AA499</f>
        <v>457.074</v>
      </c>
      <c r="AD499" s="2" t="str">
        <f aca="false">IF(ABS(AB499-AC499)&gt;1,"Mismatch","OK")</f>
        <v>OK</v>
      </c>
      <c r="AE499" s="4" t="n">
        <f aca="false">IF(Y499=0,0,AC499/Y499)</f>
        <v>0.183895901998146</v>
      </c>
      <c r="AF499" s="2" t="s">
        <v>52</v>
      </c>
      <c r="AG499" s="2" t="s">
        <v>88</v>
      </c>
      <c r="AH499" s="2" t="str">
        <f aca="false">IF(AND(AG499="Completed",AF499&lt;&gt;"Paid"),"Inconsistent","OK")</f>
        <v>OK</v>
      </c>
      <c r="AI499" s="2" t="n">
        <f aca="false">IF(OR(ISBLANK(B499),ISBLANK(C499)),"",C499-B499)</f>
        <v>0</v>
      </c>
      <c r="AJ499" s="2" t="str">
        <f aca="false">IF(AI499="","Unknown",IF(AI499&lt;0,"Invalid","OK"))</f>
        <v>OK</v>
      </c>
      <c r="AK499" s="2" t="str">
        <f aca="false">IF(ISBLANK(B499),"",TEXT(B499,"mmm"))</f>
        <v>Aug</v>
      </c>
      <c r="AL499" s="2" t="n">
        <f aca="false">IF(ISBLANK(B499),"",YEAR(B499))</f>
        <v>2024</v>
      </c>
      <c r="AM499" s="2" t="s">
        <v>41</v>
      </c>
      <c r="AN499" s="2" t="str">
        <f aca="false">IF(OR(W499="Invalid",AJ499="Invalid",AH499="Inconsistent",Z499="Mismatch",AD499="Mismatch",AM499="Yes",D499="Yes",E499="Yes"),"Invalid",IF(OR(J499="Yes",Q499="Yes",U499="Yes"),"Warning","Clean"))</f>
        <v>Clean</v>
      </c>
    </row>
    <row r="500" customFormat="false" ht="15" hidden="false" customHeight="false" outlineLevel="0" collapsed="false">
      <c r="A500" s="2" t="s">
        <v>1617</v>
      </c>
      <c r="B500" s="3" t="n">
        <v>45907</v>
      </c>
      <c r="C500" s="3" t="n">
        <v>45910</v>
      </c>
      <c r="D500" s="2" t="s">
        <v>41</v>
      </c>
      <c r="E500" s="2" t="s">
        <v>41</v>
      </c>
      <c r="F500" s="2" t="s">
        <v>1618</v>
      </c>
      <c r="G500" s="2" t="s">
        <v>43</v>
      </c>
      <c r="H500" s="2" t="s">
        <v>44</v>
      </c>
      <c r="I500" s="2" t="s">
        <v>45</v>
      </c>
      <c r="J500" s="2" t="s">
        <v>41</v>
      </c>
      <c r="K500" s="2" t="s">
        <v>142</v>
      </c>
      <c r="L500" s="2" t="s">
        <v>143</v>
      </c>
      <c r="M500" s="2" t="s">
        <v>61</v>
      </c>
      <c r="N500" s="2" t="s">
        <v>86</v>
      </c>
      <c r="O500" s="2" t="s">
        <v>1619</v>
      </c>
      <c r="P500" s="2" t="s">
        <v>64</v>
      </c>
      <c r="Q500" s="2" t="s">
        <v>41</v>
      </c>
      <c r="R500" s="2" t="n">
        <v>2</v>
      </c>
      <c r="S500" s="2" t="n">
        <v>447.55</v>
      </c>
      <c r="T500" s="2" t="n">
        <v>0.05</v>
      </c>
      <c r="U500" s="2" t="str">
        <f aca="false">IF(ISBLANK(T500),"Yes","No")</f>
        <v>No</v>
      </c>
      <c r="V500" s="2" t="n">
        <f aca="false">IF(ISBLANK(T500),0,IF(ISNUMBER(T500),T500,VALUE(LEFT(T500,LEN(T500)-1))/100))</f>
        <v>0.05</v>
      </c>
      <c r="W500" s="2" t="str">
        <f aca="false">IF(AND(V500&gt;=0,V500&lt;=0.25),"Valid","Invalid")</f>
        <v>Valid</v>
      </c>
      <c r="X500" s="2" t="n">
        <v>850.35</v>
      </c>
      <c r="Y500" s="2" t="n">
        <f aca="false">R500*S500*(1-V500)</f>
        <v>850.345</v>
      </c>
      <c r="Z500" s="2" t="str">
        <f aca="false">IF(ABS(X500-Y500)&gt;1,"Mismatch","OK")</f>
        <v>OK</v>
      </c>
      <c r="AA500" s="2" t="n">
        <v>600.98</v>
      </c>
      <c r="AB500" s="2" t="n">
        <v>249.37</v>
      </c>
      <c r="AC500" s="2" t="n">
        <f aca="false">Y500-AA500</f>
        <v>249.365</v>
      </c>
      <c r="AD500" s="2" t="str">
        <f aca="false">IF(ABS(AB500-AC500)&gt;1,"Mismatch","OK")</f>
        <v>OK</v>
      </c>
      <c r="AE500" s="4" t="n">
        <f aca="false">IF(Y500=0,0,AC500/Y500)</f>
        <v>0.293251562601062</v>
      </c>
      <c r="AF500" s="2" t="s">
        <v>122</v>
      </c>
      <c r="AG500" s="2" t="s">
        <v>88</v>
      </c>
      <c r="AH500" s="2" t="str">
        <f aca="false">IF(AND(AG500="Completed",AF500&lt;&gt;"Paid"),"Inconsistent","OK")</f>
        <v>OK</v>
      </c>
      <c r="AI500" s="2" t="n">
        <f aca="false">IF(OR(ISBLANK(B500),ISBLANK(C500)),"",C500-B500)</f>
        <v>3</v>
      </c>
      <c r="AJ500" s="2" t="str">
        <f aca="false">IF(AI500="","Unknown",IF(AI500&lt;0,"Invalid","OK"))</f>
        <v>OK</v>
      </c>
      <c r="AK500" s="2" t="str">
        <f aca="false">IF(ISBLANK(B500),"",TEXT(B500,"mmm"))</f>
        <v>Sep</v>
      </c>
      <c r="AL500" s="2" t="n">
        <f aca="false">IF(ISBLANK(B500),"",YEAR(B500))</f>
        <v>2025</v>
      </c>
      <c r="AM500" s="2" t="s">
        <v>41</v>
      </c>
      <c r="AN500" s="2" t="str">
        <f aca="false">IF(OR(W500="Invalid",AJ500="Invalid",AH500="Inconsistent",Z500="Mismatch",AD500="Mismatch",AM500="Yes",D500="Yes",E500="Yes"),"Invalid",IF(OR(J500="Yes",Q500="Yes",U500="Yes"),"Warning","Clean"))</f>
        <v>Clean</v>
      </c>
    </row>
    <row r="501" customFormat="false" ht="15" hidden="false" customHeight="false" outlineLevel="0" collapsed="false">
      <c r="A501" s="2" t="s">
        <v>1620</v>
      </c>
      <c r="B501" s="3" t="n">
        <v>45648</v>
      </c>
      <c r="C501" s="3" t="n">
        <v>45652</v>
      </c>
      <c r="D501" s="2" t="s">
        <v>41</v>
      </c>
      <c r="E501" s="2" t="s">
        <v>41</v>
      </c>
      <c r="F501" s="2" t="s">
        <v>1621</v>
      </c>
      <c r="G501" s="2" t="s">
        <v>138</v>
      </c>
      <c r="H501" s="2" t="s">
        <v>115</v>
      </c>
      <c r="I501" s="2" t="s">
        <v>45</v>
      </c>
      <c r="J501" s="2" t="s">
        <v>41</v>
      </c>
      <c r="K501" s="2" t="s">
        <v>156</v>
      </c>
      <c r="L501" s="2" t="s">
        <v>157</v>
      </c>
      <c r="M501" s="2" t="s">
        <v>61</v>
      </c>
      <c r="N501" s="2" t="s">
        <v>86</v>
      </c>
      <c r="O501" s="2" t="s">
        <v>1622</v>
      </c>
      <c r="P501" s="2" t="s">
        <v>79</v>
      </c>
      <c r="Q501" s="2" t="s">
        <v>41</v>
      </c>
      <c r="R501" s="2" t="n">
        <v>9</v>
      </c>
      <c r="S501" s="2" t="n">
        <v>1110.87</v>
      </c>
      <c r="T501" s="2"/>
      <c r="U501" s="2" t="str">
        <f aca="false">IF(ISBLANK(T501),"Yes","No")</f>
        <v>Yes</v>
      </c>
      <c r="V501" s="2" t="n">
        <f aca="false">IF(ISBLANK(T501),0,IF(ISNUMBER(T501),T501,VALUE(LEFT(T501,LEN(T501)-1))/100))</f>
        <v>0</v>
      </c>
      <c r="W501" s="2" t="str">
        <f aca="false">IF(AND(V501&gt;=0,V501&lt;=0.25),"Valid","Invalid")</f>
        <v>Valid</v>
      </c>
      <c r="X501" s="2" t="n">
        <v>7498.37</v>
      </c>
      <c r="Y501" s="2" t="n">
        <f aca="false">R501*S501*(1-V501)</f>
        <v>9997.83</v>
      </c>
      <c r="Z501" s="2" t="str">
        <f aca="false">IF(ABS(X501-Y501)&gt;1,"Mismatch","OK")</f>
        <v>Mismatch</v>
      </c>
      <c r="AA501" s="2" t="n">
        <v>6059.07</v>
      </c>
      <c r="AB501" s="2" t="n">
        <v>1439.3</v>
      </c>
      <c r="AC501" s="2" t="n">
        <f aca="false">Y501-AA501</f>
        <v>3938.76</v>
      </c>
      <c r="AD501" s="2" t="str">
        <f aca="false">IF(ABS(AB501-AC501)&gt;1,"Mismatch","OK")</f>
        <v>Mismatch</v>
      </c>
      <c r="AE501" s="4" t="n">
        <f aca="false">IF(Y501=0,0,AC501/Y501)</f>
        <v>0.393961489643253</v>
      </c>
      <c r="AF501" s="2" t="s">
        <v>52</v>
      </c>
      <c r="AG501" s="2" t="s">
        <v>88</v>
      </c>
      <c r="AH501" s="2" t="str">
        <f aca="false">IF(AND(AG501="Completed",AF501&lt;&gt;"Paid"),"Inconsistent","OK")</f>
        <v>OK</v>
      </c>
      <c r="AI501" s="2" t="n">
        <f aca="false">IF(OR(ISBLANK(B501),ISBLANK(C501)),"",C501-B501)</f>
        <v>4</v>
      </c>
      <c r="AJ501" s="2" t="str">
        <f aca="false">IF(AI501="","Unknown",IF(AI501&lt;0,"Invalid","OK"))</f>
        <v>OK</v>
      </c>
      <c r="AK501" s="2" t="str">
        <f aca="false">IF(ISBLANK(B501),"",TEXT(B501,"mmm"))</f>
        <v>Dec</v>
      </c>
      <c r="AL501" s="2" t="n">
        <f aca="false">IF(ISBLANK(B501),"",YEAR(B501))</f>
        <v>2024</v>
      </c>
      <c r="AM501" s="2" t="s">
        <v>41</v>
      </c>
      <c r="AN501" s="2" t="str">
        <f aca="false">IF(OR(W501="Invalid",AJ501="Invalid",AH501="Inconsistent",Z501="Mismatch",AD501="Mismatch",AM501="Yes",D501="Yes",E501="Yes"),"Invalid",IF(OR(J501="Yes",Q501="Yes",U501="Yes"),"Warning","Clean"))</f>
        <v>Invalid</v>
      </c>
    </row>
    <row r="502" customFormat="false" ht="15" hidden="false" customHeight="false" outlineLevel="0" collapsed="false">
      <c r="A502" s="2" t="s">
        <v>1623</v>
      </c>
      <c r="B502" s="3" t="n">
        <v>45429</v>
      </c>
      <c r="C502" s="3" t="n">
        <v>45434</v>
      </c>
      <c r="D502" s="2" t="s">
        <v>41</v>
      </c>
      <c r="E502" s="2" t="s">
        <v>41</v>
      </c>
      <c r="F502" s="2" t="s">
        <v>1624</v>
      </c>
      <c r="G502" s="2" t="s">
        <v>152</v>
      </c>
      <c r="H502" s="2" t="s">
        <v>44</v>
      </c>
      <c r="I502" s="2" t="s">
        <v>74</v>
      </c>
      <c r="J502" s="2" t="s">
        <v>41</v>
      </c>
      <c r="K502" s="2" t="s">
        <v>205</v>
      </c>
      <c r="L502" s="2" t="s">
        <v>206</v>
      </c>
      <c r="M502" s="2" t="s">
        <v>94</v>
      </c>
      <c r="N502" s="2" t="s">
        <v>191</v>
      </c>
      <c r="O502" s="2" t="s">
        <v>1625</v>
      </c>
      <c r="P502" s="2" t="s">
        <v>64</v>
      </c>
      <c r="Q502" s="2" t="s">
        <v>41</v>
      </c>
      <c r="R502" s="2" t="n">
        <v>9</v>
      </c>
      <c r="S502" s="2" t="n">
        <v>3795.99</v>
      </c>
      <c r="T502" s="2" t="s">
        <v>790</v>
      </c>
      <c r="U502" s="2" t="str">
        <f aca="false">IF(ISBLANK(T502),"Yes","No")</f>
        <v>No</v>
      </c>
      <c r="V502" s="2" t="n">
        <f aca="false">IF(ISBLANK(T502),0,IF(ISNUMBER(T502),T502,VALUE(LEFT(T502,LEN(T502)-1))/100))</f>
        <v>0.85</v>
      </c>
      <c r="W502" s="2" t="str">
        <f aca="false">IF(AND(V502&gt;=0,V502&lt;=0.25),"Valid","Invalid")</f>
        <v>Invalid</v>
      </c>
      <c r="X502" s="2" t="n">
        <v>34163.91</v>
      </c>
      <c r="Y502" s="2" t="n">
        <f aca="false">R502*S502*(1-V502)</f>
        <v>5124.5865</v>
      </c>
      <c r="Z502" s="2" t="str">
        <f aca="false">IF(ABS(X502-Y502)&gt;1,"Mismatch","OK")</f>
        <v>Mismatch</v>
      </c>
      <c r="AA502" s="2" t="n">
        <v>28577.15</v>
      </c>
      <c r="AB502" s="2" t="n">
        <v>5586.76</v>
      </c>
      <c r="AC502" s="2" t="n">
        <f aca="false">Y502-AA502</f>
        <v>-23452.5635</v>
      </c>
      <c r="AD502" s="2" t="str">
        <f aca="false">IF(ABS(AB502-AC502)&gt;1,"Mismatch","OK")</f>
        <v>Mismatch</v>
      </c>
      <c r="AE502" s="4" t="n">
        <f aca="false">IF(Y502=0,0,AC502/Y502)</f>
        <v>-4.57647919495553</v>
      </c>
      <c r="AF502" s="2" t="s">
        <v>52</v>
      </c>
      <c r="AG502" s="2" t="s">
        <v>53</v>
      </c>
      <c r="AH502" s="2" t="str">
        <f aca="false">IF(AND(AG502="Completed",AF502&lt;&gt;"Paid"),"Inconsistent","OK")</f>
        <v>OK</v>
      </c>
      <c r="AI502" s="2" t="n">
        <f aca="false">IF(OR(ISBLANK(B502),ISBLANK(C502)),"",C502-B502)</f>
        <v>5</v>
      </c>
      <c r="AJ502" s="2" t="str">
        <f aca="false">IF(AI502="","Unknown",IF(AI502&lt;0,"Invalid","OK"))</f>
        <v>OK</v>
      </c>
      <c r="AK502" s="2" t="str">
        <f aca="false">IF(ISBLANK(B502),"",TEXT(B502,"mmm"))</f>
        <v>May</v>
      </c>
      <c r="AL502" s="2" t="n">
        <f aca="false">IF(ISBLANK(B502),"",YEAR(B502))</f>
        <v>2024</v>
      </c>
      <c r="AM502" s="2" t="s">
        <v>41</v>
      </c>
      <c r="AN502" s="2" t="str">
        <f aca="false">IF(OR(W502="Invalid",AJ502="Invalid",AH502="Inconsistent",Z502="Mismatch",AD502="Mismatch",AM502="Yes",D502="Yes",E502="Yes"),"Invalid",IF(OR(J502="Yes",Q502="Yes",U502="Yes"),"Warning","Clean"))</f>
        <v>Invalid</v>
      </c>
    </row>
    <row r="503" customFormat="false" ht="15" hidden="false" customHeight="false" outlineLevel="0" collapsed="false">
      <c r="A503" s="2" t="s">
        <v>1626</v>
      </c>
      <c r="B503" s="3" t="n">
        <v>45515</v>
      </c>
      <c r="C503" s="3" t="n">
        <v>45521</v>
      </c>
      <c r="D503" s="2" t="s">
        <v>41</v>
      </c>
      <c r="E503" s="2" t="s">
        <v>41</v>
      </c>
      <c r="F503" s="2" t="s">
        <v>831</v>
      </c>
      <c r="G503" s="2" t="s">
        <v>99</v>
      </c>
      <c r="H503" s="2" t="s">
        <v>44</v>
      </c>
      <c r="I503" s="2" t="s">
        <v>58</v>
      </c>
      <c r="J503" s="2" t="s">
        <v>41</v>
      </c>
      <c r="K503" s="2" t="s">
        <v>250</v>
      </c>
      <c r="L503" s="2" t="s">
        <v>251</v>
      </c>
      <c r="M503" s="2" t="s">
        <v>48</v>
      </c>
      <c r="N503" s="2" t="s">
        <v>68</v>
      </c>
      <c r="O503" s="2" t="s">
        <v>1627</v>
      </c>
      <c r="P503" s="2" t="s">
        <v>51</v>
      </c>
      <c r="Q503" s="2" t="s">
        <v>41</v>
      </c>
      <c r="R503" s="2" t="n">
        <v>6</v>
      </c>
      <c r="S503" s="2" t="n">
        <v>3497.54</v>
      </c>
      <c r="T503" s="2" t="n">
        <v>0.15</v>
      </c>
      <c r="U503" s="2" t="str">
        <f aca="false">IF(ISBLANK(T503),"Yes","No")</f>
        <v>No</v>
      </c>
      <c r="V503" s="2" t="n">
        <f aca="false">IF(ISBLANK(T503),0,IF(ISNUMBER(T503),T503,VALUE(LEFT(T503,LEN(T503)-1))/100))</f>
        <v>0.15</v>
      </c>
      <c r="W503" s="2" t="str">
        <f aca="false">IF(AND(V503&gt;=0,V503&lt;=0.25),"Valid","Invalid")</f>
        <v>Valid</v>
      </c>
      <c r="X503" s="2" t="n">
        <v>17837.45</v>
      </c>
      <c r="Y503" s="2" t="n">
        <f aca="false">R503*S503*(1-V503)</f>
        <v>17837.454</v>
      </c>
      <c r="Z503" s="2" t="str">
        <f aca="false">IF(ABS(X503-Y503)&gt;1,"Mismatch","OK")</f>
        <v>OK</v>
      </c>
      <c r="AA503" s="2" t="n">
        <v>13627.02</v>
      </c>
      <c r="AB503" s="2" t="n">
        <v>4210.43</v>
      </c>
      <c r="AC503" s="2" t="n">
        <f aca="false">Y503-AA503</f>
        <v>4210.434</v>
      </c>
      <c r="AD503" s="2" t="str">
        <f aca="false">IF(ABS(AB503-AC503)&gt;1,"Mismatch","OK")</f>
        <v>OK</v>
      </c>
      <c r="AE503" s="4" t="n">
        <f aca="false">IF(Y503=0,0,AC503/Y503)</f>
        <v>0.236044561067964</v>
      </c>
      <c r="AF503" s="2" t="s">
        <v>52</v>
      </c>
      <c r="AG503" s="2" t="s">
        <v>53</v>
      </c>
      <c r="AH503" s="2" t="str">
        <f aca="false">IF(AND(AG503="Completed",AF503&lt;&gt;"Paid"),"Inconsistent","OK")</f>
        <v>OK</v>
      </c>
      <c r="AI503" s="2" t="n">
        <f aca="false">IF(OR(ISBLANK(B503),ISBLANK(C503)),"",C503-B503)</f>
        <v>6</v>
      </c>
      <c r="AJ503" s="2" t="str">
        <f aca="false">IF(AI503="","Unknown",IF(AI503&lt;0,"Invalid","OK"))</f>
        <v>OK</v>
      </c>
      <c r="AK503" s="2" t="str">
        <f aca="false">IF(ISBLANK(B503),"",TEXT(B503,"mmm"))</f>
        <v>Aug</v>
      </c>
      <c r="AL503" s="2" t="n">
        <f aca="false">IF(ISBLANK(B503),"",YEAR(B503))</f>
        <v>2024</v>
      </c>
      <c r="AM503" s="2" t="s">
        <v>41</v>
      </c>
      <c r="AN503" s="2" t="str">
        <f aca="false">IF(OR(W503="Invalid",AJ503="Invalid",AH503="Inconsistent",Z503="Mismatch",AD503="Mismatch",AM503="Yes",D503="Yes",E503="Yes"),"Invalid",IF(OR(J503="Yes",Q503="Yes",U503="Yes"),"Warning","Clean"))</f>
        <v>Clean</v>
      </c>
    </row>
    <row r="504" customFormat="false" ht="15" hidden="false" customHeight="false" outlineLevel="0" collapsed="false">
      <c r="A504" s="2" t="s">
        <v>1628</v>
      </c>
      <c r="B504" s="3" t="n">
        <v>45383</v>
      </c>
      <c r="C504" s="3" t="n">
        <v>45391</v>
      </c>
      <c r="D504" s="2" t="s">
        <v>41</v>
      </c>
      <c r="E504" s="2" t="s">
        <v>41</v>
      </c>
      <c r="F504" s="2" t="s">
        <v>1629</v>
      </c>
      <c r="G504" s="2" t="s">
        <v>134</v>
      </c>
      <c r="H504" s="2" t="s">
        <v>57</v>
      </c>
      <c r="I504" s="2" t="s">
        <v>58</v>
      </c>
      <c r="J504" s="2" t="s">
        <v>41</v>
      </c>
      <c r="K504" s="2" t="s">
        <v>59</v>
      </c>
      <c r="L504" s="2" t="s">
        <v>60</v>
      </c>
      <c r="M504" s="2" t="s">
        <v>94</v>
      </c>
      <c r="N504" s="2" t="s">
        <v>100</v>
      </c>
      <c r="O504" s="2" t="s">
        <v>1630</v>
      </c>
      <c r="P504" s="2" t="s">
        <v>51</v>
      </c>
      <c r="Q504" s="2" t="s">
        <v>41</v>
      </c>
      <c r="R504" s="2" t="n">
        <v>6</v>
      </c>
      <c r="S504" s="2" t="n">
        <v>826.93</v>
      </c>
      <c r="T504" s="2" t="n">
        <v>0.1</v>
      </c>
      <c r="U504" s="2" t="str">
        <f aca="false">IF(ISBLANK(T504),"Yes","No")</f>
        <v>No</v>
      </c>
      <c r="V504" s="2" t="n">
        <f aca="false">IF(ISBLANK(T504),0,IF(ISNUMBER(T504),T504,VALUE(LEFT(T504,LEN(T504)-1))/100))</f>
        <v>0.1</v>
      </c>
      <c r="W504" s="2" t="str">
        <f aca="false">IF(AND(V504&gt;=0,V504&lt;=0.25),"Valid","Invalid")</f>
        <v>Valid</v>
      </c>
      <c r="X504" s="2" t="n">
        <v>4465.42</v>
      </c>
      <c r="Y504" s="2" t="n">
        <f aca="false">R504*S504*(1-V504)</f>
        <v>4465.422</v>
      </c>
      <c r="Z504" s="2" t="str">
        <f aca="false">IF(ABS(X504-Y504)&gt;1,"Mismatch","OK")</f>
        <v>OK</v>
      </c>
      <c r="AA504" s="2" t="n">
        <v>3377.1</v>
      </c>
      <c r="AB504" s="2" t="n">
        <v>1088.32</v>
      </c>
      <c r="AC504" s="2" t="n">
        <f aca="false">Y504-AA504</f>
        <v>1088.322</v>
      </c>
      <c r="AD504" s="2" t="str">
        <f aca="false">IF(ABS(AB504-AC504)&gt;1,"Mismatch","OK")</f>
        <v>OK</v>
      </c>
      <c r="AE504" s="4" t="n">
        <f aca="false">IF(Y504=0,0,AC504/Y504)</f>
        <v>0.243722093902883</v>
      </c>
      <c r="AF504" s="2" t="s">
        <v>52</v>
      </c>
      <c r="AG504" s="2" t="s">
        <v>53</v>
      </c>
      <c r="AH504" s="2" t="str">
        <f aca="false">IF(AND(AG504="Completed",AF504&lt;&gt;"Paid"),"Inconsistent","OK")</f>
        <v>OK</v>
      </c>
      <c r="AI504" s="2" t="n">
        <f aca="false">IF(OR(ISBLANK(B504),ISBLANK(C504)),"",C504-B504)</f>
        <v>8</v>
      </c>
      <c r="AJ504" s="2" t="str">
        <f aca="false">IF(AI504="","Unknown",IF(AI504&lt;0,"Invalid","OK"))</f>
        <v>OK</v>
      </c>
      <c r="AK504" s="2" t="str">
        <f aca="false">IF(ISBLANK(B504),"",TEXT(B504,"mmm"))</f>
        <v>Apr</v>
      </c>
      <c r="AL504" s="2" t="n">
        <f aca="false">IF(ISBLANK(B504),"",YEAR(B504))</f>
        <v>2024</v>
      </c>
      <c r="AM504" s="2" t="s">
        <v>41</v>
      </c>
      <c r="AN504" s="2" t="str">
        <f aca="false">IF(OR(W504="Invalid",AJ504="Invalid",AH504="Inconsistent",Z504="Mismatch",AD504="Mismatch",AM504="Yes",D504="Yes",E504="Yes"),"Invalid",IF(OR(J504="Yes",Q504="Yes",U504="Yes"),"Warning","Clean"))</f>
        <v>Clean</v>
      </c>
    </row>
    <row r="505" customFormat="false" ht="15" hidden="false" customHeight="false" outlineLevel="0" collapsed="false">
      <c r="A505" s="2" t="s">
        <v>1631</v>
      </c>
      <c r="B505" s="3" t="n">
        <v>45563</v>
      </c>
      <c r="C505" s="3" t="n">
        <v>45570</v>
      </c>
      <c r="D505" s="2" t="s">
        <v>41</v>
      </c>
      <c r="E505" s="2" t="s">
        <v>41</v>
      </c>
      <c r="F505" s="2" t="s">
        <v>1632</v>
      </c>
      <c r="G505" s="2" t="s">
        <v>148</v>
      </c>
      <c r="H505" s="2" t="s">
        <v>44</v>
      </c>
      <c r="I505" s="2" t="s">
        <v>74</v>
      </c>
      <c r="J505" s="2" t="s">
        <v>41</v>
      </c>
      <c r="K505" s="2" t="s">
        <v>269</v>
      </c>
      <c r="L505" s="2" t="s">
        <v>270</v>
      </c>
      <c r="M505" s="2" t="s">
        <v>94</v>
      </c>
      <c r="N505" s="2" t="s">
        <v>191</v>
      </c>
      <c r="O505" s="2" t="s">
        <v>1633</v>
      </c>
      <c r="P505" s="2" t="s">
        <v>79</v>
      </c>
      <c r="Q505" s="2" t="s">
        <v>41</v>
      </c>
      <c r="R505" s="2" t="n">
        <v>7</v>
      </c>
      <c r="S505" s="2" t="n">
        <v>1681.6</v>
      </c>
      <c r="T505" s="2" t="n">
        <v>0.1</v>
      </c>
      <c r="U505" s="2" t="str">
        <f aca="false">IF(ISBLANK(T505),"Yes","No")</f>
        <v>No</v>
      </c>
      <c r="V505" s="2" t="n">
        <f aca="false">IF(ISBLANK(T505),0,IF(ISNUMBER(T505),T505,VALUE(LEFT(T505,LEN(T505)-1))/100))</f>
        <v>0.1</v>
      </c>
      <c r="W505" s="2" t="str">
        <f aca="false">IF(AND(V505&gt;=0,V505&lt;=0.25),"Valid","Invalid")</f>
        <v>Valid</v>
      </c>
      <c r="X505" s="2" t="n">
        <v>10594.08</v>
      </c>
      <c r="Y505" s="2" t="n">
        <f aca="false">R505*S505*(1-V505)</f>
        <v>10594.08</v>
      </c>
      <c r="Z505" s="2" t="str">
        <f aca="false">IF(ABS(X505-Y505)&gt;1,"Mismatch","OK")</f>
        <v>OK</v>
      </c>
      <c r="AA505" s="2" t="n">
        <v>7160.31</v>
      </c>
      <c r="AB505" s="2" t="n">
        <v>3433.77</v>
      </c>
      <c r="AC505" s="2" t="n">
        <f aca="false">Y505-AA505</f>
        <v>3433.77</v>
      </c>
      <c r="AD505" s="2" t="str">
        <f aca="false">IF(ABS(AB505-AC505)&gt;1,"Mismatch","OK")</f>
        <v>OK</v>
      </c>
      <c r="AE505" s="4" t="n">
        <f aca="false">IF(Y505=0,0,AC505/Y505)</f>
        <v>0.324121584885143</v>
      </c>
      <c r="AF505" s="2" t="s">
        <v>52</v>
      </c>
      <c r="AG505" s="2" t="s">
        <v>53</v>
      </c>
      <c r="AH505" s="2" t="str">
        <f aca="false">IF(AND(AG505="Completed",AF505&lt;&gt;"Paid"),"Inconsistent","OK")</f>
        <v>OK</v>
      </c>
      <c r="AI505" s="2" t="n">
        <f aca="false">IF(OR(ISBLANK(B505),ISBLANK(C505)),"",C505-B505)</f>
        <v>7</v>
      </c>
      <c r="AJ505" s="2" t="str">
        <f aca="false">IF(AI505="","Unknown",IF(AI505&lt;0,"Invalid","OK"))</f>
        <v>OK</v>
      </c>
      <c r="AK505" s="2" t="str">
        <f aca="false">IF(ISBLANK(B505),"",TEXT(B505,"mmm"))</f>
        <v>Sep</v>
      </c>
      <c r="AL505" s="2" t="n">
        <f aca="false">IF(ISBLANK(B505),"",YEAR(B505))</f>
        <v>2024</v>
      </c>
      <c r="AM505" s="2" t="s">
        <v>41</v>
      </c>
      <c r="AN505" s="2" t="str">
        <f aca="false">IF(OR(W505="Invalid",AJ505="Invalid",AH505="Inconsistent",Z505="Mismatch",AD505="Mismatch",AM505="Yes",D505="Yes",E505="Yes"),"Invalid",IF(OR(J505="Yes",Q505="Yes",U505="Yes"),"Warning","Clean"))</f>
        <v>Clean</v>
      </c>
    </row>
    <row r="506" customFormat="false" ht="15" hidden="false" customHeight="false" outlineLevel="0" collapsed="false">
      <c r="A506" s="2" t="s">
        <v>1634</v>
      </c>
      <c r="B506" s="3" t="n">
        <v>45700</v>
      </c>
      <c r="C506" s="3" t="n">
        <v>45705</v>
      </c>
      <c r="D506" s="2" t="s">
        <v>41</v>
      </c>
      <c r="E506" s="2" t="s">
        <v>41</v>
      </c>
      <c r="F506" s="2" t="s">
        <v>1635</v>
      </c>
      <c r="G506" s="2" t="s">
        <v>73</v>
      </c>
      <c r="H506" s="2" t="s">
        <v>110</v>
      </c>
      <c r="I506" s="2" t="s">
        <v>83</v>
      </c>
      <c r="J506" s="2" t="s">
        <v>41</v>
      </c>
      <c r="K506" s="2" t="s">
        <v>200</v>
      </c>
      <c r="L506" s="2" t="s">
        <v>201</v>
      </c>
      <c r="M506" s="2" t="s">
        <v>48</v>
      </c>
      <c r="N506" s="2" t="s">
        <v>68</v>
      </c>
      <c r="O506" s="2" t="s">
        <v>1636</v>
      </c>
      <c r="P506" s="2" t="s">
        <v>79</v>
      </c>
      <c r="Q506" s="2" t="s">
        <v>41</v>
      </c>
      <c r="R506" s="2" t="n">
        <v>4</v>
      </c>
      <c r="S506" s="2" t="n">
        <v>4328.12</v>
      </c>
      <c r="T506" s="2" t="n">
        <v>0</v>
      </c>
      <c r="U506" s="2" t="str">
        <f aca="false">IF(ISBLANK(T506),"Yes","No")</f>
        <v>No</v>
      </c>
      <c r="V506" s="2" t="n">
        <f aca="false">IF(ISBLANK(T506),0,IF(ISNUMBER(T506),T506,VALUE(LEFT(T506,LEN(T506)-1))/100))</f>
        <v>0</v>
      </c>
      <c r="W506" s="2" t="str">
        <f aca="false">IF(AND(V506&gt;=0,V506&lt;=0.25),"Valid","Invalid")</f>
        <v>Valid</v>
      </c>
      <c r="X506" s="2" t="n">
        <v>17312.48</v>
      </c>
      <c r="Y506" s="2" t="n">
        <f aca="false">R506*S506*(1-V506)</f>
        <v>17312.48</v>
      </c>
      <c r="Z506" s="2" t="str">
        <f aca="false">IF(ABS(X506-Y506)&gt;1,"Mismatch","OK")</f>
        <v>OK</v>
      </c>
      <c r="AA506" s="2" t="n">
        <v>14424.22</v>
      </c>
      <c r="AB506" s="2" t="n">
        <v>2888.26</v>
      </c>
      <c r="AC506" s="2" t="n">
        <f aca="false">Y506-AA506</f>
        <v>2888.26</v>
      </c>
      <c r="AD506" s="2" t="str">
        <f aca="false">IF(ABS(AB506-AC506)&gt;1,"Mismatch","OK")</f>
        <v>OK</v>
      </c>
      <c r="AE506" s="4" t="n">
        <f aca="false">IF(Y506=0,0,AC506/Y506)</f>
        <v>0.166831095256139</v>
      </c>
      <c r="AF506" s="2" t="s">
        <v>52</v>
      </c>
      <c r="AG506" s="2" t="s">
        <v>53</v>
      </c>
      <c r="AH506" s="2" t="str">
        <f aca="false">IF(AND(AG506="Completed",AF506&lt;&gt;"Paid"),"Inconsistent","OK")</f>
        <v>OK</v>
      </c>
      <c r="AI506" s="2" t="n">
        <f aca="false">IF(OR(ISBLANK(B506),ISBLANK(C506)),"",C506-B506)</f>
        <v>5</v>
      </c>
      <c r="AJ506" s="2" t="str">
        <f aca="false">IF(AI506="","Unknown",IF(AI506&lt;0,"Invalid","OK"))</f>
        <v>OK</v>
      </c>
      <c r="AK506" s="2" t="str">
        <f aca="false">IF(ISBLANK(B506),"",TEXT(B506,"mmm"))</f>
        <v>Feb</v>
      </c>
      <c r="AL506" s="2" t="n">
        <f aca="false">IF(ISBLANK(B506),"",YEAR(B506))</f>
        <v>2025</v>
      </c>
      <c r="AM506" s="2" t="s">
        <v>41</v>
      </c>
      <c r="AN506" s="2" t="str">
        <f aca="false">IF(OR(W506="Invalid",AJ506="Invalid",AH506="Inconsistent",Z506="Mismatch",AD506="Mismatch",AM506="Yes",D506="Yes",E506="Yes"),"Invalid",IF(OR(J506="Yes",Q506="Yes",U506="Yes"),"Warning","Clean"))</f>
        <v>Clean</v>
      </c>
    </row>
    <row r="507" customFormat="false" ht="15" hidden="false" customHeight="false" outlineLevel="0" collapsed="false">
      <c r="A507" s="2" t="s">
        <v>1637</v>
      </c>
      <c r="B507" s="3" t="n">
        <v>45605</v>
      </c>
      <c r="C507" s="3" t="n">
        <v>45610</v>
      </c>
      <c r="D507" s="2" t="s">
        <v>41</v>
      </c>
      <c r="E507" s="2" t="s">
        <v>41</v>
      </c>
      <c r="F507" s="2" t="s">
        <v>1638</v>
      </c>
      <c r="G507" s="2" t="s">
        <v>99</v>
      </c>
      <c r="H507" s="2" t="s">
        <v>110</v>
      </c>
      <c r="I507" s="2" t="s">
        <v>83</v>
      </c>
      <c r="J507" s="2" t="s">
        <v>41</v>
      </c>
      <c r="K507" s="2" t="s">
        <v>92</v>
      </c>
      <c r="L507" s="2" t="s">
        <v>93</v>
      </c>
      <c r="M507" s="2" t="s">
        <v>48</v>
      </c>
      <c r="N507" s="2" t="s">
        <v>68</v>
      </c>
      <c r="O507" s="2" t="s">
        <v>1639</v>
      </c>
      <c r="P507" s="2" t="s">
        <v>70</v>
      </c>
      <c r="Q507" s="2" t="s">
        <v>41</v>
      </c>
      <c r="R507" s="2" t="n">
        <v>9</v>
      </c>
      <c r="S507" s="2" t="n">
        <v>2438.29</v>
      </c>
      <c r="T507" s="2" t="n">
        <v>0.2</v>
      </c>
      <c r="U507" s="2" t="str">
        <f aca="false">IF(ISBLANK(T507),"Yes","No")</f>
        <v>No</v>
      </c>
      <c r="V507" s="2" t="n">
        <f aca="false">IF(ISBLANK(T507),0,IF(ISNUMBER(T507),T507,VALUE(LEFT(T507,LEN(T507)-1))/100))</f>
        <v>0.2</v>
      </c>
      <c r="W507" s="2" t="str">
        <f aca="false">IF(AND(V507&gt;=0,V507&lt;=0.25),"Valid","Invalid")</f>
        <v>Valid</v>
      </c>
      <c r="X507" s="2" t="n">
        <v>17555.69</v>
      </c>
      <c r="Y507" s="2" t="n">
        <f aca="false">R507*S507*(1-V507)</f>
        <v>17555.688</v>
      </c>
      <c r="Z507" s="2" t="str">
        <f aca="false">IF(ABS(X507-Y507)&gt;1,"Mismatch","OK")</f>
        <v>OK</v>
      </c>
      <c r="AA507" s="2" t="n">
        <v>13293.2</v>
      </c>
      <c r="AB507" s="2" t="n">
        <v>4262.49</v>
      </c>
      <c r="AC507" s="2" t="n">
        <f aca="false">Y507-AA507</f>
        <v>4262.488</v>
      </c>
      <c r="AD507" s="2" t="str">
        <f aca="false">IF(ABS(AB507-AC507)&gt;1,"Mismatch","OK")</f>
        <v>OK</v>
      </c>
      <c r="AE507" s="4" t="n">
        <f aca="false">IF(Y507=0,0,AC507/Y507)</f>
        <v>0.242798117624328</v>
      </c>
      <c r="AF507" s="2" t="s">
        <v>52</v>
      </c>
      <c r="AG507" s="2" t="s">
        <v>88</v>
      </c>
      <c r="AH507" s="2" t="str">
        <f aca="false">IF(AND(AG507="Completed",AF507&lt;&gt;"Paid"),"Inconsistent","OK")</f>
        <v>OK</v>
      </c>
      <c r="AI507" s="2" t="n">
        <f aca="false">IF(OR(ISBLANK(B507),ISBLANK(C507)),"",C507-B507)</f>
        <v>5</v>
      </c>
      <c r="AJ507" s="2" t="str">
        <f aca="false">IF(AI507="","Unknown",IF(AI507&lt;0,"Invalid","OK"))</f>
        <v>OK</v>
      </c>
      <c r="AK507" s="2" t="str">
        <f aca="false">IF(ISBLANK(B507),"",TEXT(B507,"mmm"))</f>
        <v>Nov</v>
      </c>
      <c r="AL507" s="2" t="n">
        <f aca="false">IF(ISBLANK(B507),"",YEAR(B507))</f>
        <v>2024</v>
      </c>
      <c r="AM507" s="2" t="s">
        <v>41</v>
      </c>
      <c r="AN507" s="2" t="str">
        <f aca="false">IF(OR(W507="Invalid",AJ507="Invalid",AH507="Inconsistent",Z507="Mismatch",AD507="Mismatch",AM507="Yes",D507="Yes",E507="Yes"),"Invalid",IF(OR(J507="Yes",Q507="Yes",U507="Yes"),"Warning","Clean"))</f>
        <v>Clean</v>
      </c>
    </row>
    <row r="508" customFormat="false" ht="15" hidden="false" customHeight="false" outlineLevel="0" collapsed="false">
      <c r="A508" s="2" t="s">
        <v>1640</v>
      </c>
      <c r="B508" s="3" t="n">
        <v>45641</v>
      </c>
      <c r="C508" s="3" t="n">
        <v>45641</v>
      </c>
      <c r="D508" s="2" t="s">
        <v>41</v>
      </c>
      <c r="E508" s="2" t="s">
        <v>41</v>
      </c>
      <c r="F508" s="2" t="s">
        <v>1641</v>
      </c>
      <c r="G508" s="2" t="s">
        <v>148</v>
      </c>
      <c r="H508" s="2" t="s">
        <v>57</v>
      </c>
      <c r="I508" s="2" t="s">
        <v>45</v>
      </c>
      <c r="J508" s="2" t="s">
        <v>41</v>
      </c>
      <c r="K508" s="2" t="s">
        <v>142</v>
      </c>
      <c r="L508" s="2" t="s">
        <v>143</v>
      </c>
      <c r="M508" s="2" t="s">
        <v>61</v>
      </c>
      <c r="N508" s="2" t="s">
        <v>77</v>
      </c>
      <c r="O508" s="2" t="s">
        <v>1642</v>
      </c>
      <c r="P508" s="2" t="s">
        <v>70</v>
      </c>
      <c r="Q508" s="2" t="s">
        <v>41</v>
      </c>
      <c r="R508" s="2" t="n">
        <v>2</v>
      </c>
      <c r="S508" s="2" t="n">
        <v>669.8</v>
      </c>
      <c r="T508" s="2" t="n">
        <v>0.1</v>
      </c>
      <c r="U508" s="2" t="str">
        <f aca="false">IF(ISBLANK(T508),"Yes","No")</f>
        <v>No</v>
      </c>
      <c r="V508" s="2" t="n">
        <f aca="false">IF(ISBLANK(T508),0,IF(ISNUMBER(T508),T508,VALUE(LEFT(T508,LEN(T508)-1))/100))</f>
        <v>0.1</v>
      </c>
      <c r="W508" s="2" t="str">
        <f aca="false">IF(AND(V508&gt;=0,V508&lt;=0.25),"Valid","Invalid")</f>
        <v>Valid</v>
      </c>
      <c r="X508" s="2" t="n">
        <v>1205.64</v>
      </c>
      <c r="Y508" s="2" t="n">
        <f aca="false">R508*S508*(1-V508)</f>
        <v>1205.64</v>
      </c>
      <c r="Z508" s="2" t="str">
        <f aca="false">IF(ABS(X508-Y508)&gt;1,"Mismatch","OK")</f>
        <v>OK</v>
      </c>
      <c r="AA508" s="2" t="n">
        <v>842.07</v>
      </c>
      <c r="AB508" s="2" t="n">
        <v>363.57</v>
      </c>
      <c r="AC508" s="2" t="n">
        <f aca="false">Y508-AA508</f>
        <v>363.57</v>
      </c>
      <c r="AD508" s="2" t="str">
        <f aca="false">IF(ABS(AB508-AC508)&gt;1,"Mismatch","OK")</f>
        <v>OK</v>
      </c>
      <c r="AE508" s="4" t="n">
        <f aca="false">IF(Y508=0,0,AC508/Y508)</f>
        <v>0.301557678909127</v>
      </c>
      <c r="AF508" s="2" t="s">
        <v>122</v>
      </c>
      <c r="AG508" s="2" t="s">
        <v>123</v>
      </c>
      <c r="AH508" s="2" t="str">
        <f aca="false">IF(AND(AG508="Completed",AF508&lt;&gt;"Paid"),"Inconsistent","OK")</f>
        <v>OK</v>
      </c>
      <c r="AI508" s="2" t="n">
        <f aca="false">IF(OR(ISBLANK(B508),ISBLANK(C508)),"",C508-B508)</f>
        <v>0</v>
      </c>
      <c r="AJ508" s="2" t="str">
        <f aca="false">IF(AI508="","Unknown",IF(AI508&lt;0,"Invalid","OK"))</f>
        <v>OK</v>
      </c>
      <c r="AK508" s="2" t="str">
        <f aca="false">IF(ISBLANK(B508),"",TEXT(B508,"mmm"))</f>
        <v>Dec</v>
      </c>
      <c r="AL508" s="2" t="n">
        <f aca="false">IF(ISBLANK(B508),"",YEAR(B508))</f>
        <v>2024</v>
      </c>
      <c r="AM508" s="2" t="s">
        <v>41</v>
      </c>
      <c r="AN508" s="2" t="str">
        <f aca="false">IF(OR(W508="Invalid",AJ508="Invalid",AH508="Inconsistent",Z508="Mismatch",AD508="Mismatch",AM508="Yes",D508="Yes",E508="Yes"),"Invalid",IF(OR(J508="Yes",Q508="Yes",U508="Yes"),"Warning","Clean"))</f>
        <v>Clean</v>
      </c>
    </row>
    <row r="509" customFormat="false" ht="15" hidden="false" customHeight="false" outlineLevel="0" collapsed="false">
      <c r="A509" s="2" t="s">
        <v>1643</v>
      </c>
      <c r="B509" s="3" t="n">
        <v>45762</v>
      </c>
      <c r="C509" s="3" t="n">
        <v>45769</v>
      </c>
      <c r="D509" s="2" t="s">
        <v>41</v>
      </c>
      <c r="E509" s="2" t="s">
        <v>41</v>
      </c>
      <c r="F509" s="2" t="s">
        <v>1644</v>
      </c>
      <c r="G509" s="2" t="s">
        <v>67</v>
      </c>
      <c r="H509" s="2" t="s">
        <v>57</v>
      </c>
      <c r="I509" s="2" t="s">
        <v>45</v>
      </c>
      <c r="J509" s="2" t="s">
        <v>41</v>
      </c>
      <c r="K509" s="2" t="s">
        <v>258</v>
      </c>
      <c r="L509" s="2" t="s">
        <v>259</v>
      </c>
      <c r="M509" s="2" t="s">
        <v>48</v>
      </c>
      <c r="N509" s="2" t="s">
        <v>173</v>
      </c>
      <c r="O509" s="2" t="s">
        <v>1645</v>
      </c>
      <c r="P509" s="2" t="s">
        <v>64</v>
      </c>
      <c r="Q509" s="2" t="s">
        <v>41</v>
      </c>
      <c r="R509" s="2" t="n">
        <v>4</v>
      </c>
      <c r="S509" s="2" t="n">
        <v>2990.42</v>
      </c>
      <c r="T509" s="2" t="n">
        <v>0.25</v>
      </c>
      <c r="U509" s="2" t="str">
        <f aca="false">IF(ISBLANK(T509),"Yes","No")</f>
        <v>No</v>
      </c>
      <c r="V509" s="2" t="n">
        <f aca="false">IF(ISBLANK(T509),0,IF(ISNUMBER(T509),T509,VALUE(LEFT(T509,LEN(T509)-1))/100))</f>
        <v>0.25</v>
      </c>
      <c r="W509" s="2" t="str">
        <f aca="false">IF(AND(V509&gt;=0,V509&lt;=0.25),"Valid","Invalid")</f>
        <v>Valid</v>
      </c>
      <c r="X509" s="2" t="n">
        <v>8971.26</v>
      </c>
      <c r="Y509" s="2" t="n">
        <f aca="false">R509*S509*(1-V509)</f>
        <v>8971.26</v>
      </c>
      <c r="Z509" s="2" t="str">
        <f aca="false">IF(ABS(X509-Y509)&gt;1,"Mismatch","OK")</f>
        <v>OK</v>
      </c>
      <c r="AA509" s="2" t="n">
        <v>6814.35</v>
      </c>
      <c r="AB509" s="2" t="n">
        <v>2156.91</v>
      </c>
      <c r="AC509" s="2" t="n">
        <f aca="false">Y509-AA509</f>
        <v>2156.91</v>
      </c>
      <c r="AD509" s="2" t="str">
        <f aca="false">IF(ABS(AB509-AC509)&gt;1,"Mismatch","OK")</f>
        <v>OK</v>
      </c>
      <c r="AE509" s="4" t="n">
        <f aca="false">IF(Y509=0,0,AC509/Y509)</f>
        <v>0.240424421987547</v>
      </c>
      <c r="AF509" s="2" t="s">
        <v>52</v>
      </c>
      <c r="AG509" s="2" t="s">
        <v>53</v>
      </c>
      <c r="AH509" s="2" t="str">
        <f aca="false">IF(AND(AG509="Completed",AF509&lt;&gt;"Paid"),"Inconsistent","OK")</f>
        <v>OK</v>
      </c>
      <c r="AI509" s="2" t="n">
        <f aca="false">IF(OR(ISBLANK(B509),ISBLANK(C509)),"",C509-B509)</f>
        <v>7</v>
      </c>
      <c r="AJ509" s="2" t="str">
        <f aca="false">IF(AI509="","Unknown",IF(AI509&lt;0,"Invalid","OK"))</f>
        <v>OK</v>
      </c>
      <c r="AK509" s="2" t="str">
        <f aca="false">IF(ISBLANK(B509),"",TEXT(B509,"mmm"))</f>
        <v>Apr</v>
      </c>
      <c r="AL509" s="2" t="n">
        <f aca="false">IF(ISBLANK(B509),"",YEAR(B509))</f>
        <v>2025</v>
      </c>
      <c r="AM509" s="2" t="s">
        <v>41</v>
      </c>
      <c r="AN509" s="2" t="str">
        <f aca="false">IF(OR(W509="Invalid",AJ509="Invalid",AH509="Inconsistent",Z509="Mismatch",AD509="Mismatch",AM509="Yes",D509="Yes",E509="Yes"),"Invalid",IF(OR(J509="Yes",Q509="Yes",U509="Yes"),"Warning","Clean"))</f>
        <v>Clean</v>
      </c>
    </row>
    <row r="510" customFormat="false" ht="15" hidden="false" customHeight="false" outlineLevel="0" collapsed="false">
      <c r="A510" s="2" t="s">
        <v>1646</v>
      </c>
      <c r="B510" s="3" t="n">
        <v>45382</v>
      </c>
      <c r="C510" s="3" t="n">
        <v>45389</v>
      </c>
      <c r="D510" s="2" t="s">
        <v>41</v>
      </c>
      <c r="E510" s="2" t="s">
        <v>41</v>
      </c>
      <c r="F510" s="2" t="s">
        <v>1647</v>
      </c>
      <c r="G510" s="2" t="s">
        <v>67</v>
      </c>
      <c r="H510" s="2" t="s">
        <v>57</v>
      </c>
      <c r="I510" s="2" t="s">
        <v>45</v>
      </c>
      <c r="J510" s="2" t="s">
        <v>41</v>
      </c>
      <c r="K510" s="2" t="s">
        <v>258</v>
      </c>
      <c r="L510" s="2" t="s">
        <v>259</v>
      </c>
      <c r="M510" s="2" t="s">
        <v>94</v>
      </c>
      <c r="N510" s="2" t="s">
        <v>296</v>
      </c>
      <c r="O510" s="2" t="s">
        <v>1648</v>
      </c>
      <c r="P510" s="2" t="s">
        <v>51</v>
      </c>
      <c r="Q510" s="2" t="s">
        <v>41</v>
      </c>
      <c r="R510" s="2" t="n">
        <v>4</v>
      </c>
      <c r="S510" s="2" t="n">
        <v>1831</v>
      </c>
      <c r="T510" s="2" t="n">
        <v>0</v>
      </c>
      <c r="U510" s="2" t="str">
        <f aca="false">IF(ISBLANK(T510),"Yes","No")</f>
        <v>No</v>
      </c>
      <c r="V510" s="2" t="n">
        <f aca="false">IF(ISBLANK(T510),0,IF(ISNUMBER(T510),T510,VALUE(LEFT(T510,LEN(T510)-1))/100))</f>
        <v>0</v>
      </c>
      <c r="W510" s="2" t="str">
        <f aca="false">IF(AND(V510&gt;=0,V510&lt;=0.25),"Valid","Invalid")</f>
        <v>Valid</v>
      </c>
      <c r="X510" s="2" t="n">
        <v>7324</v>
      </c>
      <c r="Y510" s="2" t="n">
        <f aca="false">R510*S510*(1-V510)</f>
        <v>7324</v>
      </c>
      <c r="Z510" s="2" t="str">
        <f aca="false">IF(ABS(X510-Y510)&gt;1,"Mismatch","OK")</f>
        <v>OK</v>
      </c>
      <c r="AA510" s="2" t="n">
        <v>4179.63</v>
      </c>
      <c r="AB510" s="2" t="n">
        <v>3144.37</v>
      </c>
      <c r="AC510" s="2" t="n">
        <f aca="false">Y510-AA510</f>
        <v>3144.37</v>
      </c>
      <c r="AD510" s="2" t="str">
        <f aca="false">IF(ABS(AB510-AC510)&gt;1,"Mismatch","OK")</f>
        <v>OK</v>
      </c>
      <c r="AE510" s="4" t="n">
        <f aca="false">IF(Y510=0,0,AC510/Y510)</f>
        <v>0.429324139814309</v>
      </c>
      <c r="AF510" s="2" t="s">
        <v>52</v>
      </c>
      <c r="AG510" s="2" t="s">
        <v>53</v>
      </c>
      <c r="AH510" s="2" t="str">
        <f aca="false">IF(AND(AG510="Completed",AF510&lt;&gt;"Paid"),"Inconsistent","OK")</f>
        <v>OK</v>
      </c>
      <c r="AI510" s="2" t="n">
        <f aca="false">IF(OR(ISBLANK(B510),ISBLANK(C510)),"",C510-B510)</f>
        <v>7</v>
      </c>
      <c r="AJ510" s="2" t="str">
        <f aca="false">IF(AI510="","Unknown",IF(AI510&lt;0,"Invalid","OK"))</f>
        <v>OK</v>
      </c>
      <c r="AK510" s="2" t="str">
        <f aca="false">IF(ISBLANK(B510),"",TEXT(B510,"mmm"))</f>
        <v>Mar</v>
      </c>
      <c r="AL510" s="2" t="n">
        <f aca="false">IF(ISBLANK(B510),"",YEAR(B510))</f>
        <v>2024</v>
      </c>
      <c r="AM510" s="2" t="s">
        <v>41</v>
      </c>
      <c r="AN510" s="2" t="str">
        <f aca="false">IF(OR(W510="Invalid",AJ510="Invalid",AH510="Inconsistent",Z510="Mismatch",AD510="Mismatch",AM510="Yes",D510="Yes",E510="Yes"),"Invalid",IF(OR(J510="Yes",Q510="Yes",U510="Yes"),"Warning","Clean"))</f>
        <v>Clean</v>
      </c>
    </row>
    <row r="511" customFormat="false" ht="15" hidden="false" customHeight="false" outlineLevel="0" collapsed="false">
      <c r="A511" s="2" t="s">
        <v>1649</v>
      </c>
      <c r="B511" s="3" t="n">
        <v>45789</v>
      </c>
      <c r="C511" s="3" t="n">
        <v>45791</v>
      </c>
      <c r="D511" s="2" t="s">
        <v>41</v>
      </c>
      <c r="E511" s="2" t="s">
        <v>41</v>
      </c>
      <c r="F511" s="2" t="s">
        <v>1650</v>
      </c>
      <c r="G511" s="2" t="s">
        <v>99</v>
      </c>
      <c r="H511" s="2" t="s">
        <v>44</v>
      </c>
      <c r="I511" s="2" t="s">
        <v>83</v>
      </c>
      <c r="J511" s="2" t="s">
        <v>41</v>
      </c>
      <c r="K511" s="2" t="s">
        <v>200</v>
      </c>
      <c r="L511" s="2" t="s">
        <v>201</v>
      </c>
      <c r="M511" s="2" t="s">
        <v>94</v>
      </c>
      <c r="N511" s="2" t="s">
        <v>296</v>
      </c>
      <c r="O511" s="2" t="s">
        <v>1651</v>
      </c>
      <c r="P511" s="2" t="s">
        <v>64</v>
      </c>
      <c r="Q511" s="2" t="s">
        <v>41</v>
      </c>
      <c r="R511" s="2" t="n">
        <v>8</v>
      </c>
      <c r="S511" s="2" t="n">
        <v>3631.44</v>
      </c>
      <c r="T511" s="2" t="n">
        <v>0.2</v>
      </c>
      <c r="U511" s="2" t="str">
        <f aca="false">IF(ISBLANK(T511),"Yes","No")</f>
        <v>No</v>
      </c>
      <c r="V511" s="2" t="n">
        <f aca="false">IF(ISBLANK(T511),0,IF(ISNUMBER(T511),T511,VALUE(LEFT(T511,LEN(T511)-1))/100))</f>
        <v>0.2</v>
      </c>
      <c r="W511" s="2" t="str">
        <f aca="false">IF(AND(V511&gt;=0,V511&lt;=0.25),"Valid","Invalid")</f>
        <v>Valid</v>
      </c>
      <c r="X511" s="2" t="n">
        <v>23241.22</v>
      </c>
      <c r="Y511" s="2" t="n">
        <f aca="false">R511*S511*(1-V511)</f>
        <v>23241.216</v>
      </c>
      <c r="Z511" s="2" t="str">
        <f aca="false">IF(ABS(X511-Y511)&gt;1,"Mismatch","OK")</f>
        <v>OK</v>
      </c>
      <c r="AA511" s="2" t="n">
        <v>17220.9</v>
      </c>
      <c r="AB511" s="2" t="n">
        <v>6020.32</v>
      </c>
      <c r="AC511" s="2" t="n">
        <f aca="false">Y511-AA511</f>
        <v>6020.316</v>
      </c>
      <c r="AD511" s="2" t="str">
        <f aca="false">IF(ABS(AB511-AC511)&gt;1,"Mismatch","OK")</f>
        <v>OK</v>
      </c>
      <c r="AE511" s="4" t="n">
        <f aca="false">IF(Y511=0,0,AC511/Y511)</f>
        <v>0.25903618812372</v>
      </c>
      <c r="AF511" s="2" t="s">
        <v>52</v>
      </c>
      <c r="AG511" s="2" t="s">
        <v>53</v>
      </c>
      <c r="AH511" s="2" t="str">
        <f aca="false">IF(AND(AG511="Completed",AF511&lt;&gt;"Paid"),"Inconsistent","OK")</f>
        <v>OK</v>
      </c>
      <c r="AI511" s="2" t="n">
        <f aca="false">IF(OR(ISBLANK(B511),ISBLANK(C511)),"",C511-B511)</f>
        <v>2</v>
      </c>
      <c r="AJ511" s="2" t="str">
        <f aca="false">IF(AI511="","Unknown",IF(AI511&lt;0,"Invalid","OK"))</f>
        <v>OK</v>
      </c>
      <c r="AK511" s="2" t="str">
        <f aca="false">IF(ISBLANK(B511),"",TEXT(B511,"mmm"))</f>
        <v>May</v>
      </c>
      <c r="AL511" s="2" t="n">
        <f aca="false">IF(ISBLANK(B511),"",YEAR(B511))</f>
        <v>2025</v>
      </c>
      <c r="AM511" s="2" t="s">
        <v>41</v>
      </c>
      <c r="AN511" s="2" t="str">
        <f aca="false">IF(OR(W511="Invalid",AJ511="Invalid",AH511="Inconsistent",Z511="Mismatch",AD511="Mismatch",AM511="Yes",D511="Yes",E511="Yes"),"Invalid",IF(OR(J511="Yes",Q511="Yes",U511="Yes"),"Warning","Clean"))</f>
        <v>Clean</v>
      </c>
    </row>
    <row r="512" customFormat="false" ht="15" hidden="false" customHeight="false" outlineLevel="0" collapsed="false">
      <c r="A512" s="2" t="s">
        <v>1652</v>
      </c>
      <c r="B512" s="3" t="n">
        <v>45583</v>
      </c>
      <c r="C512" s="3" t="n">
        <v>45586</v>
      </c>
      <c r="D512" s="2" t="s">
        <v>41</v>
      </c>
      <c r="E512" s="2" t="s">
        <v>41</v>
      </c>
      <c r="F512" s="2" t="s">
        <v>1653</v>
      </c>
      <c r="G512" s="2" t="s">
        <v>148</v>
      </c>
      <c r="H512" s="2" t="s">
        <v>44</v>
      </c>
      <c r="I512" s="2" t="s">
        <v>74</v>
      </c>
      <c r="J512" s="2" t="s">
        <v>41</v>
      </c>
      <c r="K512" s="2" t="s">
        <v>195</v>
      </c>
      <c r="L512" s="2" t="s">
        <v>196</v>
      </c>
      <c r="M512" s="2" t="s">
        <v>48</v>
      </c>
      <c r="N512" s="2" t="s">
        <v>144</v>
      </c>
      <c r="O512" s="2" t="s">
        <v>1654</v>
      </c>
      <c r="P512" s="2" t="s">
        <v>51</v>
      </c>
      <c r="Q512" s="2" t="s">
        <v>41</v>
      </c>
      <c r="R512" s="2" t="n">
        <v>2</v>
      </c>
      <c r="S512" s="2" t="n">
        <v>4238.51</v>
      </c>
      <c r="T512" s="2" t="n">
        <v>0</v>
      </c>
      <c r="U512" s="2" t="str">
        <f aca="false">IF(ISBLANK(T512),"Yes","No")</f>
        <v>No</v>
      </c>
      <c r="V512" s="2" t="n">
        <f aca="false">IF(ISBLANK(T512),0,IF(ISNUMBER(T512),T512,VALUE(LEFT(T512,LEN(T512)-1))/100))</f>
        <v>0</v>
      </c>
      <c r="W512" s="2" t="str">
        <f aca="false">IF(AND(V512&gt;=0,V512&lt;=0.25),"Valid","Invalid")</f>
        <v>Valid</v>
      </c>
      <c r="X512" s="2" t="n">
        <v>8477.02</v>
      </c>
      <c r="Y512" s="2" t="n">
        <f aca="false">R512*S512*(1-V512)</f>
        <v>8477.02</v>
      </c>
      <c r="Z512" s="2" t="str">
        <f aca="false">IF(ABS(X512-Y512)&gt;1,"Mismatch","OK")</f>
        <v>OK</v>
      </c>
      <c r="AA512" s="2" t="n">
        <v>6884.96</v>
      </c>
      <c r="AB512" s="2" t="n">
        <v>1592.06</v>
      </c>
      <c r="AC512" s="2" t="n">
        <f aca="false">Y512-AA512</f>
        <v>1592.06</v>
      </c>
      <c r="AD512" s="2" t="str">
        <f aca="false">IF(ABS(AB512-AC512)&gt;1,"Mismatch","OK")</f>
        <v>OK</v>
      </c>
      <c r="AE512" s="4" t="n">
        <f aca="false">IF(Y512=0,0,AC512/Y512)</f>
        <v>0.187808923418843</v>
      </c>
      <c r="AF512" s="2" t="s">
        <v>52</v>
      </c>
      <c r="AG512" s="2" t="s">
        <v>53</v>
      </c>
      <c r="AH512" s="2" t="str">
        <f aca="false">IF(AND(AG512="Completed",AF512&lt;&gt;"Paid"),"Inconsistent","OK")</f>
        <v>OK</v>
      </c>
      <c r="AI512" s="2" t="n">
        <f aca="false">IF(OR(ISBLANK(B512),ISBLANK(C512)),"",C512-B512)</f>
        <v>3</v>
      </c>
      <c r="AJ512" s="2" t="str">
        <f aca="false">IF(AI512="","Unknown",IF(AI512&lt;0,"Invalid","OK"))</f>
        <v>OK</v>
      </c>
      <c r="AK512" s="2" t="str">
        <f aca="false">IF(ISBLANK(B512),"",TEXT(B512,"mmm"))</f>
        <v>Oct</v>
      </c>
      <c r="AL512" s="2" t="n">
        <f aca="false">IF(ISBLANK(B512),"",YEAR(B512))</f>
        <v>2024</v>
      </c>
      <c r="AM512" s="2" t="s">
        <v>41</v>
      </c>
      <c r="AN512" s="2" t="str">
        <f aca="false">IF(OR(W512="Invalid",AJ512="Invalid",AH512="Inconsistent",Z512="Mismatch",AD512="Mismatch",AM512="Yes",D512="Yes",E512="Yes"),"Invalid",IF(OR(J512="Yes",Q512="Yes",U512="Yes"),"Warning","Clean"))</f>
        <v>Clean</v>
      </c>
    </row>
    <row r="513" customFormat="false" ht="15" hidden="false" customHeight="false" outlineLevel="0" collapsed="false">
      <c r="A513" s="2" t="s">
        <v>1655</v>
      </c>
      <c r="B513" s="3" t="n">
        <v>45588</v>
      </c>
      <c r="C513" s="3" t="n">
        <v>45591</v>
      </c>
      <c r="D513" s="2" t="s">
        <v>41</v>
      </c>
      <c r="E513" s="2" t="s">
        <v>41</v>
      </c>
      <c r="F513" s="2" t="s">
        <v>1656</v>
      </c>
      <c r="G513" s="2" t="s">
        <v>152</v>
      </c>
      <c r="H513" s="2" t="s">
        <v>44</v>
      </c>
      <c r="I513" s="2" t="s">
        <v>83</v>
      </c>
      <c r="J513" s="2" t="s">
        <v>41</v>
      </c>
      <c r="K513" s="2" t="s">
        <v>92</v>
      </c>
      <c r="L513" s="2" t="s">
        <v>93</v>
      </c>
      <c r="M513" s="2" t="s">
        <v>61</v>
      </c>
      <c r="N513" s="2" t="s">
        <v>178</v>
      </c>
      <c r="O513" s="2" t="s">
        <v>1657</v>
      </c>
      <c r="P513" s="2" t="s">
        <v>79</v>
      </c>
      <c r="Q513" s="2" t="s">
        <v>41</v>
      </c>
      <c r="R513" s="2" t="n">
        <v>9</v>
      </c>
      <c r="S513" s="2" t="n">
        <v>544.27</v>
      </c>
      <c r="T513" s="2" t="n">
        <v>0.25</v>
      </c>
      <c r="U513" s="2" t="str">
        <f aca="false">IF(ISBLANK(T513),"Yes","No")</f>
        <v>No</v>
      </c>
      <c r="V513" s="2" t="n">
        <f aca="false">IF(ISBLANK(T513),0,IF(ISNUMBER(T513),T513,VALUE(LEFT(T513,LEN(T513)-1))/100))</f>
        <v>0.25</v>
      </c>
      <c r="W513" s="2" t="str">
        <f aca="false">IF(AND(V513&gt;=0,V513&lt;=0.25),"Valid","Invalid")</f>
        <v>Valid</v>
      </c>
      <c r="X513" s="2" t="n">
        <v>3673.82</v>
      </c>
      <c r="Y513" s="2" t="n">
        <f aca="false">R513*S513*(1-V513)</f>
        <v>3673.8225</v>
      </c>
      <c r="Z513" s="2" t="str">
        <f aca="false">IF(ABS(X513-Y513)&gt;1,"Mismatch","OK")</f>
        <v>OK</v>
      </c>
      <c r="AA513" s="2" t="n">
        <v>2088.15</v>
      </c>
      <c r="AB513" s="2" t="n">
        <v>1585.67</v>
      </c>
      <c r="AC513" s="2" t="n">
        <f aca="false">Y513-AA513</f>
        <v>1585.6725</v>
      </c>
      <c r="AD513" s="2" t="str">
        <f aca="false">IF(ABS(AB513-AC513)&gt;1,"Mismatch","OK")</f>
        <v>OK</v>
      </c>
      <c r="AE513" s="4" t="n">
        <f aca="false">IF(Y513=0,0,AC513/Y513)</f>
        <v>0.431613802789874</v>
      </c>
      <c r="AF513" s="2" t="s">
        <v>52</v>
      </c>
      <c r="AG513" s="2" t="s">
        <v>53</v>
      </c>
      <c r="AH513" s="2" t="str">
        <f aca="false">IF(AND(AG513="Completed",AF513&lt;&gt;"Paid"),"Inconsistent","OK")</f>
        <v>OK</v>
      </c>
      <c r="AI513" s="2" t="n">
        <f aca="false">IF(OR(ISBLANK(B513),ISBLANK(C513)),"",C513-B513)</f>
        <v>3</v>
      </c>
      <c r="AJ513" s="2" t="str">
        <f aca="false">IF(AI513="","Unknown",IF(AI513&lt;0,"Invalid","OK"))</f>
        <v>OK</v>
      </c>
      <c r="AK513" s="2" t="str">
        <f aca="false">IF(ISBLANK(B513),"",TEXT(B513,"mmm"))</f>
        <v>Oct</v>
      </c>
      <c r="AL513" s="2" t="n">
        <f aca="false">IF(ISBLANK(B513),"",YEAR(B513))</f>
        <v>2024</v>
      </c>
      <c r="AM513" s="2" t="s">
        <v>41</v>
      </c>
      <c r="AN513" s="2" t="str">
        <f aca="false">IF(OR(W513="Invalid",AJ513="Invalid",AH513="Inconsistent",Z513="Mismatch",AD513="Mismatch",AM513="Yes",D513="Yes",E513="Yes"),"Invalid",IF(OR(J513="Yes",Q513="Yes",U513="Yes"),"Warning","Clean"))</f>
        <v>Clean</v>
      </c>
    </row>
    <row r="514" customFormat="false" ht="15" hidden="false" customHeight="false" outlineLevel="0" collapsed="false">
      <c r="A514" s="2" t="s">
        <v>1658</v>
      </c>
      <c r="B514" s="3" t="n">
        <v>45718</v>
      </c>
      <c r="C514" s="3" t="n">
        <v>45719</v>
      </c>
      <c r="D514" s="2" t="s">
        <v>41</v>
      </c>
      <c r="E514" s="2" t="s">
        <v>41</v>
      </c>
      <c r="F514" s="2" t="s">
        <v>1270</v>
      </c>
      <c r="G514" s="2" t="s">
        <v>67</v>
      </c>
      <c r="H514" s="2" t="s">
        <v>110</v>
      </c>
      <c r="I514" s="2" t="s">
        <v>74</v>
      </c>
      <c r="J514" s="2" t="s">
        <v>41</v>
      </c>
      <c r="K514" s="2" t="s">
        <v>205</v>
      </c>
      <c r="L514" s="2" t="s">
        <v>206</v>
      </c>
      <c r="M514" s="2" t="s">
        <v>48</v>
      </c>
      <c r="N514" s="2" t="s">
        <v>111</v>
      </c>
      <c r="O514" s="2" t="s">
        <v>1659</v>
      </c>
      <c r="P514" s="2" t="s">
        <v>51</v>
      </c>
      <c r="Q514" s="2" t="s">
        <v>41</v>
      </c>
      <c r="R514" s="2" t="n">
        <v>2</v>
      </c>
      <c r="S514" s="2" t="n">
        <v>4031.45</v>
      </c>
      <c r="T514" s="2" t="n">
        <v>0.25</v>
      </c>
      <c r="U514" s="2" t="str">
        <f aca="false">IF(ISBLANK(T514),"Yes","No")</f>
        <v>No</v>
      </c>
      <c r="V514" s="2" t="n">
        <f aca="false">IF(ISBLANK(T514),0,IF(ISNUMBER(T514),T514,VALUE(LEFT(T514,LEN(T514)-1))/100))</f>
        <v>0.25</v>
      </c>
      <c r="W514" s="2" t="str">
        <f aca="false">IF(AND(V514&gt;=0,V514&lt;=0.25),"Valid","Invalid")</f>
        <v>Valid</v>
      </c>
      <c r="X514" s="2" t="n">
        <v>6047.17</v>
      </c>
      <c r="Y514" s="2" t="n">
        <f aca="false">R514*S514*(1-V514)</f>
        <v>6047.175</v>
      </c>
      <c r="Z514" s="2" t="str">
        <f aca="false">IF(ABS(X514-Y514)&gt;1,"Mismatch","OK")</f>
        <v>OK</v>
      </c>
      <c r="AA514" s="2" t="n">
        <v>3368.79</v>
      </c>
      <c r="AB514" s="2" t="n">
        <v>2678.38</v>
      </c>
      <c r="AC514" s="2" t="n">
        <f aca="false">Y514-AA514</f>
        <v>2678.385</v>
      </c>
      <c r="AD514" s="2" t="str">
        <f aca="false">IF(ABS(AB514-AC514)&gt;1,"Mismatch","OK")</f>
        <v>OK</v>
      </c>
      <c r="AE514" s="4" t="n">
        <f aca="false">IF(Y514=0,0,AC514/Y514)</f>
        <v>0.442915080182068</v>
      </c>
      <c r="AF514" s="2" t="s">
        <v>52</v>
      </c>
      <c r="AG514" s="2" t="s">
        <v>53</v>
      </c>
      <c r="AH514" s="2" t="str">
        <f aca="false">IF(AND(AG514="Completed",AF514&lt;&gt;"Paid"),"Inconsistent","OK")</f>
        <v>OK</v>
      </c>
      <c r="AI514" s="2" t="n">
        <f aca="false">IF(OR(ISBLANK(B514),ISBLANK(C514)),"",C514-B514)</f>
        <v>1</v>
      </c>
      <c r="AJ514" s="2" t="str">
        <f aca="false">IF(AI514="","Unknown",IF(AI514&lt;0,"Invalid","OK"))</f>
        <v>OK</v>
      </c>
      <c r="AK514" s="2" t="str">
        <f aca="false">IF(ISBLANK(B514),"",TEXT(B514,"mmm"))</f>
        <v>Mar</v>
      </c>
      <c r="AL514" s="2" t="n">
        <f aca="false">IF(ISBLANK(B514),"",YEAR(B514))</f>
        <v>2025</v>
      </c>
      <c r="AM514" s="2" t="s">
        <v>41</v>
      </c>
      <c r="AN514" s="2" t="str">
        <f aca="false">IF(OR(W514="Invalid",AJ514="Invalid",AH514="Inconsistent",Z514="Mismatch",AD514="Mismatch",AM514="Yes",D514="Yes",E514="Yes"),"Invalid",IF(OR(J514="Yes",Q514="Yes",U514="Yes"),"Warning","Clean"))</f>
        <v>Clean</v>
      </c>
    </row>
    <row r="515" customFormat="false" ht="15" hidden="false" customHeight="false" outlineLevel="0" collapsed="false">
      <c r="A515" s="2" t="s">
        <v>1660</v>
      </c>
      <c r="B515" s="3" t="n">
        <v>45835</v>
      </c>
      <c r="C515" s="3" t="n">
        <v>45840</v>
      </c>
      <c r="D515" s="2" t="s">
        <v>41</v>
      </c>
      <c r="E515" s="2" t="s">
        <v>41</v>
      </c>
      <c r="F515" s="2" t="s">
        <v>1661</v>
      </c>
      <c r="G515" s="2" t="s">
        <v>148</v>
      </c>
      <c r="H515" s="2" t="s">
        <v>110</v>
      </c>
      <c r="I515" s="2" t="s">
        <v>74</v>
      </c>
      <c r="J515" s="2" t="s">
        <v>41</v>
      </c>
      <c r="K515" s="2" t="s">
        <v>205</v>
      </c>
      <c r="L515" s="2" t="s">
        <v>206</v>
      </c>
      <c r="M515" s="2" t="s">
        <v>94</v>
      </c>
      <c r="N515" s="2" t="s">
        <v>95</v>
      </c>
      <c r="O515" s="2" t="s">
        <v>1662</v>
      </c>
      <c r="P515" s="2" t="s">
        <v>70</v>
      </c>
      <c r="Q515" s="2" t="s">
        <v>41</v>
      </c>
      <c r="R515" s="2" t="n">
        <v>6</v>
      </c>
      <c r="S515" s="2" t="n">
        <v>1099.49</v>
      </c>
      <c r="T515" s="2" t="n">
        <v>0.1</v>
      </c>
      <c r="U515" s="2" t="str">
        <f aca="false">IF(ISBLANK(T515),"Yes","No")</f>
        <v>No</v>
      </c>
      <c r="V515" s="2" t="n">
        <f aca="false">IF(ISBLANK(T515),0,IF(ISNUMBER(T515),T515,VALUE(LEFT(T515,LEN(T515)-1))/100))</f>
        <v>0.1</v>
      </c>
      <c r="W515" s="2" t="str">
        <f aca="false">IF(AND(V515&gt;=0,V515&lt;=0.25),"Valid","Invalid")</f>
        <v>Valid</v>
      </c>
      <c r="X515" s="2" t="n">
        <v>6212.38</v>
      </c>
      <c r="Y515" s="2" t="n">
        <f aca="false">R515*S515*(1-V515)</f>
        <v>5937.246</v>
      </c>
      <c r="Z515" s="2" t="str">
        <f aca="false">IF(ABS(X515-Y515)&gt;1,"Mismatch","OK")</f>
        <v>Mismatch</v>
      </c>
      <c r="AA515" s="2" t="n">
        <v>4088.46</v>
      </c>
      <c r="AB515" s="2" t="n">
        <v>1848.79</v>
      </c>
      <c r="AC515" s="2" t="n">
        <f aca="false">Y515-AA515</f>
        <v>1848.786</v>
      </c>
      <c r="AD515" s="2" t="str">
        <f aca="false">IF(ABS(AB515-AC515)&gt;1,"Mismatch","OK")</f>
        <v>OK</v>
      </c>
      <c r="AE515" s="4" t="n">
        <f aca="false">IF(Y515=0,0,AC515/Y515)</f>
        <v>0.31138780505305</v>
      </c>
      <c r="AF515" s="2" t="s">
        <v>52</v>
      </c>
      <c r="AG515" s="2" t="s">
        <v>53</v>
      </c>
      <c r="AH515" s="2" t="str">
        <f aca="false">IF(AND(AG515="Completed",AF515&lt;&gt;"Paid"),"Inconsistent","OK")</f>
        <v>OK</v>
      </c>
      <c r="AI515" s="2" t="n">
        <f aca="false">IF(OR(ISBLANK(B515),ISBLANK(C515)),"",C515-B515)</f>
        <v>5</v>
      </c>
      <c r="AJ515" s="2" t="str">
        <f aca="false">IF(AI515="","Unknown",IF(AI515&lt;0,"Invalid","OK"))</f>
        <v>OK</v>
      </c>
      <c r="AK515" s="2" t="str">
        <f aca="false">IF(ISBLANK(B515),"",TEXT(B515,"mmm"))</f>
        <v>Jun</v>
      </c>
      <c r="AL515" s="2" t="n">
        <f aca="false">IF(ISBLANK(B515),"",YEAR(B515))</f>
        <v>2025</v>
      </c>
      <c r="AM515" s="2" t="s">
        <v>41</v>
      </c>
      <c r="AN515" s="2" t="str">
        <f aca="false">IF(OR(W515="Invalid",AJ515="Invalid",AH515="Inconsistent",Z515="Mismatch",AD515="Mismatch",AM515="Yes",D515="Yes",E515="Yes"),"Invalid",IF(OR(J515="Yes",Q515="Yes",U515="Yes"),"Warning","Clean"))</f>
        <v>Invalid</v>
      </c>
    </row>
    <row r="516" customFormat="false" ht="15" hidden="false" customHeight="false" outlineLevel="0" collapsed="false">
      <c r="A516" s="2" t="s">
        <v>1663</v>
      </c>
      <c r="B516" s="3" t="n">
        <v>45614</v>
      </c>
      <c r="C516" s="3" t="n">
        <v>45618</v>
      </c>
      <c r="D516" s="2" t="s">
        <v>41</v>
      </c>
      <c r="E516" s="2" t="s">
        <v>41</v>
      </c>
      <c r="F516" s="2" t="s">
        <v>1664</v>
      </c>
      <c r="G516" s="2" t="s">
        <v>43</v>
      </c>
      <c r="H516" s="2" t="s">
        <v>115</v>
      </c>
      <c r="I516" s="2" t="s">
        <v>74</v>
      </c>
      <c r="J516" s="2" t="s">
        <v>41</v>
      </c>
      <c r="K516" s="2" t="s">
        <v>205</v>
      </c>
      <c r="L516" s="2" t="s">
        <v>206</v>
      </c>
      <c r="M516" s="2" t="s">
        <v>94</v>
      </c>
      <c r="N516" s="2" t="s">
        <v>95</v>
      </c>
      <c r="O516" s="2" t="s">
        <v>1665</v>
      </c>
      <c r="P516" s="2" t="s">
        <v>79</v>
      </c>
      <c r="Q516" s="2" t="s">
        <v>41</v>
      </c>
      <c r="R516" s="2" t="n">
        <v>6</v>
      </c>
      <c r="S516" s="2" t="n">
        <v>3872.94</v>
      </c>
      <c r="T516" s="2" t="n">
        <v>0.1</v>
      </c>
      <c r="U516" s="2" t="str">
        <f aca="false">IF(ISBLANK(T516),"Yes","No")</f>
        <v>No</v>
      </c>
      <c r="V516" s="2" t="n">
        <f aca="false">IF(ISBLANK(T516),0,IF(ISNUMBER(T516),T516,VALUE(LEFT(T516,LEN(T516)-1))/100))</f>
        <v>0.1</v>
      </c>
      <c r="W516" s="2" t="str">
        <f aca="false">IF(AND(V516&gt;=0,V516&lt;=0.25),"Valid","Invalid")</f>
        <v>Valid</v>
      </c>
      <c r="X516" s="2" t="n">
        <v>20913.88</v>
      </c>
      <c r="Y516" s="2" t="n">
        <f aca="false">R516*S516*(1-V516)</f>
        <v>20913.876</v>
      </c>
      <c r="Z516" s="2" t="str">
        <f aca="false">IF(ABS(X516-Y516)&gt;1,"Mismatch","OK")</f>
        <v>OK</v>
      </c>
      <c r="AA516" s="2" t="n">
        <v>11684.68</v>
      </c>
      <c r="AB516" s="2" t="n">
        <v>9229.2</v>
      </c>
      <c r="AC516" s="2" t="n">
        <f aca="false">Y516-AA516</f>
        <v>9229.196</v>
      </c>
      <c r="AD516" s="2" t="str">
        <f aca="false">IF(ABS(AB516-AC516)&gt;1,"Mismatch","OK")</f>
        <v>OK</v>
      </c>
      <c r="AE516" s="4" t="n">
        <f aca="false">IF(Y516=0,0,AC516/Y516)</f>
        <v>0.441295339037106</v>
      </c>
      <c r="AF516" s="2" t="s">
        <v>52</v>
      </c>
      <c r="AG516" s="2" t="s">
        <v>53</v>
      </c>
      <c r="AH516" s="2" t="str">
        <f aca="false">IF(AND(AG516="Completed",AF516&lt;&gt;"Paid"),"Inconsistent","OK")</f>
        <v>OK</v>
      </c>
      <c r="AI516" s="2" t="n">
        <f aca="false">IF(OR(ISBLANK(B516),ISBLANK(C516)),"",C516-B516)</f>
        <v>4</v>
      </c>
      <c r="AJ516" s="2" t="str">
        <f aca="false">IF(AI516="","Unknown",IF(AI516&lt;0,"Invalid","OK"))</f>
        <v>OK</v>
      </c>
      <c r="AK516" s="2" t="str">
        <f aca="false">IF(ISBLANK(B516),"",TEXT(B516,"mmm"))</f>
        <v>Nov</v>
      </c>
      <c r="AL516" s="2" t="n">
        <f aca="false">IF(ISBLANK(B516),"",YEAR(B516))</f>
        <v>2024</v>
      </c>
      <c r="AM516" s="2" t="s">
        <v>41</v>
      </c>
      <c r="AN516" s="2" t="str">
        <f aca="false">IF(OR(W516="Invalid",AJ516="Invalid",AH516="Inconsistent",Z516="Mismatch",AD516="Mismatch",AM516="Yes",D516="Yes",E516="Yes"),"Invalid",IF(OR(J516="Yes",Q516="Yes",U516="Yes"),"Warning","Clean"))</f>
        <v>Clean</v>
      </c>
    </row>
    <row r="517" customFormat="false" ht="15" hidden="false" customHeight="false" outlineLevel="0" collapsed="false">
      <c r="A517" s="2" t="s">
        <v>1666</v>
      </c>
      <c r="B517" s="3" t="n">
        <v>45758</v>
      </c>
      <c r="C517" s="3" t="n">
        <v>45758</v>
      </c>
      <c r="D517" s="2" t="s">
        <v>41</v>
      </c>
      <c r="E517" s="2" t="s">
        <v>41</v>
      </c>
      <c r="F517" s="2" t="s">
        <v>1667</v>
      </c>
      <c r="G517" s="2" t="s">
        <v>138</v>
      </c>
      <c r="H517" s="2" t="s">
        <v>110</v>
      </c>
      <c r="I517" s="2" t="s">
        <v>45</v>
      </c>
      <c r="J517" s="2" t="s">
        <v>41</v>
      </c>
      <c r="K517" s="2" t="s">
        <v>372</v>
      </c>
      <c r="L517" s="2" t="s">
        <v>373</v>
      </c>
      <c r="M517" s="2" t="s">
        <v>48</v>
      </c>
      <c r="N517" s="2" t="s">
        <v>49</v>
      </c>
      <c r="O517" s="2" t="s">
        <v>1668</v>
      </c>
      <c r="P517" s="2" t="s">
        <v>79</v>
      </c>
      <c r="Q517" s="2" t="s">
        <v>41</v>
      </c>
      <c r="R517" s="2" t="n">
        <v>1</v>
      </c>
      <c r="S517" s="2" t="n">
        <v>4458.49</v>
      </c>
      <c r="T517" s="2" t="n">
        <v>-0.07</v>
      </c>
      <c r="U517" s="2" t="str">
        <f aca="false">IF(ISBLANK(T517),"Yes","No")</f>
        <v>No</v>
      </c>
      <c r="V517" s="2" t="n">
        <f aca="false">IF(ISBLANK(T517),0,IF(ISNUMBER(T517),T517,VALUE(LEFT(T517,LEN(T517)-1))/100))</f>
        <v>-0.07</v>
      </c>
      <c r="W517" s="2" t="str">
        <f aca="false">IF(AND(V517&gt;=0,V517&lt;=0.25),"Valid","Invalid")</f>
        <v>Invalid</v>
      </c>
      <c r="X517" s="2" t="n">
        <v>3566.79</v>
      </c>
      <c r="Y517" s="2" t="n">
        <f aca="false">R517*S517*(1-V517)</f>
        <v>4770.5843</v>
      </c>
      <c r="Z517" s="2" t="str">
        <f aca="false">IF(ABS(X517-Y517)&gt;1,"Mismatch","OK")</f>
        <v>Mismatch</v>
      </c>
      <c r="AA517" s="2" t="n">
        <v>2083.41</v>
      </c>
      <c r="AB517" s="2" t="n">
        <v>1483.38</v>
      </c>
      <c r="AC517" s="2" t="n">
        <f aca="false">Y517-AA517</f>
        <v>2687.1743</v>
      </c>
      <c r="AD517" s="2" t="str">
        <f aca="false">IF(ABS(AB517-AC517)&gt;1,"Mismatch","OK")</f>
        <v>Mismatch</v>
      </c>
      <c r="AE517" s="4" t="n">
        <f aca="false">IF(Y517=0,0,AC517/Y517)</f>
        <v>0.563279911016351</v>
      </c>
      <c r="AF517" s="2" t="s">
        <v>52</v>
      </c>
      <c r="AG517" s="2" t="s">
        <v>53</v>
      </c>
      <c r="AH517" s="2" t="str">
        <f aca="false">IF(AND(AG517="Completed",AF517&lt;&gt;"Paid"),"Inconsistent","OK")</f>
        <v>OK</v>
      </c>
      <c r="AI517" s="2" t="n">
        <f aca="false">IF(OR(ISBLANK(B517),ISBLANK(C517)),"",C517-B517)</f>
        <v>0</v>
      </c>
      <c r="AJ517" s="2" t="str">
        <f aca="false">IF(AI517="","Unknown",IF(AI517&lt;0,"Invalid","OK"))</f>
        <v>OK</v>
      </c>
      <c r="AK517" s="2" t="str">
        <f aca="false">IF(ISBLANK(B517),"",TEXT(B517,"mmm"))</f>
        <v>Apr</v>
      </c>
      <c r="AL517" s="2" t="n">
        <f aca="false">IF(ISBLANK(B517),"",YEAR(B517))</f>
        <v>2025</v>
      </c>
      <c r="AM517" s="2" t="s">
        <v>41</v>
      </c>
      <c r="AN517" s="2" t="str">
        <f aca="false">IF(OR(W517="Invalid",AJ517="Invalid",AH517="Inconsistent",Z517="Mismatch",AD517="Mismatch",AM517="Yes",D517="Yes",E517="Yes"),"Invalid",IF(OR(J517="Yes",Q517="Yes",U517="Yes"),"Warning","Clean"))</f>
        <v>Invalid</v>
      </c>
    </row>
    <row r="518" customFormat="false" ht="15" hidden="false" customHeight="false" outlineLevel="0" collapsed="false">
      <c r="A518" s="2" t="s">
        <v>1669</v>
      </c>
      <c r="B518" s="3" t="n">
        <v>45563</v>
      </c>
      <c r="C518" s="3" t="n">
        <v>45569</v>
      </c>
      <c r="D518" s="2" t="s">
        <v>41</v>
      </c>
      <c r="E518" s="2" t="s">
        <v>41</v>
      </c>
      <c r="F518" s="2" t="s">
        <v>1670</v>
      </c>
      <c r="G518" s="2" t="s">
        <v>286</v>
      </c>
      <c r="H518" s="2" t="s">
        <v>115</v>
      </c>
      <c r="I518" s="2" t="s">
        <v>45</v>
      </c>
      <c r="J518" s="2" t="s">
        <v>41</v>
      </c>
      <c r="K518" s="2" t="s">
        <v>372</v>
      </c>
      <c r="L518" s="2" t="s">
        <v>373</v>
      </c>
      <c r="M518" s="2" t="s">
        <v>94</v>
      </c>
      <c r="N518" s="2" t="s">
        <v>100</v>
      </c>
      <c r="O518" s="2" t="s">
        <v>1671</v>
      </c>
      <c r="P518" s="2" t="s">
        <v>79</v>
      </c>
      <c r="Q518" s="2" t="s">
        <v>41</v>
      </c>
      <c r="R518" s="2" t="n">
        <v>1</v>
      </c>
      <c r="S518" s="2" t="n">
        <v>2233.18</v>
      </c>
      <c r="T518" s="2" t="n">
        <v>0</v>
      </c>
      <c r="U518" s="2" t="str">
        <f aca="false">IF(ISBLANK(T518),"Yes","No")</f>
        <v>No</v>
      </c>
      <c r="V518" s="2" t="n">
        <f aca="false">IF(ISBLANK(T518),0,IF(ISNUMBER(T518),T518,VALUE(LEFT(T518,LEN(T518)-1))/100))</f>
        <v>0</v>
      </c>
      <c r="W518" s="2" t="str">
        <f aca="false">IF(AND(V518&gt;=0,V518&lt;=0.25),"Valid","Invalid")</f>
        <v>Valid</v>
      </c>
      <c r="X518" s="2" t="n">
        <v>2233.18</v>
      </c>
      <c r="Y518" s="2" t="n">
        <f aca="false">R518*S518*(1-V518)</f>
        <v>2233.18</v>
      </c>
      <c r="Z518" s="2" t="str">
        <f aca="false">IF(ABS(X518-Y518)&gt;1,"Mismatch","OK")</f>
        <v>OK</v>
      </c>
      <c r="AA518" s="2" t="n">
        <v>1585.82</v>
      </c>
      <c r="AB518" s="2" t="n">
        <v>647.36</v>
      </c>
      <c r="AC518" s="2" t="n">
        <f aca="false">Y518-AA518</f>
        <v>647.36</v>
      </c>
      <c r="AD518" s="2" t="str">
        <f aca="false">IF(ABS(AB518-AC518)&gt;1,"Mismatch","OK")</f>
        <v>OK</v>
      </c>
      <c r="AE518" s="4" t="n">
        <f aca="false">IF(Y518=0,0,AC518/Y518)</f>
        <v>0.289882588953868</v>
      </c>
      <c r="AF518" s="2" t="s">
        <v>175</v>
      </c>
      <c r="AG518" s="2" t="s">
        <v>123</v>
      </c>
      <c r="AH518" s="2" t="str">
        <f aca="false">IF(AND(AG518="Completed",AF518&lt;&gt;"Paid"),"Inconsistent","OK")</f>
        <v>OK</v>
      </c>
      <c r="AI518" s="2" t="n">
        <f aca="false">IF(OR(ISBLANK(B518),ISBLANK(C518)),"",C518-B518)</f>
        <v>6</v>
      </c>
      <c r="AJ518" s="2" t="str">
        <f aca="false">IF(AI518="","Unknown",IF(AI518&lt;0,"Invalid","OK"))</f>
        <v>OK</v>
      </c>
      <c r="AK518" s="2" t="str">
        <f aca="false">IF(ISBLANK(B518),"",TEXT(B518,"mmm"))</f>
        <v>Sep</v>
      </c>
      <c r="AL518" s="2" t="n">
        <f aca="false">IF(ISBLANK(B518),"",YEAR(B518))</f>
        <v>2024</v>
      </c>
      <c r="AM518" s="2" t="s">
        <v>41</v>
      </c>
      <c r="AN518" s="2" t="str">
        <f aca="false">IF(OR(W518="Invalid",AJ518="Invalid",AH518="Inconsistent",Z518="Mismatch",AD518="Mismatch",AM518="Yes",D518="Yes",E518="Yes"),"Invalid",IF(OR(J518="Yes",Q518="Yes",U518="Yes"),"Warning","Clean"))</f>
        <v>Clean</v>
      </c>
    </row>
    <row r="519" customFormat="false" ht="15" hidden="false" customHeight="false" outlineLevel="0" collapsed="false">
      <c r="A519" s="2" t="s">
        <v>1672</v>
      </c>
      <c r="B519" s="3" t="n">
        <v>45802</v>
      </c>
      <c r="C519" s="3" t="n">
        <v>45804</v>
      </c>
      <c r="D519" s="2" t="s">
        <v>41</v>
      </c>
      <c r="E519" s="2" t="s">
        <v>41</v>
      </c>
      <c r="F519" s="2" t="s">
        <v>1673</v>
      </c>
      <c r="G519" s="2" t="s">
        <v>138</v>
      </c>
      <c r="H519" s="2" t="s">
        <v>44</v>
      </c>
      <c r="I519" s="2" t="s">
        <v>58</v>
      </c>
      <c r="J519" s="2" t="s">
        <v>41</v>
      </c>
      <c r="K519" s="2" t="s">
        <v>59</v>
      </c>
      <c r="L519" s="2" t="s">
        <v>60</v>
      </c>
      <c r="M519" s="2" t="s">
        <v>61</v>
      </c>
      <c r="N519" s="2" t="s">
        <v>77</v>
      </c>
      <c r="O519" s="2" t="s">
        <v>1674</v>
      </c>
      <c r="P519" s="2" t="s">
        <v>51</v>
      </c>
      <c r="Q519" s="2" t="s">
        <v>41</v>
      </c>
      <c r="R519" s="2" t="n">
        <v>7</v>
      </c>
      <c r="S519" s="2" t="n">
        <v>2123.28</v>
      </c>
      <c r="T519" s="2" t="n">
        <v>0.2</v>
      </c>
      <c r="U519" s="2" t="str">
        <f aca="false">IF(ISBLANK(T519),"Yes","No")</f>
        <v>No</v>
      </c>
      <c r="V519" s="2" t="n">
        <f aca="false">IF(ISBLANK(T519),0,IF(ISNUMBER(T519),T519,VALUE(LEFT(T519,LEN(T519)-1))/100))</f>
        <v>0.2</v>
      </c>
      <c r="W519" s="2" t="str">
        <f aca="false">IF(AND(V519&gt;=0,V519&lt;=0.25),"Valid","Invalid")</f>
        <v>Valid</v>
      </c>
      <c r="X519" s="2" t="n">
        <v>11890.37</v>
      </c>
      <c r="Y519" s="2" t="n">
        <f aca="false">R519*S519*(1-V519)</f>
        <v>11890.368</v>
      </c>
      <c r="Z519" s="2" t="str">
        <f aca="false">IF(ABS(X519-Y519)&gt;1,"Mismatch","OK")</f>
        <v>OK</v>
      </c>
      <c r="AA519" s="2" t="n">
        <v>9234.53</v>
      </c>
      <c r="AB519" s="2" t="n">
        <v>2655.84</v>
      </c>
      <c r="AC519" s="2" t="n">
        <f aca="false">Y519-AA519</f>
        <v>2655.838</v>
      </c>
      <c r="AD519" s="2" t="str">
        <f aca="false">IF(ABS(AB519-AC519)&gt;1,"Mismatch","OK")</f>
        <v>OK</v>
      </c>
      <c r="AE519" s="4" t="n">
        <f aca="false">IF(Y519=0,0,AC519/Y519)</f>
        <v>0.223360454445144</v>
      </c>
      <c r="AF519" s="2" t="s">
        <v>122</v>
      </c>
      <c r="AG519" s="2" t="s">
        <v>123</v>
      </c>
      <c r="AH519" s="2" t="str">
        <f aca="false">IF(AND(AG519="Completed",AF519&lt;&gt;"Paid"),"Inconsistent","OK")</f>
        <v>OK</v>
      </c>
      <c r="AI519" s="2" t="n">
        <f aca="false">IF(OR(ISBLANK(B519),ISBLANK(C519)),"",C519-B519)</f>
        <v>2</v>
      </c>
      <c r="AJ519" s="2" t="str">
        <f aca="false">IF(AI519="","Unknown",IF(AI519&lt;0,"Invalid","OK"))</f>
        <v>OK</v>
      </c>
      <c r="AK519" s="2" t="str">
        <f aca="false">IF(ISBLANK(B519),"",TEXT(B519,"mmm"))</f>
        <v>May</v>
      </c>
      <c r="AL519" s="2" t="n">
        <f aca="false">IF(ISBLANK(B519),"",YEAR(B519))</f>
        <v>2025</v>
      </c>
      <c r="AM519" s="2" t="s">
        <v>41</v>
      </c>
      <c r="AN519" s="2" t="str">
        <f aca="false">IF(OR(W519="Invalid",AJ519="Invalid",AH519="Inconsistent",Z519="Mismatch",AD519="Mismatch",AM519="Yes",D519="Yes",E519="Yes"),"Invalid",IF(OR(J519="Yes",Q519="Yes",U519="Yes"),"Warning","Clean"))</f>
        <v>Clean</v>
      </c>
    </row>
    <row r="520" customFormat="false" ht="15" hidden="false" customHeight="false" outlineLevel="0" collapsed="false">
      <c r="A520" s="2" t="s">
        <v>1675</v>
      </c>
      <c r="B520" s="3" t="n">
        <v>45777</v>
      </c>
      <c r="C520" s="3" t="n">
        <v>45773</v>
      </c>
      <c r="D520" s="2" t="s">
        <v>41</v>
      </c>
      <c r="E520" s="2" t="s">
        <v>41</v>
      </c>
      <c r="F520" s="2" t="s">
        <v>1676</v>
      </c>
      <c r="G520" s="2" t="s">
        <v>182</v>
      </c>
      <c r="H520" s="2" t="s">
        <v>110</v>
      </c>
      <c r="I520" s="2" t="s">
        <v>58</v>
      </c>
      <c r="J520" s="2" t="s">
        <v>41</v>
      </c>
      <c r="K520" s="2" t="s">
        <v>59</v>
      </c>
      <c r="L520" s="2" t="s">
        <v>60</v>
      </c>
      <c r="M520" s="2" t="s">
        <v>61</v>
      </c>
      <c r="N520" s="2" t="s">
        <v>62</v>
      </c>
      <c r="O520" s="2" t="s">
        <v>1677</v>
      </c>
      <c r="P520" s="2" t="s">
        <v>70</v>
      </c>
      <c r="Q520" s="2" t="s">
        <v>41</v>
      </c>
      <c r="R520" s="2" t="n">
        <v>7</v>
      </c>
      <c r="S520" s="2" t="n">
        <v>1604.13</v>
      </c>
      <c r="T520" s="2" t="n">
        <v>0.25</v>
      </c>
      <c r="U520" s="2" t="str">
        <f aca="false">IF(ISBLANK(T520),"Yes","No")</f>
        <v>No</v>
      </c>
      <c r="V520" s="2" t="n">
        <f aca="false">IF(ISBLANK(T520),0,IF(ISNUMBER(T520),T520,VALUE(LEFT(T520,LEN(T520)-1))/100))</f>
        <v>0.25</v>
      </c>
      <c r="W520" s="2" t="str">
        <f aca="false">IF(AND(V520&gt;=0,V520&lt;=0.25),"Valid","Invalid")</f>
        <v>Valid</v>
      </c>
      <c r="X520" s="2" t="n">
        <v>8421.68</v>
      </c>
      <c r="Y520" s="2" t="n">
        <f aca="false">R520*S520*(1-V520)</f>
        <v>8421.6825</v>
      </c>
      <c r="Z520" s="2" t="str">
        <f aca="false">IF(ABS(X520-Y520)&gt;1,"Mismatch","OK")</f>
        <v>OK</v>
      </c>
      <c r="AA520" s="2" t="n">
        <v>6534.47</v>
      </c>
      <c r="AB520" s="2" t="n">
        <v>1887.21</v>
      </c>
      <c r="AC520" s="2" t="n">
        <f aca="false">Y520-AA520</f>
        <v>1887.2125</v>
      </c>
      <c r="AD520" s="2" t="str">
        <f aca="false">IF(ABS(AB520-AC520)&gt;1,"Mismatch","OK")</f>
        <v>OK</v>
      </c>
      <c r="AE520" s="4" t="n">
        <f aca="false">IF(Y520=0,0,AC520/Y520)</f>
        <v>0.224089723163988</v>
      </c>
      <c r="AF520" s="2" t="s">
        <v>52</v>
      </c>
      <c r="AG520" s="2" t="s">
        <v>88</v>
      </c>
      <c r="AH520" s="2" t="str">
        <f aca="false">IF(AND(AG520="Completed",AF520&lt;&gt;"Paid"),"Inconsistent","OK")</f>
        <v>OK</v>
      </c>
      <c r="AI520" s="2" t="n">
        <f aca="false">IF(OR(ISBLANK(B520),ISBLANK(C520)),"",C520-B520)</f>
        <v>-4</v>
      </c>
      <c r="AJ520" s="2" t="str">
        <f aca="false">IF(AI520="","Unknown",IF(AI520&lt;0,"Invalid","OK"))</f>
        <v>Invalid</v>
      </c>
      <c r="AK520" s="2" t="str">
        <f aca="false">IF(ISBLANK(B520),"",TEXT(B520,"mmm"))</f>
        <v>Apr</v>
      </c>
      <c r="AL520" s="2" t="n">
        <f aca="false">IF(ISBLANK(B520),"",YEAR(B520))</f>
        <v>2025</v>
      </c>
      <c r="AM520" s="2" t="s">
        <v>41</v>
      </c>
      <c r="AN520" s="2" t="str">
        <f aca="false">IF(OR(W520="Invalid",AJ520="Invalid",AH520="Inconsistent",Z520="Mismatch",AD520="Mismatch",AM520="Yes",D520="Yes",E520="Yes"),"Invalid",IF(OR(J520="Yes",Q520="Yes",U520="Yes"),"Warning","Clean"))</f>
        <v>Invalid</v>
      </c>
    </row>
    <row r="521" customFormat="false" ht="15" hidden="false" customHeight="false" outlineLevel="0" collapsed="false">
      <c r="A521" s="2" t="s">
        <v>1678</v>
      </c>
      <c r="B521" s="3" t="n">
        <v>45841</v>
      </c>
      <c r="C521" s="3" t="n">
        <v>45845</v>
      </c>
      <c r="D521" s="2" t="s">
        <v>41</v>
      </c>
      <c r="E521" s="2" t="s">
        <v>41</v>
      </c>
      <c r="F521" s="2" t="s">
        <v>1679</v>
      </c>
      <c r="G521" s="2" t="s">
        <v>134</v>
      </c>
      <c r="H521" s="2" t="s">
        <v>44</v>
      </c>
      <c r="I521" s="2" t="s">
        <v>45</v>
      </c>
      <c r="J521" s="2" t="s">
        <v>41</v>
      </c>
      <c r="K521" s="2" t="s">
        <v>156</v>
      </c>
      <c r="L521" s="2" t="s">
        <v>157</v>
      </c>
      <c r="M521" s="2" t="s">
        <v>61</v>
      </c>
      <c r="N521" s="2" t="s">
        <v>62</v>
      </c>
      <c r="O521" s="2" t="s">
        <v>1680</v>
      </c>
      <c r="P521" s="2" t="s">
        <v>79</v>
      </c>
      <c r="Q521" s="2" t="s">
        <v>41</v>
      </c>
      <c r="R521" s="2" t="n">
        <v>4</v>
      </c>
      <c r="S521" s="2" t="n">
        <v>4365.21</v>
      </c>
      <c r="T521" s="2" t="n">
        <v>0.2</v>
      </c>
      <c r="U521" s="2" t="str">
        <f aca="false">IF(ISBLANK(T521),"Yes","No")</f>
        <v>No</v>
      </c>
      <c r="V521" s="2" t="n">
        <f aca="false">IF(ISBLANK(T521),0,IF(ISNUMBER(T521),T521,VALUE(LEFT(T521,LEN(T521)-1))/100))</f>
        <v>0.2</v>
      </c>
      <c r="W521" s="2" t="str">
        <f aca="false">IF(AND(V521&gt;=0,V521&lt;=0.25),"Valid","Invalid")</f>
        <v>Valid</v>
      </c>
      <c r="X521" s="2" t="n">
        <v>13968.67</v>
      </c>
      <c r="Y521" s="2" t="n">
        <f aca="false">R521*S521*(1-V521)</f>
        <v>13968.672</v>
      </c>
      <c r="Z521" s="2" t="str">
        <f aca="false">IF(ABS(X521-Y521)&gt;1,"Mismatch","OK")</f>
        <v>OK</v>
      </c>
      <c r="AA521" s="2" t="n">
        <v>8857.58</v>
      </c>
      <c r="AB521" s="2" t="n">
        <v>5111.09</v>
      </c>
      <c r="AC521" s="2" t="n">
        <f aca="false">Y521-AA521</f>
        <v>5111.092</v>
      </c>
      <c r="AD521" s="2" t="str">
        <f aca="false">IF(ABS(AB521-AC521)&gt;1,"Mismatch","OK")</f>
        <v>OK</v>
      </c>
      <c r="AE521" s="4" t="n">
        <f aca="false">IF(Y521=0,0,AC521/Y521)</f>
        <v>0.365896772434774</v>
      </c>
      <c r="AF521" s="2" t="s">
        <v>131</v>
      </c>
      <c r="AG521" s="2" t="s">
        <v>88</v>
      </c>
      <c r="AH521" s="2" t="str">
        <f aca="false">IF(AND(AG521="Completed",AF521&lt;&gt;"Paid"),"Inconsistent","OK")</f>
        <v>OK</v>
      </c>
      <c r="AI521" s="2" t="n">
        <f aca="false">IF(OR(ISBLANK(B521),ISBLANK(C521)),"",C521-B521)</f>
        <v>4</v>
      </c>
      <c r="AJ521" s="2" t="str">
        <f aca="false">IF(AI521="","Unknown",IF(AI521&lt;0,"Invalid","OK"))</f>
        <v>OK</v>
      </c>
      <c r="AK521" s="2" t="str">
        <f aca="false">IF(ISBLANK(B521),"",TEXT(B521,"mmm"))</f>
        <v>Jul</v>
      </c>
      <c r="AL521" s="2" t="n">
        <f aca="false">IF(ISBLANK(B521),"",YEAR(B521))</f>
        <v>2025</v>
      </c>
      <c r="AM521" s="2" t="s">
        <v>41</v>
      </c>
      <c r="AN521" s="2" t="str">
        <f aca="false">IF(OR(W521="Invalid",AJ521="Invalid",AH521="Inconsistent",Z521="Mismatch",AD521="Mismatch",AM521="Yes",D521="Yes",E521="Yes"),"Invalid",IF(OR(J521="Yes",Q521="Yes",U521="Yes"),"Warning","Clean"))</f>
        <v>Clean</v>
      </c>
    </row>
    <row r="522" customFormat="false" ht="15" hidden="false" customHeight="false" outlineLevel="0" collapsed="false">
      <c r="A522" s="2" t="s">
        <v>1681</v>
      </c>
      <c r="B522" s="3" t="n">
        <v>45489</v>
      </c>
      <c r="C522" s="3" t="n">
        <v>45496</v>
      </c>
      <c r="D522" s="2" t="s">
        <v>41</v>
      </c>
      <c r="E522" s="2" t="s">
        <v>41</v>
      </c>
      <c r="F522" s="2" t="s">
        <v>1682</v>
      </c>
      <c r="G522" s="2" t="s">
        <v>148</v>
      </c>
      <c r="H522" s="2" t="s">
        <v>115</v>
      </c>
      <c r="I522" s="2" t="s">
        <v>74</v>
      </c>
      <c r="J522" s="2" t="s">
        <v>41</v>
      </c>
      <c r="K522" s="2" t="s">
        <v>195</v>
      </c>
      <c r="L522" s="2" t="s">
        <v>196</v>
      </c>
      <c r="M522" s="2" t="s">
        <v>94</v>
      </c>
      <c r="N522" s="2" t="s">
        <v>296</v>
      </c>
      <c r="O522" s="2" t="s">
        <v>1683</v>
      </c>
      <c r="P522" s="2" t="s">
        <v>64</v>
      </c>
      <c r="Q522" s="2" t="s">
        <v>41</v>
      </c>
      <c r="R522" s="2" t="n">
        <v>1</v>
      </c>
      <c r="S522" s="2" t="n">
        <v>1695.91</v>
      </c>
      <c r="T522" s="2" t="n">
        <v>0.05</v>
      </c>
      <c r="U522" s="2" t="str">
        <f aca="false">IF(ISBLANK(T522),"Yes","No")</f>
        <v>No</v>
      </c>
      <c r="V522" s="2" t="n">
        <f aca="false">IF(ISBLANK(T522),0,IF(ISNUMBER(T522),T522,VALUE(LEFT(T522,LEN(T522)-1))/100))</f>
        <v>0.05</v>
      </c>
      <c r="W522" s="2" t="str">
        <f aca="false">IF(AND(V522&gt;=0,V522&lt;=0.25),"Valid","Invalid")</f>
        <v>Valid</v>
      </c>
      <c r="X522" s="2" t="n">
        <v>1611.11</v>
      </c>
      <c r="Y522" s="2" t="n">
        <f aca="false">R522*S522*(1-V522)</f>
        <v>1611.1145</v>
      </c>
      <c r="Z522" s="2" t="str">
        <f aca="false">IF(ABS(X522-Y522)&gt;1,"Mismatch","OK")</f>
        <v>OK</v>
      </c>
      <c r="AA522" s="2" t="n">
        <v>895.15</v>
      </c>
      <c r="AB522" s="2" t="n">
        <v>715.96</v>
      </c>
      <c r="AC522" s="2" t="n">
        <f aca="false">Y522-AA522</f>
        <v>715.9645</v>
      </c>
      <c r="AD522" s="2" t="str">
        <f aca="false">IF(ABS(AB522-AC522)&gt;1,"Mismatch","OK")</f>
        <v>OK</v>
      </c>
      <c r="AE522" s="4" t="n">
        <f aca="false">IF(Y522=0,0,AC522/Y522)</f>
        <v>0.444390823867577</v>
      </c>
      <c r="AF522" s="2" t="s">
        <v>52</v>
      </c>
      <c r="AG522" s="2" t="s">
        <v>53</v>
      </c>
      <c r="AH522" s="2" t="str">
        <f aca="false">IF(AND(AG522="Completed",AF522&lt;&gt;"Paid"),"Inconsistent","OK")</f>
        <v>OK</v>
      </c>
      <c r="AI522" s="2" t="n">
        <f aca="false">IF(OR(ISBLANK(B522),ISBLANK(C522)),"",C522-B522)</f>
        <v>7</v>
      </c>
      <c r="AJ522" s="2" t="str">
        <f aca="false">IF(AI522="","Unknown",IF(AI522&lt;0,"Invalid","OK"))</f>
        <v>OK</v>
      </c>
      <c r="AK522" s="2" t="str">
        <f aca="false">IF(ISBLANK(B522),"",TEXT(B522,"mmm"))</f>
        <v>Jul</v>
      </c>
      <c r="AL522" s="2" t="n">
        <f aca="false">IF(ISBLANK(B522),"",YEAR(B522))</f>
        <v>2024</v>
      </c>
      <c r="AM522" s="2" t="s">
        <v>41</v>
      </c>
      <c r="AN522" s="2" t="str">
        <f aca="false">IF(OR(W522="Invalid",AJ522="Invalid",AH522="Inconsistent",Z522="Mismatch",AD522="Mismatch",AM522="Yes",D522="Yes",E522="Yes"),"Invalid",IF(OR(J522="Yes",Q522="Yes",U522="Yes"),"Warning","Clean"))</f>
        <v>Clean</v>
      </c>
    </row>
    <row r="523" customFormat="false" ht="15" hidden="false" customHeight="false" outlineLevel="0" collapsed="false">
      <c r="A523" s="2" t="s">
        <v>1684</v>
      </c>
      <c r="B523" s="3" t="n">
        <v>45741</v>
      </c>
      <c r="C523" s="3" t="n">
        <v>45748</v>
      </c>
      <c r="D523" s="2" t="s">
        <v>41</v>
      </c>
      <c r="E523" s="2" t="s">
        <v>41</v>
      </c>
      <c r="F523" s="2" t="s">
        <v>1685</v>
      </c>
      <c r="G523" s="2" t="s">
        <v>182</v>
      </c>
      <c r="H523" s="2" t="s">
        <v>44</v>
      </c>
      <c r="I523" s="2" t="s">
        <v>45</v>
      </c>
      <c r="J523" s="2" t="s">
        <v>41</v>
      </c>
      <c r="K523" s="2" t="s">
        <v>142</v>
      </c>
      <c r="L523" s="2" t="s">
        <v>143</v>
      </c>
      <c r="M523" s="2" t="s">
        <v>48</v>
      </c>
      <c r="N523" s="2" t="s">
        <v>111</v>
      </c>
      <c r="O523" s="2" t="s">
        <v>1686</v>
      </c>
      <c r="P523" s="2" t="s">
        <v>51</v>
      </c>
      <c r="Q523" s="2" t="s">
        <v>41</v>
      </c>
      <c r="R523" s="2" t="n">
        <v>6</v>
      </c>
      <c r="S523" s="2" t="n">
        <v>2192.11</v>
      </c>
      <c r="T523" s="2" t="n">
        <v>0.05</v>
      </c>
      <c r="U523" s="2" t="str">
        <f aca="false">IF(ISBLANK(T523),"Yes","No")</f>
        <v>No</v>
      </c>
      <c r="V523" s="2" t="n">
        <f aca="false">IF(ISBLANK(T523),0,IF(ISNUMBER(T523),T523,VALUE(LEFT(T523,LEN(T523)-1))/100))</f>
        <v>0.05</v>
      </c>
      <c r="W523" s="2" t="str">
        <f aca="false">IF(AND(V523&gt;=0,V523&lt;=0.25),"Valid","Invalid")</f>
        <v>Valid</v>
      </c>
      <c r="X523" s="2" t="n">
        <v>12495.03</v>
      </c>
      <c r="Y523" s="2" t="n">
        <f aca="false">R523*S523*(1-V523)</f>
        <v>12495.027</v>
      </c>
      <c r="Z523" s="2" t="str">
        <f aca="false">IF(ABS(X523-Y523)&gt;1,"Mismatch","OK")</f>
        <v>OK</v>
      </c>
      <c r="AA523" s="2" t="n">
        <v>9184.52</v>
      </c>
      <c r="AB523" s="2" t="n">
        <v>3310.51</v>
      </c>
      <c r="AC523" s="2" t="n">
        <f aca="false">Y523-AA523</f>
        <v>3310.507</v>
      </c>
      <c r="AD523" s="2" t="str">
        <f aca="false">IF(ABS(AB523-AC523)&gt;1,"Mismatch","OK")</f>
        <v>OK</v>
      </c>
      <c r="AE523" s="4" t="n">
        <f aca="false">IF(Y523=0,0,AC523/Y523)</f>
        <v>0.264945966103154</v>
      </c>
      <c r="AF523" s="2" t="s">
        <v>52</v>
      </c>
      <c r="AG523" s="2" t="s">
        <v>53</v>
      </c>
      <c r="AH523" s="2" t="str">
        <f aca="false">IF(AND(AG523="Completed",AF523&lt;&gt;"Paid"),"Inconsistent","OK")</f>
        <v>OK</v>
      </c>
      <c r="AI523" s="2" t="n">
        <f aca="false">IF(OR(ISBLANK(B523),ISBLANK(C523)),"",C523-B523)</f>
        <v>7</v>
      </c>
      <c r="AJ523" s="2" t="str">
        <f aca="false">IF(AI523="","Unknown",IF(AI523&lt;0,"Invalid","OK"))</f>
        <v>OK</v>
      </c>
      <c r="AK523" s="2" t="str">
        <f aca="false">IF(ISBLANK(B523),"",TEXT(B523,"mmm"))</f>
        <v>Mar</v>
      </c>
      <c r="AL523" s="2" t="n">
        <f aca="false">IF(ISBLANK(B523),"",YEAR(B523))</f>
        <v>2025</v>
      </c>
      <c r="AM523" s="2" t="s">
        <v>41</v>
      </c>
      <c r="AN523" s="2" t="str">
        <f aca="false">IF(OR(W523="Invalid",AJ523="Invalid",AH523="Inconsistent",Z523="Mismatch",AD523="Mismatch",AM523="Yes",D523="Yes",E523="Yes"),"Invalid",IF(OR(J523="Yes",Q523="Yes",U523="Yes"),"Warning","Clean"))</f>
        <v>Clean</v>
      </c>
    </row>
    <row r="524" customFormat="false" ht="15" hidden="false" customHeight="false" outlineLevel="0" collapsed="false">
      <c r="A524" s="2" t="s">
        <v>1687</v>
      </c>
      <c r="B524" s="3" t="n">
        <v>45716</v>
      </c>
      <c r="C524" s="3" t="n">
        <v>45724</v>
      </c>
      <c r="D524" s="2" t="s">
        <v>41</v>
      </c>
      <c r="E524" s="2" t="s">
        <v>41</v>
      </c>
      <c r="F524" s="2" t="s">
        <v>1688</v>
      </c>
      <c r="G524" s="2" t="s">
        <v>99</v>
      </c>
      <c r="H524" s="2" t="s">
        <v>57</v>
      </c>
      <c r="I524" s="2" t="s">
        <v>58</v>
      </c>
      <c r="J524" s="2" t="s">
        <v>41</v>
      </c>
      <c r="K524" s="2" t="s">
        <v>250</v>
      </c>
      <c r="L524" s="2" t="s">
        <v>251</v>
      </c>
      <c r="M524" s="2" t="s">
        <v>94</v>
      </c>
      <c r="N524" s="2" t="s">
        <v>191</v>
      </c>
      <c r="O524" s="2" t="s">
        <v>1689</v>
      </c>
      <c r="P524" s="2" t="s">
        <v>70</v>
      </c>
      <c r="Q524" s="2" t="s">
        <v>41</v>
      </c>
      <c r="R524" s="2" t="n">
        <v>9</v>
      </c>
      <c r="S524" s="2" t="n">
        <v>3670.54</v>
      </c>
      <c r="T524" s="2" t="n">
        <v>0</v>
      </c>
      <c r="U524" s="2" t="str">
        <f aca="false">IF(ISBLANK(T524),"Yes","No")</f>
        <v>No</v>
      </c>
      <c r="V524" s="2" t="n">
        <f aca="false">IF(ISBLANK(T524),0,IF(ISNUMBER(T524),T524,VALUE(LEFT(T524,LEN(T524)-1))/100))</f>
        <v>0</v>
      </c>
      <c r="W524" s="2" t="str">
        <f aca="false">IF(AND(V524&gt;=0,V524&lt;=0.25),"Valid","Invalid")</f>
        <v>Valid</v>
      </c>
      <c r="X524" s="2" t="n">
        <v>33034.86</v>
      </c>
      <c r="Y524" s="2" t="n">
        <f aca="false">R524*S524*(1-V524)</f>
        <v>33034.86</v>
      </c>
      <c r="Z524" s="2" t="str">
        <f aca="false">IF(ABS(X524-Y524)&gt;1,"Mismatch","OK")</f>
        <v>OK</v>
      </c>
      <c r="AA524" s="2" t="n">
        <v>24539.83</v>
      </c>
      <c r="AB524" s="2" t="n">
        <v>8495.03</v>
      </c>
      <c r="AC524" s="2" t="n">
        <f aca="false">Y524-AA524</f>
        <v>8495.03</v>
      </c>
      <c r="AD524" s="2" t="str">
        <f aca="false">IF(ABS(AB524-AC524)&gt;1,"Mismatch","OK")</f>
        <v>OK</v>
      </c>
      <c r="AE524" s="4" t="n">
        <f aca="false">IF(Y524=0,0,AC524/Y524)</f>
        <v>0.257153503904663</v>
      </c>
      <c r="AF524" s="2" t="s">
        <v>52</v>
      </c>
      <c r="AG524" s="2" t="s">
        <v>53</v>
      </c>
      <c r="AH524" s="2" t="str">
        <f aca="false">IF(AND(AG524="Completed",AF524&lt;&gt;"Paid"),"Inconsistent","OK")</f>
        <v>OK</v>
      </c>
      <c r="AI524" s="2" t="n">
        <f aca="false">IF(OR(ISBLANK(B524),ISBLANK(C524)),"",C524-B524)</f>
        <v>8</v>
      </c>
      <c r="AJ524" s="2" t="str">
        <f aca="false">IF(AI524="","Unknown",IF(AI524&lt;0,"Invalid","OK"))</f>
        <v>OK</v>
      </c>
      <c r="AK524" s="2" t="str">
        <f aca="false">IF(ISBLANK(B524),"",TEXT(B524,"mmm"))</f>
        <v>Feb</v>
      </c>
      <c r="AL524" s="2" t="n">
        <f aca="false">IF(ISBLANK(B524),"",YEAR(B524))</f>
        <v>2025</v>
      </c>
      <c r="AM524" s="2" t="s">
        <v>41</v>
      </c>
      <c r="AN524" s="2" t="str">
        <f aca="false">IF(OR(W524="Invalid",AJ524="Invalid",AH524="Inconsistent",Z524="Mismatch",AD524="Mismatch",AM524="Yes",D524="Yes",E524="Yes"),"Invalid",IF(OR(J524="Yes",Q524="Yes",U524="Yes"),"Warning","Clean"))</f>
        <v>Clean</v>
      </c>
    </row>
    <row r="525" customFormat="false" ht="15" hidden="false" customHeight="false" outlineLevel="0" collapsed="false">
      <c r="A525" s="2" t="s">
        <v>1690</v>
      </c>
      <c r="B525" s="3" t="n">
        <v>45384</v>
      </c>
      <c r="C525" s="3" t="n">
        <v>45385</v>
      </c>
      <c r="D525" s="2" t="s">
        <v>41</v>
      </c>
      <c r="E525" s="2" t="s">
        <v>41</v>
      </c>
      <c r="F525" s="2" t="s">
        <v>1691</v>
      </c>
      <c r="G525" s="2" t="s">
        <v>286</v>
      </c>
      <c r="H525" s="2" t="s">
        <v>115</v>
      </c>
      <c r="I525" s="2" t="s">
        <v>83</v>
      </c>
      <c r="J525" s="2" t="s">
        <v>41</v>
      </c>
      <c r="K525" s="2" t="s">
        <v>210</v>
      </c>
      <c r="L525" s="2" t="s">
        <v>211</v>
      </c>
      <c r="M525" s="2" t="s">
        <v>48</v>
      </c>
      <c r="N525" s="2" t="s">
        <v>49</v>
      </c>
      <c r="O525" s="2" t="s">
        <v>1692</v>
      </c>
      <c r="P525" s="2" t="s">
        <v>51</v>
      </c>
      <c r="Q525" s="2" t="s">
        <v>41</v>
      </c>
      <c r="R525" s="2" t="n">
        <v>2</v>
      </c>
      <c r="S525" s="2" t="n">
        <v>2902.63</v>
      </c>
      <c r="T525" s="2" t="n">
        <v>0</v>
      </c>
      <c r="U525" s="2" t="str">
        <f aca="false">IF(ISBLANK(T525),"Yes","No")</f>
        <v>No</v>
      </c>
      <c r="V525" s="2" t="n">
        <f aca="false">IF(ISBLANK(T525),0,IF(ISNUMBER(T525),T525,VALUE(LEFT(T525,LEN(T525)-1))/100))</f>
        <v>0</v>
      </c>
      <c r="W525" s="2" t="str">
        <f aca="false">IF(AND(V525&gt;=0,V525&lt;=0.25),"Valid","Invalid")</f>
        <v>Valid</v>
      </c>
      <c r="X525" s="2" t="n">
        <v>5805.26</v>
      </c>
      <c r="Y525" s="2" t="n">
        <f aca="false">R525*S525*(1-V525)</f>
        <v>5805.26</v>
      </c>
      <c r="Z525" s="2" t="str">
        <f aca="false">IF(ABS(X525-Y525)&gt;1,"Mismatch","OK")</f>
        <v>OK</v>
      </c>
      <c r="AA525" s="2" t="n">
        <v>4654.36</v>
      </c>
      <c r="AB525" s="2" t="n">
        <v>1150.9</v>
      </c>
      <c r="AC525" s="2" t="n">
        <f aca="false">Y525-AA525</f>
        <v>1150.9</v>
      </c>
      <c r="AD525" s="2" t="str">
        <f aca="false">IF(ABS(AB525-AC525)&gt;1,"Mismatch","OK")</f>
        <v>OK</v>
      </c>
      <c r="AE525" s="4" t="n">
        <f aca="false">IF(Y525=0,0,AC525/Y525)</f>
        <v>0.198251241115816</v>
      </c>
      <c r="AF525" s="2" t="s">
        <v>52</v>
      </c>
      <c r="AG525" s="2" t="s">
        <v>123</v>
      </c>
      <c r="AH525" s="2" t="str">
        <f aca="false">IF(AND(AG525="Completed",AF525&lt;&gt;"Paid"),"Inconsistent","OK")</f>
        <v>OK</v>
      </c>
      <c r="AI525" s="2" t="n">
        <f aca="false">IF(OR(ISBLANK(B525),ISBLANK(C525)),"",C525-B525)</f>
        <v>1</v>
      </c>
      <c r="AJ525" s="2" t="str">
        <f aca="false">IF(AI525="","Unknown",IF(AI525&lt;0,"Invalid","OK"))</f>
        <v>OK</v>
      </c>
      <c r="AK525" s="2" t="str">
        <f aca="false">IF(ISBLANK(B525),"",TEXT(B525,"mmm"))</f>
        <v>Apr</v>
      </c>
      <c r="AL525" s="2" t="n">
        <f aca="false">IF(ISBLANK(B525),"",YEAR(B525))</f>
        <v>2024</v>
      </c>
      <c r="AM525" s="2" t="s">
        <v>41</v>
      </c>
      <c r="AN525" s="2" t="str">
        <f aca="false">IF(OR(W525="Invalid",AJ525="Invalid",AH525="Inconsistent",Z525="Mismatch",AD525="Mismatch",AM525="Yes",D525="Yes",E525="Yes"),"Invalid",IF(OR(J525="Yes",Q525="Yes",U525="Yes"),"Warning","Clean"))</f>
        <v>Clean</v>
      </c>
    </row>
    <row r="526" customFormat="false" ht="15" hidden="false" customHeight="false" outlineLevel="0" collapsed="false">
      <c r="A526" s="2" t="s">
        <v>1693</v>
      </c>
      <c r="B526" s="3" t="n">
        <v>45626</v>
      </c>
      <c r="C526" s="3" t="n">
        <v>45627</v>
      </c>
      <c r="D526" s="2" t="s">
        <v>41</v>
      </c>
      <c r="E526" s="2" t="s">
        <v>41</v>
      </c>
      <c r="F526" s="2" t="s">
        <v>1694</v>
      </c>
      <c r="G526" s="2" t="s">
        <v>82</v>
      </c>
      <c r="H526" s="2" t="s">
        <v>110</v>
      </c>
      <c r="I526" s="2" t="s">
        <v>83</v>
      </c>
      <c r="J526" s="2" t="s">
        <v>41</v>
      </c>
      <c r="K526" s="2" t="s">
        <v>200</v>
      </c>
      <c r="L526" s="2" t="s">
        <v>201</v>
      </c>
      <c r="M526" s="2" t="s">
        <v>61</v>
      </c>
      <c r="N526" s="2" t="s">
        <v>86</v>
      </c>
      <c r="O526" s="2" t="s">
        <v>1695</v>
      </c>
      <c r="P526" s="2" t="s">
        <v>70</v>
      </c>
      <c r="Q526" s="2" t="s">
        <v>41</v>
      </c>
      <c r="R526" s="2" t="n">
        <v>9</v>
      </c>
      <c r="S526" s="2" t="n">
        <v>4207.36</v>
      </c>
      <c r="T526" s="2" t="n">
        <v>0.1</v>
      </c>
      <c r="U526" s="2" t="str">
        <f aca="false">IF(ISBLANK(T526),"Yes","No")</f>
        <v>No</v>
      </c>
      <c r="V526" s="2" t="n">
        <f aca="false">IF(ISBLANK(T526),0,IF(ISNUMBER(T526),T526,VALUE(LEFT(T526,LEN(T526)-1))/100))</f>
        <v>0.1</v>
      </c>
      <c r="W526" s="2" t="str">
        <f aca="false">IF(AND(V526&gt;=0,V526&lt;=0.25),"Valid","Invalid")</f>
        <v>Valid</v>
      </c>
      <c r="X526" s="2" t="n">
        <v>34079.62</v>
      </c>
      <c r="Y526" s="2" t="n">
        <f aca="false">R526*S526*(1-V526)</f>
        <v>34079.616</v>
      </c>
      <c r="Z526" s="2" t="str">
        <f aca="false">IF(ABS(X526-Y526)&gt;1,"Mismatch","OK")</f>
        <v>OK</v>
      </c>
      <c r="AA526" s="2" t="n">
        <v>21871.39</v>
      </c>
      <c r="AB526" s="2" t="n">
        <v>12208.23</v>
      </c>
      <c r="AC526" s="2" t="n">
        <f aca="false">Y526-AA526</f>
        <v>12208.226</v>
      </c>
      <c r="AD526" s="2" t="str">
        <f aca="false">IF(ABS(AB526-AC526)&gt;1,"Mismatch","OK")</f>
        <v>OK</v>
      </c>
      <c r="AE526" s="4" t="n">
        <f aca="false">IF(Y526=0,0,AC526/Y526)</f>
        <v>0.358226630253111</v>
      </c>
      <c r="AF526" s="2" t="s">
        <v>52</v>
      </c>
      <c r="AG526" s="2" t="s">
        <v>53</v>
      </c>
      <c r="AH526" s="2" t="str">
        <f aca="false">IF(AND(AG526="Completed",AF526&lt;&gt;"Paid"),"Inconsistent","OK")</f>
        <v>OK</v>
      </c>
      <c r="AI526" s="2" t="n">
        <f aca="false">IF(OR(ISBLANK(B526),ISBLANK(C526)),"",C526-B526)</f>
        <v>1</v>
      </c>
      <c r="AJ526" s="2" t="str">
        <f aca="false">IF(AI526="","Unknown",IF(AI526&lt;0,"Invalid","OK"))</f>
        <v>OK</v>
      </c>
      <c r="AK526" s="2" t="str">
        <f aca="false">IF(ISBLANK(B526),"",TEXT(B526,"mmm"))</f>
        <v>Nov</v>
      </c>
      <c r="AL526" s="2" t="n">
        <f aca="false">IF(ISBLANK(B526),"",YEAR(B526))</f>
        <v>2024</v>
      </c>
      <c r="AM526" s="2" t="s">
        <v>41</v>
      </c>
      <c r="AN526" s="2" t="str">
        <f aca="false">IF(OR(W526="Invalid",AJ526="Invalid",AH526="Inconsistent",Z526="Mismatch",AD526="Mismatch",AM526="Yes",D526="Yes",E526="Yes"),"Invalid",IF(OR(J526="Yes",Q526="Yes",U526="Yes"),"Warning","Clean"))</f>
        <v>Clean</v>
      </c>
    </row>
    <row r="527" customFormat="false" ht="15" hidden="false" customHeight="false" outlineLevel="0" collapsed="false">
      <c r="A527" s="2" t="s">
        <v>1696</v>
      </c>
      <c r="B527" s="3" t="n">
        <v>45582</v>
      </c>
      <c r="C527" s="3" t="n">
        <v>45582</v>
      </c>
      <c r="D527" s="2" t="s">
        <v>41</v>
      </c>
      <c r="E527" s="2" t="s">
        <v>41</v>
      </c>
      <c r="F527" s="2" t="s">
        <v>1697</v>
      </c>
      <c r="G527" s="2" t="s">
        <v>134</v>
      </c>
      <c r="H527" s="2" t="s">
        <v>115</v>
      </c>
      <c r="I527" s="2" t="s">
        <v>58</v>
      </c>
      <c r="J527" s="2" t="s">
        <v>41</v>
      </c>
      <c r="K527" s="2" t="s">
        <v>119</v>
      </c>
      <c r="L527" s="2" t="s">
        <v>120</v>
      </c>
      <c r="M527" s="2" t="s">
        <v>61</v>
      </c>
      <c r="N527" s="2" t="s">
        <v>86</v>
      </c>
      <c r="O527" s="2" t="s">
        <v>1698</v>
      </c>
      <c r="P527" s="2" t="s">
        <v>79</v>
      </c>
      <c r="Q527" s="2" t="s">
        <v>41</v>
      </c>
      <c r="R527" s="2" t="n">
        <v>5</v>
      </c>
      <c r="S527" s="2" t="n">
        <v>2524.4</v>
      </c>
      <c r="T527" s="2" t="n">
        <v>0.1</v>
      </c>
      <c r="U527" s="2" t="str">
        <f aca="false">IF(ISBLANK(T527),"Yes","No")</f>
        <v>No</v>
      </c>
      <c r="V527" s="2" t="n">
        <f aca="false">IF(ISBLANK(T527),0,IF(ISNUMBER(T527),T527,VALUE(LEFT(T527,LEN(T527)-1))/100))</f>
        <v>0.1</v>
      </c>
      <c r="W527" s="2" t="str">
        <f aca="false">IF(AND(V527&gt;=0,V527&lt;=0.25),"Valid","Invalid")</f>
        <v>Valid</v>
      </c>
      <c r="X527" s="2" t="n">
        <v>11359.8</v>
      </c>
      <c r="Y527" s="2" t="n">
        <f aca="false">R527*S527*(1-V527)</f>
        <v>11359.8</v>
      </c>
      <c r="Z527" s="2" t="str">
        <f aca="false">IF(ABS(X527-Y527)&gt;1,"Mismatch","OK")</f>
        <v>OK</v>
      </c>
      <c r="AA527" s="2" t="n">
        <v>7062.44</v>
      </c>
      <c r="AB527" s="2" t="n">
        <v>4297.36</v>
      </c>
      <c r="AC527" s="2" t="n">
        <f aca="false">Y527-AA527</f>
        <v>4297.36</v>
      </c>
      <c r="AD527" s="2" t="str">
        <f aca="false">IF(ABS(AB527-AC527)&gt;1,"Mismatch","OK")</f>
        <v>OK</v>
      </c>
      <c r="AE527" s="4" t="n">
        <f aca="false">IF(Y527=0,0,AC527/Y527)</f>
        <v>0.378295392524516</v>
      </c>
      <c r="AF527" s="2" t="s">
        <v>52</v>
      </c>
      <c r="AG527" s="2" t="s">
        <v>53</v>
      </c>
      <c r="AH527" s="2" t="str">
        <f aca="false">IF(AND(AG527="Completed",AF527&lt;&gt;"Paid"),"Inconsistent","OK")</f>
        <v>OK</v>
      </c>
      <c r="AI527" s="2" t="n">
        <f aca="false">IF(OR(ISBLANK(B527),ISBLANK(C527)),"",C527-B527)</f>
        <v>0</v>
      </c>
      <c r="AJ527" s="2" t="str">
        <f aca="false">IF(AI527="","Unknown",IF(AI527&lt;0,"Invalid","OK"))</f>
        <v>OK</v>
      </c>
      <c r="AK527" s="2" t="str">
        <f aca="false">IF(ISBLANK(B527),"",TEXT(B527,"mmm"))</f>
        <v>Oct</v>
      </c>
      <c r="AL527" s="2" t="n">
        <f aca="false">IF(ISBLANK(B527),"",YEAR(B527))</f>
        <v>2024</v>
      </c>
      <c r="AM527" s="2" t="s">
        <v>41</v>
      </c>
      <c r="AN527" s="2" t="str">
        <f aca="false">IF(OR(W527="Invalid",AJ527="Invalid",AH527="Inconsistent",Z527="Mismatch",AD527="Mismatch",AM527="Yes",D527="Yes",E527="Yes"),"Invalid",IF(OR(J527="Yes",Q527="Yes",U527="Yes"),"Warning","Clean"))</f>
        <v>Clean</v>
      </c>
    </row>
    <row r="528" customFormat="false" ht="15" hidden="false" customHeight="false" outlineLevel="0" collapsed="false">
      <c r="A528" s="2" t="s">
        <v>1699</v>
      </c>
      <c r="B528" s="3" t="n">
        <v>45856</v>
      </c>
      <c r="C528" s="3" t="n">
        <v>45859</v>
      </c>
      <c r="D528" s="2" t="s">
        <v>41</v>
      </c>
      <c r="E528" s="2" t="s">
        <v>41</v>
      </c>
      <c r="F528" s="2" t="s">
        <v>1700</v>
      </c>
      <c r="G528" s="2" t="s">
        <v>134</v>
      </c>
      <c r="H528" s="2" t="s">
        <v>44</v>
      </c>
      <c r="I528" s="2" t="s">
        <v>58</v>
      </c>
      <c r="J528" s="2" t="s">
        <v>41</v>
      </c>
      <c r="K528" s="2" t="s">
        <v>59</v>
      </c>
      <c r="L528" s="2" t="s">
        <v>60</v>
      </c>
      <c r="M528" s="2" t="s">
        <v>61</v>
      </c>
      <c r="N528" s="2" t="s">
        <v>62</v>
      </c>
      <c r="O528" s="2" t="s">
        <v>1701</v>
      </c>
      <c r="P528" s="2" t="s">
        <v>51</v>
      </c>
      <c r="Q528" s="2" t="s">
        <v>41</v>
      </c>
      <c r="R528" s="2" t="n">
        <v>4</v>
      </c>
      <c r="S528" s="2" t="n">
        <v>284.04</v>
      </c>
      <c r="T528" s="2"/>
      <c r="U528" s="2" t="str">
        <f aca="false">IF(ISBLANK(T528),"Yes","No")</f>
        <v>Yes</v>
      </c>
      <c r="V528" s="2" t="n">
        <f aca="false">IF(ISBLANK(T528),0,IF(ISNUMBER(T528),T528,VALUE(LEFT(T528,LEN(T528)-1))/100))</f>
        <v>0</v>
      </c>
      <c r="W528" s="2" t="str">
        <f aca="false">IF(AND(V528&gt;=0,V528&lt;=0.25),"Valid","Invalid")</f>
        <v>Valid</v>
      </c>
      <c r="X528" s="2" t="n">
        <v>908.93</v>
      </c>
      <c r="Y528" s="2" t="n">
        <f aca="false">R528*S528*(1-V528)</f>
        <v>1136.16</v>
      </c>
      <c r="Z528" s="2" t="str">
        <f aca="false">IF(ABS(X528-Y528)&gt;1,"Mismatch","OK")</f>
        <v>Mismatch</v>
      </c>
      <c r="AA528" s="2" t="n">
        <v>572.08</v>
      </c>
      <c r="AB528" s="2" t="n">
        <v>336.85</v>
      </c>
      <c r="AC528" s="2" t="n">
        <f aca="false">Y528-AA528</f>
        <v>564.08</v>
      </c>
      <c r="AD528" s="2" t="str">
        <f aca="false">IF(ABS(AB528-AC528)&gt;1,"Mismatch","OK")</f>
        <v>Mismatch</v>
      </c>
      <c r="AE528" s="4" t="n">
        <f aca="false">IF(Y528=0,0,AC528/Y528)</f>
        <v>0.496479369102943</v>
      </c>
      <c r="AF528" s="2" t="s">
        <v>52</v>
      </c>
      <c r="AG528" s="2" t="s">
        <v>53</v>
      </c>
      <c r="AH528" s="2" t="str">
        <f aca="false">IF(AND(AG528="Completed",AF528&lt;&gt;"Paid"),"Inconsistent","OK")</f>
        <v>OK</v>
      </c>
      <c r="AI528" s="2" t="n">
        <f aca="false">IF(OR(ISBLANK(B528),ISBLANK(C528)),"",C528-B528)</f>
        <v>3</v>
      </c>
      <c r="AJ528" s="2" t="str">
        <f aca="false">IF(AI528="","Unknown",IF(AI528&lt;0,"Invalid","OK"))</f>
        <v>OK</v>
      </c>
      <c r="AK528" s="2" t="str">
        <f aca="false">IF(ISBLANK(B528),"",TEXT(B528,"mmm"))</f>
        <v>Jul</v>
      </c>
      <c r="AL528" s="2" t="n">
        <f aca="false">IF(ISBLANK(B528),"",YEAR(B528))</f>
        <v>2025</v>
      </c>
      <c r="AM528" s="2" t="s">
        <v>41</v>
      </c>
      <c r="AN528" s="2" t="str">
        <f aca="false">IF(OR(W528="Invalid",AJ528="Invalid",AH528="Inconsistent",Z528="Mismatch",AD528="Mismatch",AM528="Yes",D528="Yes",E528="Yes"),"Invalid",IF(OR(J528="Yes",Q528="Yes",U528="Yes"),"Warning","Clean"))</f>
        <v>Invalid</v>
      </c>
    </row>
    <row r="529" customFormat="false" ht="15" hidden="false" customHeight="false" outlineLevel="0" collapsed="false">
      <c r="A529" s="2" t="s">
        <v>1702</v>
      </c>
      <c r="B529" s="3" t="n">
        <v>45931</v>
      </c>
      <c r="C529" s="3" t="n">
        <v>45935</v>
      </c>
      <c r="D529" s="2" t="s">
        <v>41</v>
      </c>
      <c r="E529" s="2" t="s">
        <v>41</v>
      </c>
      <c r="F529" s="2" t="s">
        <v>1703</v>
      </c>
      <c r="G529" s="2" t="s">
        <v>109</v>
      </c>
      <c r="H529" s="2" t="s">
        <v>115</v>
      </c>
      <c r="I529" s="2" t="s">
        <v>45</v>
      </c>
      <c r="J529" s="2" t="s">
        <v>41</v>
      </c>
      <c r="K529" s="2" t="s">
        <v>258</v>
      </c>
      <c r="L529" s="2" t="s">
        <v>259</v>
      </c>
      <c r="M529" s="2" t="s">
        <v>48</v>
      </c>
      <c r="N529" s="2" t="s">
        <v>49</v>
      </c>
      <c r="O529" s="2" t="s">
        <v>1704</v>
      </c>
      <c r="P529" s="2" t="s">
        <v>70</v>
      </c>
      <c r="Q529" s="2" t="s">
        <v>41</v>
      </c>
      <c r="R529" s="2" t="n">
        <v>5</v>
      </c>
      <c r="S529" s="2" t="n">
        <v>3247.56</v>
      </c>
      <c r="T529" s="2" t="n">
        <v>0.15</v>
      </c>
      <c r="U529" s="2" t="str">
        <f aca="false">IF(ISBLANK(T529),"Yes","No")</f>
        <v>No</v>
      </c>
      <c r="V529" s="2" t="n">
        <f aca="false">IF(ISBLANK(T529),0,IF(ISNUMBER(T529),T529,VALUE(LEFT(T529,LEN(T529)-1))/100))</f>
        <v>0.15</v>
      </c>
      <c r="W529" s="2" t="str">
        <f aca="false">IF(AND(V529&gt;=0,V529&lt;=0.25),"Valid","Invalid")</f>
        <v>Valid</v>
      </c>
      <c r="X529" s="2" t="n">
        <v>13802.13</v>
      </c>
      <c r="Y529" s="2" t="n">
        <f aca="false">R529*S529*(1-V529)</f>
        <v>13802.13</v>
      </c>
      <c r="Z529" s="2" t="str">
        <f aca="false">IF(ABS(X529-Y529)&gt;1,"Mismatch","OK")</f>
        <v>OK</v>
      </c>
      <c r="AA529" s="2" t="n">
        <v>10075.93</v>
      </c>
      <c r="AB529" s="2" t="n">
        <v>3726.2</v>
      </c>
      <c r="AC529" s="2" t="n">
        <f aca="false">Y529-AA529</f>
        <v>3726.2</v>
      </c>
      <c r="AD529" s="2" t="str">
        <f aca="false">IF(ABS(AB529-AC529)&gt;1,"Mismatch","OK")</f>
        <v>OK</v>
      </c>
      <c r="AE529" s="4" t="n">
        <f aca="false">IF(Y529=0,0,AC529/Y529)</f>
        <v>0.269972823035285</v>
      </c>
      <c r="AF529" s="2" t="s">
        <v>52</v>
      </c>
      <c r="AG529" s="2" t="s">
        <v>53</v>
      </c>
      <c r="AH529" s="2" t="str">
        <f aca="false">IF(AND(AG529="Completed",AF529&lt;&gt;"Paid"),"Inconsistent","OK")</f>
        <v>OK</v>
      </c>
      <c r="AI529" s="2" t="n">
        <f aca="false">IF(OR(ISBLANK(B529),ISBLANK(C529)),"",C529-B529)</f>
        <v>4</v>
      </c>
      <c r="AJ529" s="2" t="str">
        <f aca="false">IF(AI529="","Unknown",IF(AI529&lt;0,"Invalid","OK"))</f>
        <v>OK</v>
      </c>
      <c r="AK529" s="2" t="str">
        <f aca="false">IF(ISBLANK(B529),"",TEXT(B529,"mmm"))</f>
        <v>Oct</v>
      </c>
      <c r="AL529" s="2" t="n">
        <f aca="false">IF(ISBLANK(B529),"",YEAR(B529))</f>
        <v>2025</v>
      </c>
      <c r="AM529" s="2" t="s">
        <v>41</v>
      </c>
      <c r="AN529" s="2" t="str">
        <f aca="false">IF(OR(W529="Invalid",AJ529="Invalid",AH529="Inconsistent",Z529="Mismatch",AD529="Mismatch",AM529="Yes",D529="Yes",E529="Yes"),"Invalid",IF(OR(J529="Yes",Q529="Yes",U529="Yes"),"Warning","Clean"))</f>
        <v>Clean</v>
      </c>
    </row>
    <row r="530" customFormat="false" ht="15" hidden="false" customHeight="false" outlineLevel="0" collapsed="false">
      <c r="A530" s="2" t="s">
        <v>1705</v>
      </c>
      <c r="B530" s="3" t="n">
        <v>45572</v>
      </c>
      <c r="C530" s="3" t="n">
        <v>45574</v>
      </c>
      <c r="D530" s="2" t="s">
        <v>41</v>
      </c>
      <c r="E530" s="2" t="s">
        <v>41</v>
      </c>
      <c r="F530" s="2" t="s">
        <v>1706</v>
      </c>
      <c r="G530" s="2" t="s">
        <v>182</v>
      </c>
      <c r="H530" s="2" t="s">
        <v>44</v>
      </c>
      <c r="I530" s="2" t="s">
        <v>74</v>
      </c>
      <c r="J530" s="2" t="s">
        <v>41</v>
      </c>
      <c r="K530" s="2" t="s">
        <v>269</v>
      </c>
      <c r="L530" s="2" t="s">
        <v>270</v>
      </c>
      <c r="M530" s="2" t="s">
        <v>48</v>
      </c>
      <c r="N530" s="2" t="s">
        <v>173</v>
      </c>
      <c r="O530" s="2" t="s">
        <v>1707</v>
      </c>
      <c r="P530" s="2" t="s">
        <v>79</v>
      </c>
      <c r="Q530" s="2" t="s">
        <v>41</v>
      </c>
      <c r="R530" s="2" t="n">
        <v>9</v>
      </c>
      <c r="S530" s="2" t="n">
        <v>3457.09</v>
      </c>
      <c r="T530" s="2" t="n">
        <v>0.05</v>
      </c>
      <c r="U530" s="2" t="str">
        <f aca="false">IF(ISBLANK(T530),"Yes","No")</f>
        <v>No</v>
      </c>
      <c r="V530" s="2" t="n">
        <f aca="false">IF(ISBLANK(T530),0,IF(ISNUMBER(T530),T530,VALUE(LEFT(T530,LEN(T530)-1))/100))</f>
        <v>0.05</v>
      </c>
      <c r="W530" s="2" t="str">
        <f aca="false">IF(AND(V530&gt;=0,V530&lt;=0.25),"Valid","Invalid")</f>
        <v>Valid</v>
      </c>
      <c r="X530" s="2" t="n">
        <v>29558.12</v>
      </c>
      <c r="Y530" s="2" t="n">
        <f aca="false">R530*S530*(1-V530)</f>
        <v>29558.1195</v>
      </c>
      <c r="Z530" s="2" t="str">
        <f aca="false">IF(ABS(X530-Y530)&gt;1,"Mismatch","OK")</f>
        <v>OK</v>
      </c>
      <c r="AA530" s="2" t="n">
        <v>21302.13</v>
      </c>
      <c r="AB530" s="2" t="n">
        <v>8255.99</v>
      </c>
      <c r="AC530" s="2" t="n">
        <f aca="false">Y530-AA530</f>
        <v>8255.9895</v>
      </c>
      <c r="AD530" s="2" t="str">
        <f aca="false">IF(ABS(AB530-AC530)&gt;1,"Mismatch","OK")</f>
        <v>OK</v>
      </c>
      <c r="AE530" s="4" t="n">
        <f aca="false">IF(Y530=0,0,AC530/Y530)</f>
        <v>0.279313760132812</v>
      </c>
      <c r="AF530" s="2" t="s">
        <v>131</v>
      </c>
      <c r="AG530" s="2" t="s">
        <v>123</v>
      </c>
      <c r="AH530" s="2" t="str">
        <f aca="false">IF(AND(AG530="Completed",AF530&lt;&gt;"Paid"),"Inconsistent","OK")</f>
        <v>OK</v>
      </c>
      <c r="AI530" s="2" t="n">
        <f aca="false">IF(OR(ISBLANK(B530),ISBLANK(C530)),"",C530-B530)</f>
        <v>2</v>
      </c>
      <c r="AJ530" s="2" t="str">
        <f aca="false">IF(AI530="","Unknown",IF(AI530&lt;0,"Invalid","OK"))</f>
        <v>OK</v>
      </c>
      <c r="AK530" s="2" t="str">
        <f aca="false">IF(ISBLANK(B530),"",TEXT(B530,"mmm"))</f>
        <v>Oct</v>
      </c>
      <c r="AL530" s="2" t="n">
        <f aca="false">IF(ISBLANK(B530),"",YEAR(B530))</f>
        <v>2024</v>
      </c>
      <c r="AM530" s="2" t="s">
        <v>41</v>
      </c>
      <c r="AN530" s="2" t="str">
        <f aca="false">IF(OR(W530="Invalid",AJ530="Invalid",AH530="Inconsistent",Z530="Mismatch",AD530="Mismatch",AM530="Yes",D530="Yes",E530="Yes"),"Invalid",IF(OR(J530="Yes",Q530="Yes",U530="Yes"),"Warning","Clean"))</f>
        <v>Clean</v>
      </c>
    </row>
    <row r="531" customFormat="false" ht="15" hidden="false" customHeight="false" outlineLevel="0" collapsed="false">
      <c r="A531" s="2" t="s">
        <v>1708</v>
      </c>
      <c r="B531" s="3" t="n">
        <v>45328</v>
      </c>
      <c r="C531" s="3" t="n">
        <v>45330</v>
      </c>
      <c r="D531" s="2" t="s">
        <v>41</v>
      </c>
      <c r="E531" s="2" t="s">
        <v>41</v>
      </c>
      <c r="F531" s="2" t="s">
        <v>752</v>
      </c>
      <c r="G531" s="2" t="s">
        <v>43</v>
      </c>
      <c r="H531" s="2" t="s">
        <v>44</v>
      </c>
      <c r="I531" s="2" t="s">
        <v>58</v>
      </c>
      <c r="J531" s="2" t="s">
        <v>41</v>
      </c>
      <c r="K531" s="2" t="s">
        <v>250</v>
      </c>
      <c r="L531" s="2" t="s">
        <v>251</v>
      </c>
      <c r="M531" s="2" t="s">
        <v>61</v>
      </c>
      <c r="N531" s="2" t="s">
        <v>178</v>
      </c>
      <c r="O531" s="2" t="s">
        <v>1709</v>
      </c>
      <c r="P531" s="2" t="s">
        <v>51</v>
      </c>
      <c r="Q531" s="2" t="s">
        <v>41</v>
      </c>
      <c r="R531" s="2" t="n">
        <v>9</v>
      </c>
      <c r="S531" s="2" t="n">
        <v>1822.25</v>
      </c>
      <c r="T531" s="2" t="n">
        <v>0</v>
      </c>
      <c r="U531" s="2" t="str">
        <f aca="false">IF(ISBLANK(T531),"Yes","No")</f>
        <v>No</v>
      </c>
      <c r="V531" s="2" t="n">
        <f aca="false">IF(ISBLANK(T531),0,IF(ISNUMBER(T531),T531,VALUE(LEFT(T531,LEN(T531)-1))/100))</f>
        <v>0</v>
      </c>
      <c r="W531" s="2" t="str">
        <f aca="false">IF(AND(V531&gt;=0,V531&lt;=0.25),"Valid","Invalid")</f>
        <v>Valid</v>
      </c>
      <c r="X531" s="2" t="n">
        <v>16400.25</v>
      </c>
      <c r="Y531" s="2" t="n">
        <f aca="false">R531*S531*(1-V531)</f>
        <v>16400.25</v>
      </c>
      <c r="Z531" s="2" t="str">
        <f aca="false">IF(ABS(X531-Y531)&gt;1,"Mismatch","OK")</f>
        <v>OK</v>
      </c>
      <c r="AA531" s="2" t="n">
        <v>12146.96</v>
      </c>
      <c r="AB531" s="2" t="n">
        <v>4253.29</v>
      </c>
      <c r="AC531" s="2" t="n">
        <f aca="false">Y531-AA531</f>
        <v>4253.29</v>
      </c>
      <c r="AD531" s="2" t="str">
        <f aca="false">IF(ABS(AB531-AC531)&gt;1,"Mismatch","OK")</f>
        <v>OK</v>
      </c>
      <c r="AE531" s="4" t="n">
        <f aca="false">IF(Y531=0,0,AC531/Y531)</f>
        <v>0.259342997820155</v>
      </c>
      <c r="AF531" s="2" t="s">
        <v>52</v>
      </c>
      <c r="AG531" s="2" t="s">
        <v>53</v>
      </c>
      <c r="AH531" s="2" t="str">
        <f aca="false">IF(AND(AG531="Completed",AF531&lt;&gt;"Paid"),"Inconsistent","OK")</f>
        <v>OK</v>
      </c>
      <c r="AI531" s="2" t="n">
        <f aca="false">IF(OR(ISBLANK(B531),ISBLANK(C531)),"",C531-B531)</f>
        <v>2</v>
      </c>
      <c r="AJ531" s="2" t="str">
        <f aca="false">IF(AI531="","Unknown",IF(AI531&lt;0,"Invalid","OK"))</f>
        <v>OK</v>
      </c>
      <c r="AK531" s="2" t="str">
        <f aca="false">IF(ISBLANK(B531),"",TEXT(B531,"mmm"))</f>
        <v>Feb</v>
      </c>
      <c r="AL531" s="2" t="n">
        <f aca="false">IF(ISBLANK(B531),"",YEAR(B531))</f>
        <v>2024</v>
      </c>
      <c r="AM531" s="2" t="s">
        <v>41</v>
      </c>
      <c r="AN531" s="2" t="str">
        <f aca="false">IF(OR(W531="Invalid",AJ531="Invalid",AH531="Inconsistent",Z531="Mismatch",AD531="Mismatch",AM531="Yes",D531="Yes",E531="Yes"),"Invalid",IF(OR(J531="Yes",Q531="Yes",U531="Yes"),"Warning","Clean"))</f>
        <v>Clean</v>
      </c>
    </row>
    <row r="532" customFormat="false" ht="15" hidden="false" customHeight="false" outlineLevel="0" collapsed="false">
      <c r="A532" s="2" t="s">
        <v>1710</v>
      </c>
      <c r="B532" s="3" t="n">
        <v>45807</v>
      </c>
      <c r="C532" s="3" t="n">
        <v>45809</v>
      </c>
      <c r="D532" s="2" t="s">
        <v>41</v>
      </c>
      <c r="E532" s="2" t="s">
        <v>41</v>
      </c>
      <c r="F532" s="2" t="s">
        <v>1711</v>
      </c>
      <c r="G532" s="2" t="s">
        <v>138</v>
      </c>
      <c r="H532" s="2" t="s">
        <v>115</v>
      </c>
      <c r="I532" s="2" t="s">
        <v>74</v>
      </c>
      <c r="J532" s="2" t="s">
        <v>41</v>
      </c>
      <c r="K532" s="2" t="s">
        <v>269</v>
      </c>
      <c r="L532" s="2" t="s">
        <v>270</v>
      </c>
      <c r="M532" s="2" t="s">
        <v>48</v>
      </c>
      <c r="N532" s="2" t="s">
        <v>173</v>
      </c>
      <c r="O532" s="2" t="s">
        <v>1712</v>
      </c>
      <c r="P532" s="2" t="s">
        <v>79</v>
      </c>
      <c r="Q532" s="2" t="s">
        <v>41</v>
      </c>
      <c r="R532" s="2" t="n">
        <v>9</v>
      </c>
      <c r="S532" s="2" t="n">
        <v>1994.51</v>
      </c>
      <c r="T532" s="2" t="n">
        <v>0.05</v>
      </c>
      <c r="U532" s="2" t="str">
        <f aca="false">IF(ISBLANK(T532),"Yes","No")</f>
        <v>No</v>
      </c>
      <c r="V532" s="2" t="n">
        <f aca="false">IF(ISBLANK(T532),0,IF(ISNUMBER(T532),T532,VALUE(LEFT(T532,LEN(T532)-1))/100))</f>
        <v>0.05</v>
      </c>
      <c r="W532" s="2" t="str">
        <f aca="false">IF(AND(V532&gt;=0,V532&lt;=0.25),"Valid","Invalid")</f>
        <v>Valid</v>
      </c>
      <c r="X532" s="2" t="n">
        <v>17053.06</v>
      </c>
      <c r="Y532" s="2" t="n">
        <f aca="false">R532*S532*(1-V532)</f>
        <v>17053.0605</v>
      </c>
      <c r="Z532" s="2" t="str">
        <f aca="false">IF(ABS(X532-Y532)&gt;1,"Mismatch","OK")</f>
        <v>OK</v>
      </c>
      <c r="AA532" s="2" t="n">
        <v>10742.38</v>
      </c>
      <c r="AB532" s="2" t="n">
        <v>6310.68</v>
      </c>
      <c r="AC532" s="2" t="n">
        <f aca="false">Y532-AA532</f>
        <v>6310.6805</v>
      </c>
      <c r="AD532" s="2" t="str">
        <f aca="false">IF(ABS(AB532-AC532)&gt;1,"Mismatch","OK")</f>
        <v>OK</v>
      </c>
      <c r="AE532" s="4" t="n">
        <f aca="false">IF(Y532=0,0,AC532/Y532)</f>
        <v>0.370061461988011</v>
      </c>
      <c r="AF532" s="2" t="s">
        <v>52</v>
      </c>
      <c r="AG532" s="2" t="s">
        <v>53</v>
      </c>
      <c r="AH532" s="2" t="str">
        <f aca="false">IF(AND(AG532="Completed",AF532&lt;&gt;"Paid"),"Inconsistent","OK")</f>
        <v>OK</v>
      </c>
      <c r="AI532" s="2" t="n">
        <f aca="false">IF(OR(ISBLANK(B532),ISBLANK(C532)),"",C532-B532)</f>
        <v>2</v>
      </c>
      <c r="AJ532" s="2" t="str">
        <f aca="false">IF(AI532="","Unknown",IF(AI532&lt;0,"Invalid","OK"))</f>
        <v>OK</v>
      </c>
      <c r="AK532" s="2" t="str">
        <f aca="false">IF(ISBLANK(B532),"",TEXT(B532,"mmm"))</f>
        <v>May</v>
      </c>
      <c r="AL532" s="2" t="n">
        <f aca="false">IF(ISBLANK(B532),"",YEAR(B532))</f>
        <v>2025</v>
      </c>
      <c r="AM532" s="2" t="s">
        <v>41</v>
      </c>
      <c r="AN532" s="2" t="str">
        <f aca="false">IF(OR(W532="Invalid",AJ532="Invalid",AH532="Inconsistent",Z532="Mismatch",AD532="Mismatch",AM532="Yes",D532="Yes",E532="Yes"),"Invalid",IF(OR(J532="Yes",Q532="Yes",U532="Yes"),"Warning","Clean"))</f>
        <v>Clean</v>
      </c>
    </row>
    <row r="533" customFormat="false" ht="15" hidden="false" customHeight="false" outlineLevel="0" collapsed="false">
      <c r="A533" s="2" t="s">
        <v>1713</v>
      </c>
      <c r="B533" s="3" t="n">
        <v>45505</v>
      </c>
      <c r="C533" s="3" t="n">
        <v>45512</v>
      </c>
      <c r="D533" s="2" t="s">
        <v>41</v>
      </c>
      <c r="E533" s="2" t="s">
        <v>41</v>
      </c>
      <c r="F533" s="2" t="s">
        <v>1714</v>
      </c>
      <c r="G533" s="2" t="s">
        <v>182</v>
      </c>
      <c r="H533" s="2" t="s">
        <v>57</v>
      </c>
      <c r="I533" s="2" t="s">
        <v>83</v>
      </c>
      <c r="J533" s="2" t="s">
        <v>41</v>
      </c>
      <c r="K533" s="2" t="s">
        <v>84</v>
      </c>
      <c r="L533" s="2" t="s">
        <v>85</v>
      </c>
      <c r="M533" s="2" t="s">
        <v>48</v>
      </c>
      <c r="N533" s="2" t="s">
        <v>144</v>
      </c>
      <c r="O533" s="2" t="s">
        <v>1715</v>
      </c>
      <c r="P533" s="2" t="s">
        <v>225</v>
      </c>
      <c r="Q533" s="2" t="s">
        <v>226</v>
      </c>
      <c r="R533" s="2" t="n">
        <v>1</v>
      </c>
      <c r="S533" s="2" t="n">
        <v>442.97</v>
      </c>
      <c r="T533" s="2" t="n">
        <v>0.1</v>
      </c>
      <c r="U533" s="2" t="str">
        <f aca="false">IF(ISBLANK(T533),"Yes","No")</f>
        <v>No</v>
      </c>
      <c r="V533" s="2" t="n">
        <f aca="false">IF(ISBLANK(T533),0,IF(ISNUMBER(T533),T533,VALUE(LEFT(T533,LEN(T533)-1))/100))</f>
        <v>0.1</v>
      </c>
      <c r="W533" s="2" t="str">
        <f aca="false">IF(AND(V533&gt;=0,V533&lt;=0.25),"Valid","Invalid")</f>
        <v>Valid</v>
      </c>
      <c r="X533" s="2" t="n">
        <v>398.67</v>
      </c>
      <c r="Y533" s="2" t="n">
        <f aca="false">R533*S533*(1-V533)</f>
        <v>398.673</v>
      </c>
      <c r="Z533" s="2" t="str">
        <f aca="false">IF(ABS(X533-Y533)&gt;1,"Mismatch","OK")</f>
        <v>OK</v>
      </c>
      <c r="AA533" s="2" t="n">
        <v>311.66</v>
      </c>
      <c r="AB533" s="2" t="n">
        <v>87.01</v>
      </c>
      <c r="AC533" s="2" t="n">
        <f aca="false">Y533-AA533</f>
        <v>87.013</v>
      </c>
      <c r="AD533" s="2" t="str">
        <f aca="false">IF(ABS(AB533-AC533)&gt;1,"Mismatch","OK")</f>
        <v>OK</v>
      </c>
      <c r="AE533" s="4" t="n">
        <f aca="false">IF(Y533=0,0,AC533/Y533)</f>
        <v>0.21825656615823</v>
      </c>
      <c r="AF533" s="2" t="s">
        <v>52</v>
      </c>
      <c r="AG533" s="2" t="s">
        <v>53</v>
      </c>
      <c r="AH533" s="2" t="str">
        <f aca="false">IF(AND(AG533="Completed",AF533&lt;&gt;"Paid"),"Inconsistent","OK")</f>
        <v>OK</v>
      </c>
      <c r="AI533" s="2" t="n">
        <f aca="false">IF(OR(ISBLANK(B533),ISBLANK(C533)),"",C533-B533)</f>
        <v>7</v>
      </c>
      <c r="AJ533" s="2" t="str">
        <f aca="false">IF(AI533="","Unknown",IF(AI533&lt;0,"Invalid","OK"))</f>
        <v>OK</v>
      </c>
      <c r="AK533" s="2" t="str">
        <f aca="false">IF(ISBLANK(B533),"",TEXT(B533,"mmm"))</f>
        <v>Aug</v>
      </c>
      <c r="AL533" s="2" t="n">
        <f aca="false">IF(ISBLANK(B533),"",YEAR(B533))</f>
        <v>2024</v>
      </c>
      <c r="AM533" s="2" t="s">
        <v>41</v>
      </c>
      <c r="AN533" s="2" t="str">
        <f aca="false">IF(OR(W533="Invalid",AJ533="Invalid",AH533="Inconsistent",Z533="Mismatch",AD533="Mismatch",AM533="Yes",D533="Yes",E533="Yes"),"Invalid",IF(OR(J533="Yes",Q533="Yes",U533="Yes"),"Warning","Clean"))</f>
        <v>Warning</v>
      </c>
    </row>
    <row r="534" customFormat="false" ht="15" hidden="false" customHeight="false" outlineLevel="0" collapsed="false">
      <c r="A534" s="2" t="s">
        <v>1716</v>
      </c>
      <c r="B534" s="3" t="n">
        <v>45935</v>
      </c>
      <c r="C534" s="3" t="n">
        <v>45940</v>
      </c>
      <c r="D534" s="2" t="s">
        <v>41</v>
      </c>
      <c r="E534" s="2" t="s">
        <v>41</v>
      </c>
      <c r="F534" s="2" t="s">
        <v>1717</v>
      </c>
      <c r="G534" s="2" t="s">
        <v>134</v>
      </c>
      <c r="H534" s="2" t="s">
        <v>110</v>
      </c>
      <c r="I534" s="2" t="s">
        <v>58</v>
      </c>
      <c r="J534" s="2" t="s">
        <v>41</v>
      </c>
      <c r="K534" s="2" t="s">
        <v>186</v>
      </c>
      <c r="L534" s="2" t="s">
        <v>187</v>
      </c>
      <c r="M534" s="2" t="s">
        <v>61</v>
      </c>
      <c r="N534" s="2" t="s">
        <v>62</v>
      </c>
      <c r="O534" s="2" t="s">
        <v>1718</v>
      </c>
      <c r="P534" s="2" t="s">
        <v>51</v>
      </c>
      <c r="Q534" s="2" t="s">
        <v>41</v>
      </c>
      <c r="R534" s="2" t="n">
        <v>9</v>
      </c>
      <c r="S534" s="2" t="n">
        <v>2089.14</v>
      </c>
      <c r="T534" s="2" t="n">
        <v>0.05</v>
      </c>
      <c r="U534" s="2" t="str">
        <f aca="false">IF(ISBLANK(T534),"Yes","No")</f>
        <v>No</v>
      </c>
      <c r="V534" s="2" t="n">
        <f aca="false">IF(ISBLANK(T534),0,IF(ISNUMBER(T534),T534,VALUE(LEFT(T534,LEN(T534)-1))/100))</f>
        <v>0.05</v>
      </c>
      <c r="W534" s="2" t="str">
        <f aca="false">IF(AND(V534&gt;=0,V534&lt;=0.25),"Valid","Invalid")</f>
        <v>Valid</v>
      </c>
      <c r="X534" s="2" t="n">
        <v>17862.15</v>
      </c>
      <c r="Y534" s="2" t="n">
        <f aca="false">R534*S534*(1-V534)</f>
        <v>17862.147</v>
      </c>
      <c r="Z534" s="2" t="str">
        <f aca="false">IF(ABS(X534-Y534)&gt;1,"Mismatch","OK")</f>
        <v>OK</v>
      </c>
      <c r="AA534" s="2" t="n">
        <v>9892.21</v>
      </c>
      <c r="AB534" s="2" t="n">
        <v>7969.94</v>
      </c>
      <c r="AC534" s="2" t="n">
        <f aca="false">Y534-AA534</f>
        <v>7969.937</v>
      </c>
      <c r="AD534" s="2" t="str">
        <f aca="false">IF(ABS(AB534-AC534)&gt;1,"Mismatch","OK")</f>
        <v>OK</v>
      </c>
      <c r="AE534" s="4" t="n">
        <f aca="false">IF(Y534=0,0,AC534/Y534)</f>
        <v>0.44619143488182</v>
      </c>
      <c r="AF534" s="2" t="s">
        <v>175</v>
      </c>
      <c r="AG534" s="2" t="s">
        <v>88</v>
      </c>
      <c r="AH534" s="2" t="str">
        <f aca="false">IF(AND(AG534="Completed",AF534&lt;&gt;"Paid"),"Inconsistent","OK")</f>
        <v>OK</v>
      </c>
      <c r="AI534" s="2" t="n">
        <f aca="false">IF(OR(ISBLANK(B534),ISBLANK(C534)),"",C534-B534)</f>
        <v>5</v>
      </c>
      <c r="AJ534" s="2" t="str">
        <f aca="false">IF(AI534="","Unknown",IF(AI534&lt;0,"Invalid","OK"))</f>
        <v>OK</v>
      </c>
      <c r="AK534" s="2" t="str">
        <f aca="false">IF(ISBLANK(B534),"",TEXT(B534,"mmm"))</f>
        <v>Oct</v>
      </c>
      <c r="AL534" s="2" t="n">
        <f aca="false">IF(ISBLANK(B534),"",YEAR(B534))</f>
        <v>2025</v>
      </c>
      <c r="AM534" s="2" t="s">
        <v>41</v>
      </c>
      <c r="AN534" s="2" t="str">
        <f aca="false">IF(OR(W534="Invalid",AJ534="Invalid",AH534="Inconsistent",Z534="Mismatch",AD534="Mismatch",AM534="Yes",D534="Yes",E534="Yes"),"Invalid",IF(OR(J534="Yes",Q534="Yes",U534="Yes"),"Warning","Clean"))</f>
        <v>Clean</v>
      </c>
    </row>
    <row r="535" customFormat="false" ht="15" hidden="false" customHeight="false" outlineLevel="0" collapsed="false">
      <c r="A535" s="2" t="s">
        <v>1719</v>
      </c>
      <c r="B535" s="3" t="n">
        <v>45529</v>
      </c>
      <c r="C535" s="3" t="n">
        <v>45536</v>
      </c>
      <c r="D535" s="2" t="s">
        <v>41</v>
      </c>
      <c r="E535" s="2" t="s">
        <v>41</v>
      </c>
      <c r="F535" s="2" t="s">
        <v>1720</v>
      </c>
      <c r="G535" s="2" t="s">
        <v>67</v>
      </c>
      <c r="H535" s="2" t="s">
        <v>115</v>
      </c>
      <c r="I535" s="2" t="s">
        <v>45</v>
      </c>
      <c r="J535" s="2" t="s">
        <v>41</v>
      </c>
      <c r="K535" s="2" t="s">
        <v>46</v>
      </c>
      <c r="L535" s="2" t="s">
        <v>47</v>
      </c>
      <c r="M535" s="2" t="s">
        <v>61</v>
      </c>
      <c r="N535" s="2" t="s">
        <v>62</v>
      </c>
      <c r="O535" s="2" t="s">
        <v>1721</v>
      </c>
      <c r="P535" s="2" t="s">
        <v>64</v>
      </c>
      <c r="Q535" s="2" t="s">
        <v>41</v>
      </c>
      <c r="R535" s="2" t="n">
        <v>6</v>
      </c>
      <c r="S535" s="2" t="n">
        <v>481.3</v>
      </c>
      <c r="T535" s="2" t="n">
        <v>0.25</v>
      </c>
      <c r="U535" s="2" t="str">
        <f aca="false">IF(ISBLANK(T535),"Yes","No")</f>
        <v>No</v>
      </c>
      <c r="V535" s="2" t="n">
        <f aca="false">IF(ISBLANK(T535),0,IF(ISNUMBER(T535),T535,VALUE(LEFT(T535,LEN(T535)-1))/100))</f>
        <v>0.25</v>
      </c>
      <c r="W535" s="2" t="str">
        <f aca="false">IF(AND(V535&gt;=0,V535&lt;=0.25),"Valid","Invalid")</f>
        <v>Valid</v>
      </c>
      <c r="X535" s="2" t="n">
        <v>2165.85</v>
      </c>
      <c r="Y535" s="2" t="n">
        <f aca="false">R535*S535*(1-V535)</f>
        <v>2165.85</v>
      </c>
      <c r="Z535" s="2" t="str">
        <f aca="false">IF(ABS(X535-Y535)&gt;1,"Mismatch","OK")</f>
        <v>OK</v>
      </c>
      <c r="AA535" s="2" t="n">
        <v>2124.48</v>
      </c>
      <c r="AB535" s="2" t="n">
        <v>430.45</v>
      </c>
      <c r="AC535" s="2" t="n">
        <f aca="false">Y535-AA535</f>
        <v>41.3700000000003</v>
      </c>
      <c r="AD535" s="2" t="str">
        <f aca="false">IF(ABS(AB535-AC535)&gt;1,"Mismatch","OK")</f>
        <v>Mismatch</v>
      </c>
      <c r="AE535" s="4" t="n">
        <f aca="false">IF(Y535=0,0,AC535/Y535)</f>
        <v>0.0191010457787937</v>
      </c>
      <c r="AF535" s="2" t="s">
        <v>52</v>
      </c>
      <c r="AG535" s="2" t="s">
        <v>53</v>
      </c>
      <c r="AH535" s="2" t="str">
        <f aca="false">IF(AND(AG535="Completed",AF535&lt;&gt;"Paid"),"Inconsistent","OK")</f>
        <v>OK</v>
      </c>
      <c r="AI535" s="2" t="n">
        <f aca="false">IF(OR(ISBLANK(B535),ISBLANK(C535)),"",C535-B535)</f>
        <v>7</v>
      </c>
      <c r="AJ535" s="2" t="str">
        <f aca="false">IF(AI535="","Unknown",IF(AI535&lt;0,"Invalid","OK"))</f>
        <v>OK</v>
      </c>
      <c r="AK535" s="2" t="str">
        <f aca="false">IF(ISBLANK(B535),"",TEXT(B535,"mmm"))</f>
        <v>Aug</v>
      </c>
      <c r="AL535" s="2" t="n">
        <f aca="false">IF(ISBLANK(B535),"",YEAR(B535))</f>
        <v>2024</v>
      </c>
      <c r="AM535" s="2" t="s">
        <v>41</v>
      </c>
      <c r="AN535" s="2" t="str">
        <f aca="false">IF(OR(W535="Invalid",AJ535="Invalid",AH535="Inconsistent",Z535="Mismatch",AD535="Mismatch",AM535="Yes",D535="Yes",E535="Yes"),"Invalid",IF(OR(J535="Yes",Q535="Yes",U535="Yes"),"Warning","Clean"))</f>
        <v>Invalid</v>
      </c>
    </row>
    <row r="536" customFormat="false" ht="15" hidden="false" customHeight="false" outlineLevel="0" collapsed="false">
      <c r="A536" s="2" t="s">
        <v>1722</v>
      </c>
      <c r="B536" s="3" t="n">
        <v>45774</v>
      </c>
      <c r="C536" s="3" t="n">
        <v>45782</v>
      </c>
      <c r="D536" s="2" t="s">
        <v>41</v>
      </c>
      <c r="E536" s="2" t="s">
        <v>41</v>
      </c>
      <c r="F536" s="2" t="s">
        <v>1723</v>
      </c>
      <c r="G536" s="2" t="s">
        <v>161</v>
      </c>
      <c r="H536" s="2" t="s">
        <v>115</v>
      </c>
      <c r="I536" s="2" t="s">
        <v>58</v>
      </c>
      <c r="J536" s="2" t="s">
        <v>41</v>
      </c>
      <c r="K536" s="2" t="s">
        <v>165</v>
      </c>
      <c r="L536" s="2" t="s">
        <v>166</v>
      </c>
      <c r="M536" s="2" t="s">
        <v>94</v>
      </c>
      <c r="N536" s="2" t="s">
        <v>95</v>
      </c>
      <c r="O536" s="2" t="s">
        <v>1724</v>
      </c>
      <c r="P536" s="2" t="s">
        <v>51</v>
      </c>
      <c r="Q536" s="2" t="s">
        <v>41</v>
      </c>
      <c r="R536" s="2" t="n">
        <v>4</v>
      </c>
      <c r="S536" s="2" t="n">
        <v>3963.39</v>
      </c>
      <c r="T536" s="2" t="n">
        <v>0.1</v>
      </c>
      <c r="U536" s="2" t="str">
        <f aca="false">IF(ISBLANK(T536),"Yes","No")</f>
        <v>No</v>
      </c>
      <c r="V536" s="2" t="n">
        <f aca="false">IF(ISBLANK(T536),0,IF(ISNUMBER(T536),T536,VALUE(LEFT(T536,LEN(T536)-1))/100))</f>
        <v>0.1</v>
      </c>
      <c r="W536" s="2" t="str">
        <f aca="false">IF(AND(V536&gt;=0,V536&lt;=0.25),"Valid","Invalid")</f>
        <v>Valid</v>
      </c>
      <c r="X536" s="2" t="n">
        <v>14268.2</v>
      </c>
      <c r="Y536" s="2" t="n">
        <f aca="false">R536*S536*(1-V536)</f>
        <v>14268.204</v>
      </c>
      <c r="Z536" s="2" t="str">
        <f aca="false">IF(ABS(X536-Y536)&gt;1,"Mismatch","OK")</f>
        <v>OK</v>
      </c>
      <c r="AA536" s="2" t="n">
        <v>11705.3</v>
      </c>
      <c r="AB536" s="2" t="n">
        <v>2562.9</v>
      </c>
      <c r="AC536" s="2" t="n">
        <f aca="false">Y536-AA536</f>
        <v>2562.904</v>
      </c>
      <c r="AD536" s="2" t="str">
        <f aca="false">IF(ABS(AB536-AC536)&gt;1,"Mismatch","OK")</f>
        <v>OK</v>
      </c>
      <c r="AE536" s="4" t="n">
        <f aca="false">IF(Y536=0,0,AC536/Y536)</f>
        <v>0.179623448052747</v>
      </c>
      <c r="AF536" s="2" t="s">
        <v>131</v>
      </c>
      <c r="AG536" s="2" t="s">
        <v>123</v>
      </c>
      <c r="AH536" s="2" t="str">
        <f aca="false">IF(AND(AG536="Completed",AF536&lt;&gt;"Paid"),"Inconsistent","OK")</f>
        <v>OK</v>
      </c>
      <c r="AI536" s="2" t="n">
        <f aca="false">IF(OR(ISBLANK(B536),ISBLANK(C536)),"",C536-B536)</f>
        <v>8</v>
      </c>
      <c r="AJ536" s="2" t="str">
        <f aca="false">IF(AI536="","Unknown",IF(AI536&lt;0,"Invalid","OK"))</f>
        <v>OK</v>
      </c>
      <c r="AK536" s="2" t="str">
        <f aca="false">IF(ISBLANK(B536),"",TEXT(B536,"mmm"))</f>
        <v>Apr</v>
      </c>
      <c r="AL536" s="2" t="n">
        <f aca="false">IF(ISBLANK(B536),"",YEAR(B536))</f>
        <v>2025</v>
      </c>
      <c r="AM536" s="2" t="s">
        <v>41</v>
      </c>
      <c r="AN536" s="2" t="str">
        <f aca="false">IF(OR(W536="Invalid",AJ536="Invalid",AH536="Inconsistent",Z536="Mismatch",AD536="Mismatch",AM536="Yes",D536="Yes",E536="Yes"),"Invalid",IF(OR(J536="Yes",Q536="Yes",U536="Yes"),"Warning","Clean"))</f>
        <v>Clean</v>
      </c>
    </row>
    <row r="537" customFormat="false" ht="15" hidden="false" customHeight="false" outlineLevel="0" collapsed="false">
      <c r="A537" s="2" t="s">
        <v>1725</v>
      </c>
      <c r="B537" s="3" t="n">
        <v>45431</v>
      </c>
      <c r="C537" s="3" t="n">
        <v>45433</v>
      </c>
      <c r="D537" s="2" t="s">
        <v>41</v>
      </c>
      <c r="E537" s="2" t="s">
        <v>41</v>
      </c>
      <c r="F537" s="2" t="s">
        <v>1726</v>
      </c>
      <c r="G537" s="2" t="s">
        <v>182</v>
      </c>
      <c r="H537" s="2" t="s">
        <v>57</v>
      </c>
      <c r="I537" s="2" t="s">
        <v>83</v>
      </c>
      <c r="J537" s="2" t="s">
        <v>41</v>
      </c>
      <c r="K537" s="2" t="s">
        <v>84</v>
      </c>
      <c r="L537" s="2" t="s">
        <v>85</v>
      </c>
      <c r="M537" s="2" t="s">
        <v>94</v>
      </c>
      <c r="N537" s="2" t="s">
        <v>100</v>
      </c>
      <c r="O537" s="2" t="s">
        <v>1727</v>
      </c>
      <c r="P537" s="2" t="s">
        <v>70</v>
      </c>
      <c r="Q537" s="2" t="s">
        <v>41</v>
      </c>
      <c r="R537" s="2" t="n">
        <v>3</v>
      </c>
      <c r="S537" s="2" t="n">
        <v>4000.98</v>
      </c>
      <c r="T537" s="2" t="n">
        <v>0.2</v>
      </c>
      <c r="U537" s="2" t="str">
        <f aca="false">IF(ISBLANK(T537),"Yes","No")</f>
        <v>No</v>
      </c>
      <c r="V537" s="2" t="n">
        <f aca="false">IF(ISBLANK(T537),0,IF(ISNUMBER(T537),T537,VALUE(LEFT(T537,LEN(T537)-1))/100))</f>
        <v>0.2</v>
      </c>
      <c r="W537" s="2" t="str">
        <f aca="false">IF(AND(V537&gt;=0,V537&lt;=0.25),"Valid","Invalid")</f>
        <v>Valid</v>
      </c>
      <c r="X537" s="2" t="n">
        <v>9602.35</v>
      </c>
      <c r="Y537" s="2" t="n">
        <f aca="false">R537*S537*(1-V537)</f>
        <v>9602.352</v>
      </c>
      <c r="Z537" s="2" t="str">
        <f aca="false">IF(ABS(X537-Y537)&gt;1,"Mismatch","OK")</f>
        <v>OK</v>
      </c>
      <c r="AA537" s="2" t="n">
        <v>7387.57</v>
      </c>
      <c r="AB537" s="2" t="n">
        <v>2214.78</v>
      </c>
      <c r="AC537" s="2" t="n">
        <f aca="false">Y537-AA537</f>
        <v>2214.782</v>
      </c>
      <c r="AD537" s="2" t="str">
        <f aca="false">IF(ABS(AB537-AC537)&gt;1,"Mismatch","OK")</f>
        <v>OK</v>
      </c>
      <c r="AE537" s="4" t="n">
        <f aca="false">IF(Y537=0,0,AC537/Y537)</f>
        <v>0.230649949095805</v>
      </c>
      <c r="AF537" s="2" t="s">
        <v>52</v>
      </c>
      <c r="AG537" s="2" t="s">
        <v>53</v>
      </c>
      <c r="AH537" s="2" t="str">
        <f aca="false">IF(AND(AG537="Completed",AF537&lt;&gt;"Paid"),"Inconsistent","OK")</f>
        <v>OK</v>
      </c>
      <c r="AI537" s="2" t="n">
        <f aca="false">IF(OR(ISBLANK(B537),ISBLANK(C537)),"",C537-B537)</f>
        <v>2</v>
      </c>
      <c r="AJ537" s="2" t="str">
        <f aca="false">IF(AI537="","Unknown",IF(AI537&lt;0,"Invalid","OK"))</f>
        <v>OK</v>
      </c>
      <c r="AK537" s="2" t="str">
        <f aca="false">IF(ISBLANK(B537),"",TEXT(B537,"mmm"))</f>
        <v>May</v>
      </c>
      <c r="AL537" s="2" t="n">
        <f aca="false">IF(ISBLANK(B537),"",YEAR(B537))</f>
        <v>2024</v>
      </c>
      <c r="AM537" s="2" t="s">
        <v>41</v>
      </c>
      <c r="AN537" s="2" t="str">
        <f aca="false">IF(OR(W537="Invalid",AJ537="Invalid",AH537="Inconsistent",Z537="Mismatch",AD537="Mismatch",AM537="Yes",D537="Yes",E537="Yes"),"Invalid",IF(OR(J537="Yes",Q537="Yes",U537="Yes"),"Warning","Clean"))</f>
        <v>Clean</v>
      </c>
    </row>
    <row r="538" customFormat="false" ht="15" hidden="false" customHeight="false" outlineLevel="0" collapsed="false">
      <c r="A538" s="2" t="s">
        <v>1728</v>
      </c>
      <c r="B538" s="3" t="n">
        <v>45757</v>
      </c>
      <c r="C538" s="3" t="n">
        <v>45764</v>
      </c>
      <c r="D538" s="2" t="s">
        <v>41</v>
      </c>
      <c r="E538" s="2" t="s">
        <v>41</v>
      </c>
      <c r="F538" s="2" t="s">
        <v>1729</v>
      </c>
      <c r="G538" s="2" t="s">
        <v>82</v>
      </c>
      <c r="H538" s="2" t="s">
        <v>57</v>
      </c>
      <c r="I538" s="2" t="s">
        <v>83</v>
      </c>
      <c r="J538" s="2" t="s">
        <v>41</v>
      </c>
      <c r="K538" s="2" t="s">
        <v>46</v>
      </c>
      <c r="L538" s="2" t="s">
        <v>129</v>
      </c>
      <c r="M538" s="2" t="s">
        <v>61</v>
      </c>
      <c r="N538" s="2" t="s">
        <v>86</v>
      </c>
      <c r="O538" s="2" t="s">
        <v>1730</v>
      </c>
      <c r="P538" s="2" t="s">
        <v>70</v>
      </c>
      <c r="Q538" s="2" t="s">
        <v>41</v>
      </c>
      <c r="R538" s="2" t="n">
        <v>7</v>
      </c>
      <c r="S538" s="2" t="n">
        <v>3788.9</v>
      </c>
      <c r="T538" s="2" t="n">
        <v>0.25</v>
      </c>
      <c r="U538" s="2" t="str">
        <f aca="false">IF(ISBLANK(T538),"Yes","No")</f>
        <v>No</v>
      </c>
      <c r="V538" s="2" t="n">
        <f aca="false">IF(ISBLANK(T538),0,IF(ISNUMBER(T538),T538,VALUE(LEFT(T538,LEN(T538)-1))/100))</f>
        <v>0.25</v>
      </c>
      <c r="W538" s="2" t="str">
        <f aca="false">IF(AND(V538&gt;=0,V538&lt;=0.25),"Valid","Invalid")</f>
        <v>Valid</v>
      </c>
      <c r="X538" s="2" t="n">
        <v>19891.72</v>
      </c>
      <c r="Y538" s="2" t="n">
        <f aca="false">R538*S538*(1-V538)</f>
        <v>19891.725</v>
      </c>
      <c r="Z538" s="2" t="str">
        <f aca="false">IF(ABS(X538-Y538)&gt;1,"Mismatch","OK")</f>
        <v>OK</v>
      </c>
      <c r="AA538" s="2" t="n">
        <v>12295.76</v>
      </c>
      <c r="AB538" s="2" t="n">
        <v>7595.96</v>
      </c>
      <c r="AC538" s="2" t="n">
        <f aca="false">Y538-AA538</f>
        <v>7595.965</v>
      </c>
      <c r="AD538" s="2" t="str">
        <f aca="false">IF(ABS(AB538-AC538)&gt;1,"Mismatch","OK")</f>
        <v>OK</v>
      </c>
      <c r="AE538" s="4" t="n">
        <f aca="false">IF(Y538=0,0,AC538/Y538)</f>
        <v>0.381865574755332</v>
      </c>
      <c r="AF538" s="2" t="s">
        <v>175</v>
      </c>
      <c r="AG538" s="2" t="s">
        <v>88</v>
      </c>
      <c r="AH538" s="2" t="str">
        <f aca="false">IF(AND(AG538="Completed",AF538&lt;&gt;"Paid"),"Inconsistent","OK")</f>
        <v>OK</v>
      </c>
      <c r="AI538" s="2" t="n">
        <f aca="false">IF(OR(ISBLANK(B538),ISBLANK(C538)),"",C538-B538)</f>
        <v>7</v>
      </c>
      <c r="AJ538" s="2" t="str">
        <f aca="false">IF(AI538="","Unknown",IF(AI538&lt;0,"Invalid","OK"))</f>
        <v>OK</v>
      </c>
      <c r="AK538" s="2" t="str">
        <f aca="false">IF(ISBLANK(B538),"",TEXT(B538,"mmm"))</f>
        <v>Apr</v>
      </c>
      <c r="AL538" s="2" t="n">
        <f aca="false">IF(ISBLANK(B538),"",YEAR(B538))</f>
        <v>2025</v>
      </c>
      <c r="AM538" s="2" t="s">
        <v>41</v>
      </c>
      <c r="AN538" s="2" t="str">
        <f aca="false">IF(OR(W538="Invalid",AJ538="Invalid",AH538="Inconsistent",Z538="Mismatch",AD538="Mismatch",AM538="Yes",D538="Yes",E538="Yes"),"Invalid",IF(OR(J538="Yes",Q538="Yes",U538="Yes"),"Warning","Clean"))</f>
        <v>Clean</v>
      </c>
    </row>
    <row r="539" customFormat="false" ht="15" hidden="false" customHeight="false" outlineLevel="0" collapsed="false">
      <c r="A539" s="2" t="s">
        <v>1731</v>
      </c>
      <c r="B539" s="3" t="n">
        <v>45313</v>
      </c>
      <c r="C539" s="3" t="n">
        <v>45321</v>
      </c>
      <c r="D539" s="2" t="s">
        <v>41</v>
      </c>
      <c r="E539" s="2" t="s">
        <v>41</v>
      </c>
      <c r="F539" s="2" t="s">
        <v>1732</v>
      </c>
      <c r="G539" s="2" t="s">
        <v>82</v>
      </c>
      <c r="H539" s="2" t="s">
        <v>57</v>
      </c>
      <c r="I539" s="2" t="s">
        <v>45</v>
      </c>
      <c r="J539" s="2" t="s">
        <v>41</v>
      </c>
      <c r="K539" s="2" t="s">
        <v>258</v>
      </c>
      <c r="L539" s="2" t="s">
        <v>259</v>
      </c>
      <c r="M539" s="2" t="s">
        <v>48</v>
      </c>
      <c r="N539" s="2" t="s">
        <v>68</v>
      </c>
      <c r="O539" s="2" t="s">
        <v>1733</v>
      </c>
      <c r="P539" s="2" t="s">
        <v>64</v>
      </c>
      <c r="Q539" s="2" t="s">
        <v>41</v>
      </c>
      <c r="R539" s="2" t="n">
        <v>3</v>
      </c>
      <c r="S539" s="2" t="n">
        <v>676.37</v>
      </c>
      <c r="T539" s="2" t="n">
        <v>0.05</v>
      </c>
      <c r="U539" s="2" t="str">
        <f aca="false">IF(ISBLANK(T539),"Yes","No")</f>
        <v>No</v>
      </c>
      <c r="V539" s="2" t="n">
        <f aca="false">IF(ISBLANK(T539),0,IF(ISNUMBER(T539),T539,VALUE(LEFT(T539,LEN(T539)-1))/100))</f>
        <v>0.05</v>
      </c>
      <c r="W539" s="2" t="str">
        <f aca="false">IF(AND(V539&gt;=0,V539&lt;=0.25),"Valid","Invalid")</f>
        <v>Valid</v>
      </c>
      <c r="X539" s="2" t="n">
        <v>1927.65</v>
      </c>
      <c r="Y539" s="2" t="n">
        <f aca="false">R539*S539*(1-V539)</f>
        <v>1927.6545</v>
      </c>
      <c r="Z539" s="2" t="str">
        <f aca="false">IF(ABS(X539-Y539)&gt;1,"Mismatch","OK")</f>
        <v>OK</v>
      </c>
      <c r="AA539" s="2" t="n">
        <v>1460.6</v>
      </c>
      <c r="AB539" s="2" t="n">
        <v>467.05</v>
      </c>
      <c r="AC539" s="2" t="n">
        <f aca="false">Y539-AA539</f>
        <v>467.0545</v>
      </c>
      <c r="AD539" s="2" t="str">
        <f aca="false">IF(ABS(AB539-AC539)&gt;1,"Mismatch","OK")</f>
        <v>OK</v>
      </c>
      <c r="AE539" s="4" t="n">
        <f aca="false">IF(Y539=0,0,AC539/Y539)</f>
        <v>0.242291603604277</v>
      </c>
      <c r="AF539" s="2" t="s">
        <v>175</v>
      </c>
      <c r="AG539" s="2" t="s">
        <v>88</v>
      </c>
      <c r="AH539" s="2" t="str">
        <f aca="false">IF(AND(AG539="Completed",AF539&lt;&gt;"Paid"),"Inconsistent","OK")</f>
        <v>OK</v>
      </c>
      <c r="AI539" s="2" t="n">
        <f aca="false">IF(OR(ISBLANK(B539),ISBLANK(C539)),"",C539-B539)</f>
        <v>8</v>
      </c>
      <c r="AJ539" s="2" t="str">
        <f aca="false">IF(AI539="","Unknown",IF(AI539&lt;0,"Invalid","OK"))</f>
        <v>OK</v>
      </c>
      <c r="AK539" s="2" t="str">
        <f aca="false">IF(ISBLANK(B539),"",TEXT(B539,"mmm"))</f>
        <v>Jan</v>
      </c>
      <c r="AL539" s="2" t="n">
        <f aca="false">IF(ISBLANK(B539),"",YEAR(B539))</f>
        <v>2024</v>
      </c>
      <c r="AM539" s="2" t="s">
        <v>41</v>
      </c>
      <c r="AN539" s="2" t="str">
        <f aca="false">IF(OR(W539="Invalid",AJ539="Invalid",AH539="Inconsistent",Z539="Mismatch",AD539="Mismatch",AM539="Yes",D539="Yes",E539="Yes"),"Invalid",IF(OR(J539="Yes",Q539="Yes",U539="Yes"),"Warning","Clean"))</f>
        <v>Clean</v>
      </c>
    </row>
    <row r="540" customFormat="false" ht="15" hidden="false" customHeight="false" outlineLevel="0" collapsed="false">
      <c r="A540" s="2" t="s">
        <v>1734</v>
      </c>
      <c r="B540" s="3" t="n">
        <v>45560</v>
      </c>
      <c r="C540" s="3" t="n">
        <v>45566</v>
      </c>
      <c r="D540" s="2" t="s">
        <v>41</v>
      </c>
      <c r="E540" s="2" t="s">
        <v>41</v>
      </c>
      <c r="F540" s="2" t="s">
        <v>1735</v>
      </c>
      <c r="G540" s="2" t="s">
        <v>182</v>
      </c>
      <c r="H540" s="2" t="s">
        <v>57</v>
      </c>
      <c r="I540" s="2" t="s">
        <v>58</v>
      </c>
      <c r="J540" s="2" t="s">
        <v>41</v>
      </c>
      <c r="K540" s="2" t="s">
        <v>250</v>
      </c>
      <c r="L540" s="2" t="s">
        <v>251</v>
      </c>
      <c r="M540" s="2" t="s">
        <v>61</v>
      </c>
      <c r="N540" s="2" t="s">
        <v>62</v>
      </c>
      <c r="O540" s="2" t="s">
        <v>1736</v>
      </c>
      <c r="P540" s="2" t="s">
        <v>51</v>
      </c>
      <c r="Q540" s="2" t="s">
        <v>41</v>
      </c>
      <c r="R540" s="2" t="n">
        <v>9</v>
      </c>
      <c r="S540" s="2" t="n">
        <v>3908.6</v>
      </c>
      <c r="T540" s="2" t="n">
        <v>0.15</v>
      </c>
      <c r="U540" s="2" t="str">
        <f aca="false">IF(ISBLANK(T540),"Yes","No")</f>
        <v>No</v>
      </c>
      <c r="V540" s="2" t="n">
        <f aca="false">IF(ISBLANK(T540),0,IF(ISNUMBER(T540),T540,VALUE(LEFT(T540,LEN(T540)-1))/100))</f>
        <v>0.15</v>
      </c>
      <c r="W540" s="2" t="str">
        <f aca="false">IF(AND(V540&gt;=0,V540&lt;=0.25),"Valid","Invalid")</f>
        <v>Valid</v>
      </c>
      <c r="X540" s="2" t="n">
        <v>29900.79</v>
      </c>
      <c r="Y540" s="2" t="n">
        <f aca="false">R540*S540*(1-V540)</f>
        <v>29900.79</v>
      </c>
      <c r="Z540" s="2" t="str">
        <f aca="false">IF(ABS(X540-Y540)&gt;1,"Mismatch","OK")</f>
        <v>OK</v>
      </c>
      <c r="AA540" s="2" t="n">
        <v>24650.67</v>
      </c>
      <c r="AB540" s="2" t="n">
        <v>5250.12</v>
      </c>
      <c r="AC540" s="2" t="n">
        <f aca="false">Y540-AA540</f>
        <v>5250.12</v>
      </c>
      <c r="AD540" s="2" t="str">
        <f aca="false">IF(ABS(AB540-AC540)&gt;1,"Mismatch","OK")</f>
        <v>OK</v>
      </c>
      <c r="AE540" s="4" t="n">
        <f aca="false">IF(Y540=0,0,AC540/Y540)</f>
        <v>0.175584658465546</v>
      </c>
      <c r="AF540" s="2" t="s">
        <v>52</v>
      </c>
      <c r="AG540" s="2" t="s">
        <v>53</v>
      </c>
      <c r="AH540" s="2" t="str">
        <f aca="false">IF(AND(AG540="Completed",AF540&lt;&gt;"Paid"),"Inconsistent","OK")</f>
        <v>OK</v>
      </c>
      <c r="AI540" s="2" t="n">
        <f aca="false">IF(OR(ISBLANK(B540),ISBLANK(C540)),"",C540-B540)</f>
        <v>6</v>
      </c>
      <c r="AJ540" s="2" t="str">
        <f aca="false">IF(AI540="","Unknown",IF(AI540&lt;0,"Invalid","OK"))</f>
        <v>OK</v>
      </c>
      <c r="AK540" s="2" t="str">
        <f aca="false">IF(ISBLANK(B540),"",TEXT(B540,"mmm"))</f>
        <v>Sep</v>
      </c>
      <c r="AL540" s="2" t="n">
        <f aca="false">IF(ISBLANK(B540),"",YEAR(B540))</f>
        <v>2024</v>
      </c>
      <c r="AM540" s="2" t="s">
        <v>41</v>
      </c>
      <c r="AN540" s="2" t="str">
        <f aca="false">IF(OR(W540="Invalid",AJ540="Invalid",AH540="Inconsistent",Z540="Mismatch",AD540="Mismatch",AM540="Yes",D540="Yes",E540="Yes"),"Invalid",IF(OR(J540="Yes",Q540="Yes",U540="Yes"),"Warning","Clean"))</f>
        <v>Clean</v>
      </c>
    </row>
    <row r="541" customFormat="false" ht="15" hidden="false" customHeight="false" outlineLevel="0" collapsed="false">
      <c r="A541" s="2" t="s">
        <v>1737</v>
      </c>
      <c r="B541" s="3" t="n">
        <v>45842</v>
      </c>
      <c r="C541" s="3" t="n">
        <v>45842</v>
      </c>
      <c r="D541" s="2" t="s">
        <v>41</v>
      </c>
      <c r="E541" s="2" t="s">
        <v>41</v>
      </c>
      <c r="F541" s="2" t="s">
        <v>1738</v>
      </c>
      <c r="G541" s="2" t="s">
        <v>1739</v>
      </c>
      <c r="H541" s="2" t="s">
        <v>57</v>
      </c>
      <c r="I541" s="2" t="s">
        <v>74</v>
      </c>
      <c r="J541" s="2" t="s">
        <v>41</v>
      </c>
      <c r="K541" s="2" t="s">
        <v>269</v>
      </c>
      <c r="L541" s="2" t="s">
        <v>270</v>
      </c>
      <c r="M541" s="2" t="s">
        <v>61</v>
      </c>
      <c r="N541" s="2" t="s">
        <v>86</v>
      </c>
      <c r="O541" s="2" t="s">
        <v>1740</v>
      </c>
      <c r="P541" s="2" t="s">
        <v>79</v>
      </c>
      <c r="Q541" s="2" t="s">
        <v>41</v>
      </c>
      <c r="R541" s="2" t="n">
        <v>3</v>
      </c>
      <c r="S541" s="2" t="n">
        <v>705.35</v>
      </c>
      <c r="T541" s="2" t="n">
        <v>0.1</v>
      </c>
      <c r="U541" s="2" t="str">
        <f aca="false">IF(ISBLANK(T541),"Yes","No")</f>
        <v>No</v>
      </c>
      <c r="V541" s="2" t="n">
        <f aca="false">IF(ISBLANK(T541),0,IF(ISNUMBER(T541),T541,VALUE(LEFT(T541,LEN(T541)-1))/100))</f>
        <v>0.1</v>
      </c>
      <c r="W541" s="2" t="str">
        <f aca="false">IF(AND(V541&gt;=0,V541&lt;=0.25),"Valid","Invalid")</f>
        <v>Valid</v>
      </c>
      <c r="X541" s="2" t="n">
        <v>1904.45</v>
      </c>
      <c r="Y541" s="2" t="n">
        <f aca="false">R541*S541*(1-V541)</f>
        <v>1904.445</v>
      </c>
      <c r="Z541" s="2" t="str">
        <f aca="false">IF(ABS(X541-Y541)&gt;1,"Mismatch","OK")</f>
        <v>OK</v>
      </c>
      <c r="AA541" s="2" t="n">
        <v>1316.54</v>
      </c>
      <c r="AB541" s="2" t="n">
        <v>587.91</v>
      </c>
      <c r="AC541" s="2" t="n">
        <f aca="false">Y541-AA541</f>
        <v>587.905</v>
      </c>
      <c r="AD541" s="2" t="str">
        <f aca="false">IF(ABS(AB541-AC541)&gt;1,"Mismatch","OK")</f>
        <v>OK</v>
      </c>
      <c r="AE541" s="4" t="n">
        <f aca="false">IF(Y541=0,0,AC541/Y541)</f>
        <v>0.308701485209602</v>
      </c>
      <c r="AF541" s="2" t="s">
        <v>52</v>
      </c>
      <c r="AG541" s="2" t="s">
        <v>88</v>
      </c>
      <c r="AH541" s="2" t="str">
        <f aca="false">IF(AND(AG541="Completed",AF541&lt;&gt;"Paid"),"Inconsistent","OK")</f>
        <v>OK</v>
      </c>
      <c r="AI541" s="2" t="n">
        <f aca="false">IF(OR(ISBLANK(B541),ISBLANK(C541)),"",C541-B541)</f>
        <v>0</v>
      </c>
      <c r="AJ541" s="2" t="str">
        <f aca="false">IF(AI541="","Unknown",IF(AI541&lt;0,"Invalid","OK"))</f>
        <v>OK</v>
      </c>
      <c r="AK541" s="2" t="str">
        <f aca="false">IF(ISBLANK(B541),"",TEXT(B541,"mmm"))</f>
        <v>Jul</v>
      </c>
      <c r="AL541" s="2" t="n">
        <f aca="false">IF(ISBLANK(B541),"",YEAR(B541))</f>
        <v>2025</v>
      </c>
      <c r="AM541" s="2" t="s">
        <v>41</v>
      </c>
      <c r="AN541" s="2" t="str">
        <f aca="false">IF(OR(W541="Invalid",AJ541="Invalid",AH541="Inconsistent",Z541="Mismatch",AD541="Mismatch",AM541="Yes",D541="Yes",E541="Yes"),"Invalid",IF(OR(J541="Yes",Q541="Yes",U541="Yes"),"Warning","Clean"))</f>
        <v>Clean</v>
      </c>
    </row>
    <row r="542" customFormat="false" ht="15" hidden="false" customHeight="false" outlineLevel="0" collapsed="false">
      <c r="A542" s="2" t="s">
        <v>1741</v>
      </c>
      <c r="B542" s="3" t="n">
        <v>45348</v>
      </c>
      <c r="C542" s="3" t="n">
        <v>45345</v>
      </c>
      <c r="D542" s="2" t="s">
        <v>41</v>
      </c>
      <c r="E542" s="2" t="s">
        <v>41</v>
      </c>
      <c r="F542" s="2" t="s">
        <v>1742</v>
      </c>
      <c r="G542" s="2" t="s">
        <v>286</v>
      </c>
      <c r="H542" s="2" t="s">
        <v>44</v>
      </c>
      <c r="I542" s="2" t="s">
        <v>83</v>
      </c>
      <c r="J542" s="2" t="s">
        <v>41</v>
      </c>
      <c r="K542" s="2" t="s">
        <v>200</v>
      </c>
      <c r="L542" s="2" t="s">
        <v>201</v>
      </c>
      <c r="M542" s="2" t="s">
        <v>61</v>
      </c>
      <c r="N542" s="2" t="s">
        <v>77</v>
      </c>
      <c r="O542" s="2" t="s">
        <v>1743</v>
      </c>
      <c r="P542" s="2" t="s">
        <v>79</v>
      </c>
      <c r="Q542" s="2" t="s">
        <v>41</v>
      </c>
      <c r="R542" s="2" t="n">
        <v>7</v>
      </c>
      <c r="S542" s="2" t="n">
        <v>3852.07</v>
      </c>
      <c r="T542" s="2" t="n">
        <v>0.2</v>
      </c>
      <c r="U542" s="2" t="str">
        <f aca="false">IF(ISBLANK(T542),"Yes","No")</f>
        <v>No</v>
      </c>
      <c r="V542" s="2" t="n">
        <f aca="false">IF(ISBLANK(T542),0,IF(ISNUMBER(T542),T542,VALUE(LEFT(T542,LEN(T542)-1))/100))</f>
        <v>0.2</v>
      </c>
      <c r="W542" s="2" t="str">
        <f aca="false">IF(AND(V542&gt;=0,V542&lt;=0.25),"Valid","Invalid")</f>
        <v>Valid</v>
      </c>
      <c r="X542" s="2" t="n">
        <v>21571.59</v>
      </c>
      <c r="Y542" s="2" t="n">
        <f aca="false">R542*S542*(1-V542)</f>
        <v>21571.592</v>
      </c>
      <c r="Z542" s="2" t="str">
        <f aca="false">IF(ABS(X542-Y542)&gt;1,"Mismatch","OK")</f>
        <v>OK</v>
      </c>
      <c r="AA542" s="2" t="n">
        <v>17118.07</v>
      </c>
      <c r="AB542" s="2" t="n">
        <v>4453.52</v>
      </c>
      <c r="AC542" s="2" t="n">
        <f aca="false">Y542-AA542</f>
        <v>4453.522</v>
      </c>
      <c r="AD542" s="2" t="str">
        <f aca="false">IF(ABS(AB542-AC542)&gt;1,"Mismatch","OK")</f>
        <v>OK</v>
      </c>
      <c r="AE542" s="4" t="n">
        <f aca="false">IF(Y542=0,0,AC542/Y542)</f>
        <v>0.206453098130171</v>
      </c>
      <c r="AF542" s="2" t="s">
        <v>52</v>
      </c>
      <c r="AG542" s="2" t="s">
        <v>53</v>
      </c>
      <c r="AH542" s="2" t="str">
        <f aca="false">IF(AND(AG542="Completed",AF542&lt;&gt;"Paid"),"Inconsistent","OK")</f>
        <v>OK</v>
      </c>
      <c r="AI542" s="2" t="n">
        <f aca="false">IF(OR(ISBLANK(B542),ISBLANK(C542)),"",C542-B542)</f>
        <v>-3</v>
      </c>
      <c r="AJ542" s="2" t="str">
        <f aca="false">IF(AI542="","Unknown",IF(AI542&lt;0,"Invalid","OK"))</f>
        <v>Invalid</v>
      </c>
      <c r="AK542" s="2" t="str">
        <f aca="false">IF(ISBLANK(B542),"",TEXT(B542,"mmm"))</f>
        <v>Feb</v>
      </c>
      <c r="AL542" s="2" t="n">
        <f aca="false">IF(ISBLANK(B542),"",YEAR(B542))</f>
        <v>2024</v>
      </c>
      <c r="AM542" s="2" t="s">
        <v>41</v>
      </c>
      <c r="AN542" s="2" t="str">
        <f aca="false">IF(OR(W542="Invalid",AJ542="Invalid",AH542="Inconsistent",Z542="Mismatch",AD542="Mismatch",AM542="Yes",D542="Yes",E542="Yes"),"Invalid",IF(OR(J542="Yes",Q542="Yes",U542="Yes"),"Warning","Clean"))</f>
        <v>Invalid</v>
      </c>
    </row>
    <row r="543" customFormat="false" ht="15" hidden="false" customHeight="false" outlineLevel="0" collapsed="false">
      <c r="A543" s="2" t="s">
        <v>1744</v>
      </c>
      <c r="B543" s="3" t="n">
        <v>45846</v>
      </c>
      <c r="C543" s="3" t="n">
        <v>45847</v>
      </c>
      <c r="D543" s="2" t="s">
        <v>41</v>
      </c>
      <c r="E543" s="2" t="s">
        <v>41</v>
      </c>
      <c r="F543" s="2" t="s">
        <v>1745</v>
      </c>
      <c r="G543" s="2" t="s">
        <v>152</v>
      </c>
      <c r="H543" s="2" t="s">
        <v>44</v>
      </c>
      <c r="I543" s="2" t="s">
        <v>83</v>
      </c>
      <c r="J543" s="2" t="s">
        <v>41</v>
      </c>
      <c r="K543" s="2" t="s">
        <v>84</v>
      </c>
      <c r="L543" s="2" t="s">
        <v>85</v>
      </c>
      <c r="M543" s="2" t="s">
        <v>94</v>
      </c>
      <c r="N543" s="2" t="s">
        <v>100</v>
      </c>
      <c r="O543" s="2" t="s">
        <v>1746</v>
      </c>
      <c r="P543" s="2" t="s">
        <v>64</v>
      </c>
      <c r="Q543" s="2" t="s">
        <v>41</v>
      </c>
      <c r="R543" s="2" t="n">
        <v>3</v>
      </c>
      <c r="S543" s="2" t="n">
        <v>2880.56</v>
      </c>
      <c r="T543" s="2" t="n">
        <v>0</v>
      </c>
      <c r="U543" s="2" t="str">
        <f aca="false">IF(ISBLANK(T543),"Yes","No")</f>
        <v>No</v>
      </c>
      <c r="V543" s="2" t="n">
        <f aca="false">IF(ISBLANK(T543),0,IF(ISNUMBER(T543),T543,VALUE(LEFT(T543,LEN(T543)-1))/100))</f>
        <v>0</v>
      </c>
      <c r="W543" s="2" t="str">
        <f aca="false">IF(AND(V543&gt;=0,V543&lt;=0.25),"Valid","Invalid")</f>
        <v>Valid</v>
      </c>
      <c r="X543" s="2" t="n">
        <v>8641.68</v>
      </c>
      <c r="Y543" s="2" t="n">
        <f aca="false">R543*S543*(1-V543)</f>
        <v>8641.68</v>
      </c>
      <c r="Z543" s="2" t="str">
        <f aca="false">IF(ABS(X543-Y543)&gt;1,"Mismatch","OK")</f>
        <v>OK</v>
      </c>
      <c r="AA543" s="2" t="n">
        <v>5747.09</v>
      </c>
      <c r="AB543" s="2" t="n">
        <v>2894.59</v>
      </c>
      <c r="AC543" s="2" t="n">
        <f aca="false">Y543-AA543</f>
        <v>2894.59</v>
      </c>
      <c r="AD543" s="2" t="str">
        <f aca="false">IF(ABS(AB543-AC543)&gt;1,"Mismatch","OK")</f>
        <v>OK</v>
      </c>
      <c r="AE543" s="4" t="n">
        <f aca="false">IF(Y543=0,0,AC543/Y543)</f>
        <v>0.334956860240139</v>
      </c>
      <c r="AF543" s="2" t="s">
        <v>52</v>
      </c>
      <c r="AG543" s="2" t="s">
        <v>123</v>
      </c>
      <c r="AH543" s="2" t="str">
        <f aca="false">IF(AND(AG543="Completed",AF543&lt;&gt;"Paid"),"Inconsistent","OK")</f>
        <v>OK</v>
      </c>
      <c r="AI543" s="2" t="n">
        <f aca="false">IF(OR(ISBLANK(B543),ISBLANK(C543)),"",C543-B543)</f>
        <v>1</v>
      </c>
      <c r="AJ543" s="2" t="str">
        <f aca="false">IF(AI543="","Unknown",IF(AI543&lt;0,"Invalid","OK"))</f>
        <v>OK</v>
      </c>
      <c r="AK543" s="2" t="str">
        <f aca="false">IF(ISBLANK(B543),"",TEXT(B543,"mmm"))</f>
        <v>Jul</v>
      </c>
      <c r="AL543" s="2" t="n">
        <f aca="false">IF(ISBLANK(B543),"",YEAR(B543))</f>
        <v>2025</v>
      </c>
      <c r="AM543" s="2" t="s">
        <v>41</v>
      </c>
      <c r="AN543" s="2" t="str">
        <f aca="false">IF(OR(W543="Invalid",AJ543="Invalid",AH543="Inconsistent",Z543="Mismatch",AD543="Mismatch",AM543="Yes",D543="Yes",E543="Yes"),"Invalid",IF(OR(J543="Yes",Q543="Yes",U543="Yes"),"Warning","Clean"))</f>
        <v>Clean</v>
      </c>
    </row>
    <row r="544" customFormat="false" ht="15" hidden="false" customHeight="false" outlineLevel="0" collapsed="false">
      <c r="A544" s="2" t="s">
        <v>1747</v>
      </c>
      <c r="B544" s="3" t="n">
        <v>45552</v>
      </c>
      <c r="C544" s="3" t="n">
        <v>45558</v>
      </c>
      <c r="D544" s="2" t="s">
        <v>41</v>
      </c>
      <c r="E544" s="2" t="s">
        <v>41</v>
      </c>
      <c r="F544" s="2" t="s">
        <v>1748</v>
      </c>
      <c r="G544" s="2" t="s">
        <v>138</v>
      </c>
      <c r="H544" s="2" t="s">
        <v>115</v>
      </c>
      <c r="I544" s="2" t="s">
        <v>74</v>
      </c>
      <c r="J544" s="2" t="s">
        <v>41</v>
      </c>
      <c r="K544" s="2" t="s">
        <v>205</v>
      </c>
      <c r="L544" s="2" t="s">
        <v>206</v>
      </c>
      <c r="M544" s="2" t="s">
        <v>61</v>
      </c>
      <c r="N544" s="2" t="s">
        <v>178</v>
      </c>
      <c r="O544" s="2" t="s">
        <v>1749</v>
      </c>
      <c r="P544" s="2" t="s">
        <v>51</v>
      </c>
      <c r="Q544" s="2" t="s">
        <v>41</v>
      </c>
      <c r="R544" s="2" t="n">
        <v>3</v>
      </c>
      <c r="S544" s="2" t="n">
        <v>4067.62</v>
      </c>
      <c r="T544" s="2" t="n">
        <v>0.2</v>
      </c>
      <c r="U544" s="2" t="str">
        <f aca="false">IF(ISBLANK(T544),"Yes","No")</f>
        <v>No</v>
      </c>
      <c r="V544" s="2" t="n">
        <f aca="false">IF(ISBLANK(T544),0,IF(ISNUMBER(T544),T544,VALUE(LEFT(T544,LEN(T544)-1))/100))</f>
        <v>0.2</v>
      </c>
      <c r="W544" s="2" t="str">
        <f aca="false">IF(AND(V544&gt;=0,V544&lt;=0.25),"Valid","Invalid")</f>
        <v>Valid</v>
      </c>
      <c r="X544" s="2" t="n">
        <v>9988.53</v>
      </c>
      <c r="Y544" s="2" t="n">
        <f aca="false">R544*S544*(1-V544)</f>
        <v>9762.288</v>
      </c>
      <c r="Z544" s="2" t="str">
        <f aca="false">IF(ABS(X544-Y544)&gt;1,"Mismatch","OK")</f>
        <v>Mismatch</v>
      </c>
      <c r="AA544" s="2" t="n">
        <v>8368.24</v>
      </c>
      <c r="AB544" s="2" t="n">
        <v>1394.05</v>
      </c>
      <c r="AC544" s="2" t="n">
        <f aca="false">Y544-AA544</f>
        <v>1394.048</v>
      </c>
      <c r="AD544" s="2" t="str">
        <f aca="false">IF(ABS(AB544-AC544)&gt;1,"Mismatch","OK")</f>
        <v>OK</v>
      </c>
      <c r="AE544" s="4" t="n">
        <f aca="false">IF(Y544=0,0,AC544/Y544)</f>
        <v>0.142799310981196</v>
      </c>
      <c r="AF544" s="2" t="s">
        <v>52</v>
      </c>
      <c r="AG544" s="2" t="s">
        <v>88</v>
      </c>
      <c r="AH544" s="2" t="str">
        <f aca="false">IF(AND(AG544="Completed",AF544&lt;&gt;"Paid"),"Inconsistent","OK")</f>
        <v>OK</v>
      </c>
      <c r="AI544" s="2" t="n">
        <f aca="false">IF(OR(ISBLANK(B544),ISBLANK(C544)),"",C544-B544)</f>
        <v>6</v>
      </c>
      <c r="AJ544" s="2" t="str">
        <f aca="false">IF(AI544="","Unknown",IF(AI544&lt;0,"Invalid","OK"))</f>
        <v>OK</v>
      </c>
      <c r="AK544" s="2" t="str">
        <f aca="false">IF(ISBLANK(B544),"",TEXT(B544,"mmm"))</f>
        <v>Sep</v>
      </c>
      <c r="AL544" s="2" t="n">
        <f aca="false">IF(ISBLANK(B544),"",YEAR(B544))</f>
        <v>2024</v>
      </c>
      <c r="AM544" s="2" t="s">
        <v>41</v>
      </c>
      <c r="AN544" s="2" t="str">
        <f aca="false">IF(OR(W544="Invalid",AJ544="Invalid",AH544="Inconsistent",Z544="Mismatch",AD544="Mismatch",AM544="Yes",D544="Yes",E544="Yes"),"Invalid",IF(OR(J544="Yes",Q544="Yes",U544="Yes"),"Warning","Clean"))</f>
        <v>Invalid</v>
      </c>
    </row>
    <row r="545" customFormat="false" ht="15" hidden="false" customHeight="false" outlineLevel="0" collapsed="false">
      <c r="A545" s="2" t="s">
        <v>1750</v>
      </c>
      <c r="B545" s="3" t="n">
        <v>45487</v>
      </c>
      <c r="C545" s="3" t="n">
        <v>45493</v>
      </c>
      <c r="D545" s="2" t="s">
        <v>41</v>
      </c>
      <c r="E545" s="2" t="s">
        <v>41</v>
      </c>
      <c r="F545" s="2" t="s">
        <v>1751</v>
      </c>
      <c r="G545" s="2" t="s">
        <v>56</v>
      </c>
      <c r="H545" s="2" t="s">
        <v>44</v>
      </c>
      <c r="I545" s="2" t="s">
        <v>58</v>
      </c>
      <c r="J545" s="2" t="s">
        <v>41</v>
      </c>
      <c r="K545" s="2" t="s">
        <v>165</v>
      </c>
      <c r="L545" s="2" t="s">
        <v>166</v>
      </c>
      <c r="M545" s="2" t="s">
        <v>94</v>
      </c>
      <c r="N545" s="2" t="s">
        <v>100</v>
      </c>
      <c r="O545" s="2" t="s">
        <v>1752</v>
      </c>
      <c r="P545" s="2" t="s">
        <v>64</v>
      </c>
      <c r="Q545" s="2" t="s">
        <v>41</v>
      </c>
      <c r="R545" s="2" t="n">
        <v>1</v>
      </c>
      <c r="S545" s="2" t="n">
        <v>492.67</v>
      </c>
      <c r="T545" s="2" t="n">
        <v>0.15</v>
      </c>
      <c r="U545" s="2" t="str">
        <f aca="false">IF(ISBLANK(T545),"Yes","No")</f>
        <v>No</v>
      </c>
      <c r="V545" s="2" t="n">
        <f aca="false">IF(ISBLANK(T545),0,IF(ISNUMBER(T545),T545,VALUE(LEFT(T545,LEN(T545)-1))/100))</f>
        <v>0.15</v>
      </c>
      <c r="W545" s="2" t="str">
        <f aca="false">IF(AND(V545&gt;=0,V545&lt;=0.25),"Valid","Invalid")</f>
        <v>Valid</v>
      </c>
      <c r="X545" s="2" t="n">
        <v>418.77</v>
      </c>
      <c r="Y545" s="2" t="n">
        <f aca="false">R545*S545*(1-V545)</f>
        <v>418.7695</v>
      </c>
      <c r="Z545" s="2" t="str">
        <f aca="false">IF(ABS(X545-Y545)&gt;1,"Mismatch","OK")</f>
        <v>OK</v>
      </c>
      <c r="AA545" s="2" t="n">
        <v>313.72</v>
      </c>
      <c r="AB545" s="2" t="n">
        <v>105.05</v>
      </c>
      <c r="AC545" s="2" t="n">
        <f aca="false">Y545-AA545</f>
        <v>105.0495</v>
      </c>
      <c r="AD545" s="2" t="str">
        <f aca="false">IF(ABS(AB545-AC545)&gt;1,"Mismatch","OK")</f>
        <v>OK</v>
      </c>
      <c r="AE545" s="4" t="n">
        <f aca="false">IF(Y545=0,0,AC545/Y545)</f>
        <v>0.250852796108599</v>
      </c>
      <c r="AF545" s="2" t="s">
        <v>52</v>
      </c>
      <c r="AG545" s="2" t="s">
        <v>53</v>
      </c>
      <c r="AH545" s="2" t="str">
        <f aca="false">IF(AND(AG545="Completed",AF545&lt;&gt;"Paid"),"Inconsistent","OK")</f>
        <v>OK</v>
      </c>
      <c r="AI545" s="2" t="n">
        <f aca="false">IF(OR(ISBLANK(B545),ISBLANK(C545)),"",C545-B545)</f>
        <v>6</v>
      </c>
      <c r="AJ545" s="2" t="str">
        <f aca="false">IF(AI545="","Unknown",IF(AI545&lt;0,"Invalid","OK"))</f>
        <v>OK</v>
      </c>
      <c r="AK545" s="2" t="str">
        <f aca="false">IF(ISBLANK(B545),"",TEXT(B545,"mmm"))</f>
        <v>Jul</v>
      </c>
      <c r="AL545" s="2" t="n">
        <f aca="false">IF(ISBLANK(B545),"",YEAR(B545))</f>
        <v>2024</v>
      </c>
      <c r="AM545" s="2" t="s">
        <v>41</v>
      </c>
      <c r="AN545" s="2" t="str">
        <f aca="false">IF(OR(W545="Invalid",AJ545="Invalid",AH545="Inconsistent",Z545="Mismatch",AD545="Mismatch",AM545="Yes",D545="Yes",E545="Yes"),"Invalid",IF(OR(J545="Yes",Q545="Yes",U545="Yes"),"Warning","Clean"))</f>
        <v>Clean</v>
      </c>
    </row>
    <row r="546" customFormat="false" ht="15" hidden="false" customHeight="false" outlineLevel="0" collapsed="false">
      <c r="A546" s="2" t="s">
        <v>1753</v>
      </c>
      <c r="B546" s="3" t="n">
        <v>45686</v>
      </c>
      <c r="C546" s="3" t="n">
        <v>45693</v>
      </c>
      <c r="D546" s="2" t="s">
        <v>41</v>
      </c>
      <c r="E546" s="2" t="s">
        <v>41</v>
      </c>
      <c r="F546" s="2" t="s">
        <v>1754</v>
      </c>
      <c r="G546" s="2" t="s">
        <v>82</v>
      </c>
      <c r="H546" s="2" t="s">
        <v>44</v>
      </c>
      <c r="I546" s="2" t="s">
        <v>74</v>
      </c>
      <c r="J546" s="2" t="s">
        <v>41</v>
      </c>
      <c r="K546" s="2" t="s">
        <v>205</v>
      </c>
      <c r="L546" s="2" t="s">
        <v>206</v>
      </c>
      <c r="M546" s="2" t="s">
        <v>48</v>
      </c>
      <c r="N546" s="2" t="s">
        <v>68</v>
      </c>
      <c r="O546" s="2" t="s">
        <v>1755</v>
      </c>
      <c r="P546" s="2" t="s">
        <v>64</v>
      </c>
      <c r="Q546" s="2" t="s">
        <v>41</v>
      </c>
      <c r="R546" s="2" t="n">
        <v>8</v>
      </c>
      <c r="S546" s="2" t="n">
        <v>3643.62</v>
      </c>
      <c r="T546" s="2" t="n">
        <v>0.25</v>
      </c>
      <c r="U546" s="2" t="str">
        <f aca="false">IF(ISBLANK(T546),"Yes","No")</f>
        <v>No</v>
      </c>
      <c r="V546" s="2" t="n">
        <f aca="false">IF(ISBLANK(T546),0,IF(ISNUMBER(T546),T546,VALUE(LEFT(T546,LEN(T546)-1))/100))</f>
        <v>0.25</v>
      </c>
      <c r="W546" s="2" t="str">
        <f aca="false">IF(AND(V546&gt;=0,V546&lt;=0.25),"Valid","Invalid")</f>
        <v>Valid</v>
      </c>
      <c r="X546" s="2" t="n">
        <v>21861.72</v>
      </c>
      <c r="Y546" s="2" t="n">
        <f aca="false">R546*S546*(1-V546)</f>
        <v>21861.72</v>
      </c>
      <c r="Z546" s="2" t="str">
        <f aca="false">IF(ABS(X546-Y546)&gt;1,"Mismatch","OK")</f>
        <v>OK</v>
      </c>
      <c r="AA546" s="2" t="n">
        <v>18464.34</v>
      </c>
      <c r="AB546" s="2" t="n">
        <v>3397.38</v>
      </c>
      <c r="AC546" s="2" t="n">
        <f aca="false">Y546-AA546</f>
        <v>3397.38</v>
      </c>
      <c r="AD546" s="2" t="str">
        <f aca="false">IF(ABS(AB546-AC546)&gt;1,"Mismatch","OK")</f>
        <v>OK</v>
      </c>
      <c r="AE546" s="4" t="n">
        <f aca="false">IF(Y546=0,0,AC546/Y546)</f>
        <v>0.155403143028088</v>
      </c>
      <c r="AF546" s="2" t="s">
        <v>52</v>
      </c>
      <c r="AG546" s="2" t="s">
        <v>88</v>
      </c>
      <c r="AH546" s="2" t="str">
        <f aca="false">IF(AND(AG546="Completed",AF546&lt;&gt;"Paid"),"Inconsistent","OK")</f>
        <v>OK</v>
      </c>
      <c r="AI546" s="2" t="n">
        <f aca="false">IF(OR(ISBLANK(B546),ISBLANK(C546)),"",C546-B546)</f>
        <v>7</v>
      </c>
      <c r="AJ546" s="2" t="str">
        <f aca="false">IF(AI546="","Unknown",IF(AI546&lt;0,"Invalid","OK"))</f>
        <v>OK</v>
      </c>
      <c r="AK546" s="2" t="str">
        <f aca="false">IF(ISBLANK(B546),"",TEXT(B546,"mmm"))</f>
        <v>Jan</v>
      </c>
      <c r="AL546" s="2" t="n">
        <f aca="false">IF(ISBLANK(B546),"",YEAR(B546))</f>
        <v>2025</v>
      </c>
      <c r="AM546" s="2" t="s">
        <v>41</v>
      </c>
      <c r="AN546" s="2" t="str">
        <f aca="false">IF(OR(W546="Invalid",AJ546="Invalid",AH546="Inconsistent",Z546="Mismatch",AD546="Mismatch",AM546="Yes",D546="Yes",E546="Yes"),"Invalid",IF(OR(J546="Yes",Q546="Yes",U546="Yes"),"Warning","Clean"))</f>
        <v>Clean</v>
      </c>
    </row>
    <row r="547" customFormat="false" ht="15" hidden="false" customHeight="false" outlineLevel="0" collapsed="false">
      <c r="A547" s="2" t="s">
        <v>1756</v>
      </c>
      <c r="B547" s="3" t="n">
        <v>45439</v>
      </c>
      <c r="C547" s="3" t="n">
        <v>45442</v>
      </c>
      <c r="D547" s="2" t="s">
        <v>41</v>
      </c>
      <c r="E547" s="2" t="s">
        <v>41</v>
      </c>
      <c r="F547" s="2" t="s">
        <v>1757</v>
      </c>
      <c r="G547" s="2" t="s">
        <v>286</v>
      </c>
      <c r="H547" s="2" t="s">
        <v>57</v>
      </c>
      <c r="I547" s="2" t="s">
        <v>58</v>
      </c>
      <c r="J547" s="2" t="s">
        <v>41</v>
      </c>
      <c r="K547" s="2" t="s">
        <v>250</v>
      </c>
      <c r="L547" s="2" t="s">
        <v>251</v>
      </c>
      <c r="M547" s="2" t="s">
        <v>48</v>
      </c>
      <c r="N547" s="2" t="s">
        <v>144</v>
      </c>
      <c r="O547" s="2" t="s">
        <v>1758</v>
      </c>
      <c r="P547" s="2" t="s">
        <v>64</v>
      </c>
      <c r="Q547" s="2" t="s">
        <v>41</v>
      </c>
      <c r="R547" s="2" t="n">
        <v>7</v>
      </c>
      <c r="S547" s="2" t="n">
        <v>2900.86</v>
      </c>
      <c r="T547" s="2" t="n">
        <v>0.15</v>
      </c>
      <c r="U547" s="2" t="str">
        <f aca="false">IF(ISBLANK(T547),"Yes","No")</f>
        <v>No</v>
      </c>
      <c r="V547" s="2" t="n">
        <f aca="false">IF(ISBLANK(T547),0,IF(ISNUMBER(T547),T547,VALUE(LEFT(T547,LEN(T547)-1))/100))</f>
        <v>0.15</v>
      </c>
      <c r="W547" s="2" t="str">
        <f aca="false">IF(AND(V547&gt;=0,V547&lt;=0.25),"Valid","Invalid")</f>
        <v>Valid</v>
      </c>
      <c r="X547" s="2" t="n">
        <v>17260.12</v>
      </c>
      <c r="Y547" s="2" t="n">
        <f aca="false">R547*S547*(1-V547)</f>
        <v>17260.117</v>
      </c>
      <c r="Z547" s="2" t="str">
        <f aca="false">IF(ABS(X547-Y547)&gt;1,"Mismatch","OK")</f>
        <v>OK</v>
      </c>
      <c r="AA547" s="2" t="n">
        <v>13513.51</v>
      </c>
      <c r="AB547" s="2" t="n">
        <v>3746.61</v>
      </c>
      <c r="AC547" s="2" t="n">
        <f aca="false">Y547-AA547</f>
        <v>3746.607</v>
      </c>
      <c r="AD547" s="2" t="str">
        <f aca="false">IF(ABS(AB547-AC547)&gt;1,"Mismatch","OK")</f>
        <v>OK</v>
      </c>
      <c r="AE547" s="4" t="n">
        <f aca="false">IF(Y547=0,0,AC547/Y547)</f>
        <v>0.217067300296979</v>
      </c>
      <c r="AF547" s="2" t="s">
        <v>52</v>
      </c>
      <c r="AG547" s="2" t="s">
        <v>53</v>
      </c>
      <c r="AH547" s="2" t="str">
        <f aca="false">IF(AND(AG547="Completed",AF547&lt;&gt;"Paid"),"Inconsistent","OK")</f>
        <v>OK</v>
      </c>
      <c r="AI547" s="2" t="n">
        <f aca="false">IF(OR(ISBLANK(B547),ISBLANK(C547)),"",C547-B547)</f>
        <v>3</v>
      </c>
      <c r="AJ547" s="2" t="str">
        <f aca="false">IF(AI547="","Unknown",IF(AI547&lt;0,"Invalid","OK"))</f>
        <v>OK</v>
      </c>
      <c r="AK547" s="2" t="str">
        <f aca="false">IF(ISBLANK(B547),"",TEXT(B547,"mmm"))</f>
        <v>May</v>
      </c>
      <c r="AL547" s="2" t="n">
        <f aca="false">IF(ISBLANK(B547),"",YEAR(B547))</f>
        <v>2024</v>
      </c>
      <c r="AM547" s="2" t="s">
        <v>41</v>
      </c>
      <c r="AN547" s="2" t="str">
        <f aca="false">IF(OR(W547="Invalid",AJ547="Invalid",AH547="Inconsistent",Z547="Mismatch",AD547="Mismatch",AM547="Yes",D547="Yes",E547="Yes"),"Invalid",IF(OR(J547="Yes",Q547="Yes",U547="Yes"),"Warning","Clean"))</f>
        <v>Clean</v>
      </c>
    </row>
    <row r="548" customFormat="false" ht="15" hidden="false" customHeight="false" outlineLevel="0" collapsed="false">
      <c r="A548" s="2" t="s">
        <v>1759</v>
      </c>
      <c r="B548" s="3" t="n">
        <v>45883</v>
      </c>
      <c r="C548" s="3" t="n">
        <v>45891</v>
      </c>
      <c r="D548" s="2" t="s">
        <v>41</v>
      </c>
      <c r="E548" s="2" t="s">
        <v>41</v>
      </c>
      <c r="F548" s="2" t="s">
        <v>1760</v>
      </c>
      <c r="G548" s="2" t="s">
        <v>73</v>
      </c>
      <c r="H548" s="2" t="s">
        <v>110</v>
      </c>
      <c r="I548" s="2" t="s">
        <v>83</v>
      </c>
      <c r="J548" s="2" t="s">
        <v>41</v>
      </c>
      <c r="K548" s="2" t="s">
        <v>200</v>
      </c>
      <c r="L548" s="2" t="s">
        <v>201</v>
      </c>
      <c r="M548" s="2" t="s">
        <v>48</v>
      </c>
      <c r="N548" s="2" t="s">
        <v>49</v>
      </c>
      <c r="O548" s="2" t="s">
        <v>1761</v>
      </c>
      <c r="P548" s="2" t="s">
        <v>70</v>
      </c>
      <c r="Q548" s="2" t="s">
        <v>41</v>
      </c>
      <c r="R548" s="2" t="n">
        <v>5</v>
      </c>
      <c r="S548" s="2" t="n">
        <v>2567.37</v>
      </c>
      <c r="T548" s="2" t="n">
        <v>0.15</v>
      </c>
      <c r="U548" s="2" t="str">
        <f aca="false">IF(ISBLANK(T548),"Yes","No")</f>
        <v>No</v>
      </c>
      <c r="V548" s="2" t="n">
        <f aca="false">IF(ISBLANK(T548),0,IF(ISNUMBER(T548),T548,VALUE(LEFT(T548,LEN(T548)-1))/100))</f>
        <v>0.15</v>
      </c>
      <c r="W548" s="2" t="str">
        <f aca="false">IF(AND(V548&gt;=0,V548&lt;=0.25),"Valid","Invalid")</f>
        <v>Valid</v>
      </c>
      <c r="X548" s="2" t="n">
        <v>10911.32</v>
      </c>
      <c r="Y548" s="2" t="n">
        <f aca="false">R548*S548*(1-V548)</f>
        <v>10911.3225</v>
      </c>
      <c r="Z548" s="2" t="str">
        <f aca="false">IF(ABS(X548-Y548)&gt;1,"Mismatch","OK")</f>
        <v>OK</v>
      </c>
      <c r="AA548" s="2" t="n">
        <v>6966.44</v>
      </c>
      <c r="AB548" s="2" t="n">
        <v>4395.17</v>
      </c>
      <c r="AC548" s="2" t="n">
        <f aca="false">Y548-AA548</f>
        <v>3944.8825</v>
      </c>
      <c r="AD548" s="2" t="str">
        <f aca="false">IF(ABS(AB548-AC548)&gt;1,"Mismatch","OK")</f>
        <v>Mismatch</v>
      </c>
      <c r="AE548" s="4" t="n">
        <f aca="false">IF(Y548=0,0,AC548/Y548)</f>
        <v>0.361540271584861</v>
      </c>
      <c r="AF548" s="2" t="s">
        <v>52</v>
      </c>
      <c r="AG548" s="2" t="s">
        <v>53</v>
      </c>
      <c r="AH548" s="2" t="str">
        <f aca="false">IF(AND(AG548="Completed",AF548&lt;&gt;"Paid"),"Inconsistent","OK")</f>
        <v>OK</v>
      </c>
      <c r="AI548" s="2" t="n">
        <f aca="false">IF(OR(ISBLANK(B548),ISBLANK(C548)),"",C548-B548)</f>
        <v>8</v>
      </c>
      <c r="AJ548" s="2" t="str">
        <f aca="false">IF(AI548="","Unknown",IF(AI548&lt;0,"Invalid","OK"))</f>
        <v>OK</v>
      </c>
      <c r="AK548" s="2" t="str">
        <f aca="false">IF(ISBLANK(B548),"",TEXT(B548,"mmm"))</f>
        <v>Aug</v>
      </c>
      <c r="AL548" s="2" t="n">
        <f aca="false">IF(ISBLANK(B548),"",YEAR(B548))</f>
        <v>2025</v>
      </c>
      <c r="AM548" s="2" t="s">
        <v>41</v>
      </c>
      <c r="AN548" s="2" t="str">
        <f aca="false">IF(OR(W548="Invalid",AJ548="Invalid",AH548="Inconsistent",Z548="Mismatch",AD548="Mismatch",AM548="Yes",D548="Yes",E548="Yes"),"Invalid",IF(OR(J548="Yes",Q548="Yes",U548="Yes"),"Warning","Clean"))</f>
        <v>Invalid</v>
      </c>
    </row>
    <row r="549" customFormat="false" ht="15" hidden="false" customHeight="false" outlineLevel="0" collapsed="false">
      <c r="A549" s="2" t="s">
        <v>1762</v>
      </c>
      <c r="B549" s="3" t="n">
        <v>45428</v>
      </c>
      <c r="C549" s="3" t="n">
        <v>45435</v>
      </c>
      <c r="D549" s="2" t="s">
        <v>41</v>
      </c>
      <c r="E549" s="2" t="s">
        <v>41</v>
      </c>
      <c r="F549" s="2" t="s">
        <v>1763</v>
      </c>
      <c r="G549" s="2" t="s">
        <v>99</v>
      </c>
      <c r="H549" s="2" t="s">
        <v>57</v>
      </c>
      <c r="I549" s="2" t="s">
        <v>45</v>
      </c>
      <c r="J549" s="2" t="s">
        <v>41</v>
      </c>
      <c r="K549" s="2" t="s">
        <v>156</v>
      </c>
      <c r="L549" s="2" t="s">
        <v>157</v>
      </c>
      <c r="M549" s="2" t="s">
        <v>94</v>
      </c>
      <c r="N549" s="2" t="s">
        <v>100</v>
      </c>
      <c r="O549" s="2" t="s">
        <v>1764</v>
      </c>
      <c r="P549" s="2" t="s">
        <v>79</v>
      </c>
      <c r="Q549" s="2" t="s">
        <v>41</v>
      </c>
      <c r="R549" s="2" t="n">
        <v>9</v>
      </c>
      <c r="S549" s="2" t="n">
        <v>3722.09</v>
      </c>
      <c r="T549" s="2" t="n">
        <v>0.1</v>
      </c>
      <c r="U549" s="2" t="str">
        <f aca="false">IF(ISBLANK(T549),"Yes","No")</f>
        <v>No</v>
      </c>
      <c r="V549" s="2" t="n">
        <f aca="false">IF(ISBLANK(T549),0,IF(ISNUMBER(T549),T549,VALUE(LEFT(T549,LEN(T549)-1))/100))</f>
        <v>0.1</v>
      </c>
      <c r="W549" s="2" t="str">
        <f aca="false">IF(AND(V549&gt;=0,V549&lt;=0.25),"Valid","Invalid")</f>
        <v>Valid</v>
      </c>
      <c r="X549" s="2" t="n">
        <v>30148.93</v>
      </c>
      <c r="Y549" s="2" t="n">
        <f aca="false">R549*S549*(1-V549)</f>
        <v>30148.929</v>
      </c>
      <c r="Z549" s="2" t="str">
        <f aca="false">IF(ABS(X549-Y549)&gt;1,"Mismatch","OK")</f>
        <v>OK</v>
      </c>
      <c r="AA549" s="2" t="n">
        <v>25155.07</v>
      </c>
      <c r="AB549" s="2" t="n">
        <v>4993.86</v>
      </c>
      <c r="AC549" s="2" t="n">
        <f aca="false">Y549-AA549</f>
        <v>4993.859</v>
      </c>
      <c r="AD549" s="2" t="str">
        <f aca="false">IF(ABS(AB549-AC549)&gt;1,"Mismatch","OK")</f>
        <v>OK</v>
      </c>
      <c r="AE549" s="4" t="n">
        <f aca="false">IF(Y549=0,0,AC549/Y549)</f>
        <v>0.165639681595323</v>
      </c>
      <c r="AF549" s="2" t="s">
        <v>52</v>
      </c>
      <c r="AG549" s="2" t="s">
        <v>53</v>
      </c>
      <c r="AH549" s="2" t="str">
        <f aca="false">IF(AND(AG549="Completed",AF549&lt;&gt;"Paid"),"Inconsistent","OK")</f>
        <v>OK</v>
      </c>
      <c r="AI549" s="2" t="n">
        <f aca="false">IF(OR(ISBLANK(B549),ISBLANK(C549)),"",C549-B549)</f>
        <v>7</v>
      </c>
      <c r="AJ549" s="2" t="str">
        <f aca="false">IF(AI549="","Unknown",IF(AI549&lt;0,"Invalid","OK"))</f>
        <v>OK</v>
      </c>
      <c r="AK549" s="2" t="str">
        <f aca="false">IF(ISBLANK(B549),"",TEXT(B549,"mmm"))</f>
        <v>May</v>
      </c>
      <c r="AL549" s="2" t="n">
        <f aca="false">IF(ISBLANK(B549),"",YEAR(B549))</f>
        <v>2024</v>
      </c>
      <c r="AM549" s="2" t="s">
        <v>41</v>
      </c>
      <c r="AN549" s="2" t="str">
        <f aca="false">IF(OR(W549="Invalid",AJ549="Invalid",AH549="Inconsistent",Z549="Mismatch",AD549="Mismatch",AM549="Yes",D549="Yes",E549="Yes"),"Invalid",IF(OR(J549="Yes",Q549="Yes",U549="Yes"),"Warning","Clean"))</f>
        <v>Clean</v>
      </c>
    </row>
    <row r="550" customFormat="false" ht="15" hidden="false" customHeight="false" outlineLevel="0" collapsed="false">
      <c r="A550" s="2" t="s">
        <v>1765</v>
      </c>
      <c r="B550" s="3" t="n">
        <v>45441</v>
      </c>
      <c r="C550" s="3" t="n">
        <v>45441</v>
      </c>
      <c r="D550" s="2" t="s">
        <v>41</v>
      </c>
      <c r="E550" s="2" t="s">
        <v>41</v>
      </c>
      <c r="F550" s="2" t="s">
        <v>1766</v>
      </c>
      <c r="G550" s="2" t="s">
        <v>161</v>
      </c>
      <c r="H550" s="2" t="s">
        <v>110</v>
      </c>
      <c r="I550" s="2" t="s">
        <v>58</v>
      </c>
      <c r="J550" s="2" t="s">
        <v>41</v>
      </c>
      <c r="K550" s="2" t="s">
        <v>165</v>
      </c>
      <c r="L550" s="2" t="s">
        <v>166</v>
      </c>
      <c r="M550" s="2" t="s">
        <v>61</v>
      </c>
      <c r="N550" s="2" t="s">
        <v>178</v>
      </c>
      <c r="O550" s="2" t="s">
        <v>1767</v>
      </c>
      <c r="P550" s="2" t="s">
        <v>64</v>
      </c>
      <c r="Q550" s="2" t="s">
        <v>41</v>
      </c>
      <c r="R550" s="2" t="n">
        <v>1</v>
      </c>
      <c r="S550" s="2" t="n">
        <v>1072.01</v>
      </c>
      <c r="T550" s="2" t="n">
        <v>0</v>
      </c>
      <c r="U550" s="2" t="str">
        <f aca="false">IF(ISBLANK(T550),"Yes","No")</f>
        <v>No</v>
      </c>
      <c r="V550" s="2" t="n">
        <f aca="false">IF(ISBLANK(T550),0,IF(ISNUMBER(T550),T550,VALUE(LEFT(T550,LEN(T550)-1))/100))</f>
        <v>0</v>
      </c>
      <c r="W550" s="2" t="str">
        <f aca="false">IF(AND(V550&gt;=0,V550&lt;=0.25),"Valid","Invalid")</f>
        <v>Valid</v>
      </c>
      <c r="X550" s="2" t="n">
        <v>1072.01</v>
      </c>
      <c r="Y550" s="2" t="n">
        <f aca="false">R550*S550*(1-V550)</f>
        <v>1072.01</v>
      </c>
      <c r="Z550" s="2" t="str">
        <f aca="false">IF(ABS(X550-Y550)&gt;1,"Mismatch","OK")</f>
        <v>OK</v>
      </c>
      <c r="AA550" s="2" t="n">
        <v>852.62</v>
      </c>
      <c r="AB550" s="2" t="n">
        <v>219.39</v>
      </c>
      <c r="AC550" s="2" t="n">
        <f aca="false">Y550-AA550</f>
        <v>219.39</v>
      </c>
      <c r="AD550" s="2" t="str">
        <f aca="false">IF(ABS(AB550-AC550)&gt;1,"Mismatch","OK")</f>
        <v>OK</v>
      </c>
      <c r="AE550" s="4" t="n">
        <f aca="false">IF(Y550=0,0,AC550/Y550)</f>
        <v>0.20465294167032</v>
      </c>
      <c r="AF550" s="2" t="s">
        <v>131</v>
      </c>
      <c r="AG550" s="2" t="s">
        <v>88</v>
      </c>
      <c r="AH550" s="2" t="str">
        <f aca="false">IF(AND(AG550="Completed",AF550&lt;&gt;"Paid"),"Inconsistent","OK")</f>
        <v>OK</v>
      </c>
      <c r="AI550" s="2" t="n">
        <f aca="false">IF(OR(ISBLANK(B550),ISBLANK(C550)),"",C550-B550)</f>
        <v>0</v>
      </c>
      <c r="AJ550" s="2" t="str">
        <f aca="false">IF(AI550="","Unknown",IF(AI550&lt;0,"Invalid","OK"))</f>
        <v>OK</v>
      </c>
      <c r="AK550" s="2" t="str">
        <f aca="false">IF(ISBLANK(B550),"",TEXT(B550,"mmm"))</f>
        <v>May</v>
      </c>
      <c r="AL550" s="2" t="n">
        <f aca="false">IF(ISBLANK(B550),"",YEAR(B550))</f>
        <v>2024</v>
      </c>
      <c r="AM550" s="2" t="s">
        <v>41</v>
      </c>
      <c r="AN550" s="2" t="str">
        <f aca="false">IF(OR(W550="Invalid",AJ550="Invalid",AH550="Inconsistent",Z550="Mismatch",AD550="Mismatch",AM550="Yes",D550="Yes",E550="Yes"),"Invalid",IF(OR(J550="Yes",Q550="Yes",U550="Yes"),"Warning","Clean"))</f>
        <v>Clean</v>
      </c>
    </row>
    <row r="551" customFormat="false" ht="15" hidden="false" customHeight="false" outlineLevel="0" collapsed="false">
      <c r="A551" s="2" t="s">
        <v>1768</v>
      </c>
      <c r="B551" s="3" t="n">
        <v>45941</v>
      </c>
      <c r="C551" s="3" t="n">
        <v>45943</v>
      </c>
      <c r="D551" s="2" t="s">
        <v>41</v>
      </c>
      <c r="E551" s="2" t="s">
        <v>41</v>
      </c>
      <c r="F551" s="2" t="s">
        <v>1769</v>
      </c>
      <c r="G551" s="2" t="s">
        <v>56</v>
      </c>
      <c r="H551" s="2" t="s">
        <v>110</v>
      </c>
      <c r="I551" s="2" t="s">
        <v>74</v>
      </c>
      <c r="J551" s="2" t="s">
        <v>41</v>
      </c>
      <c r="K551" s="2" t="s">
        <v>75</v>
      </c>
      <c r="L551" s="2" t="s">
        <v>76</v>
      </c>
      <c r="M551" s="2" t="s">
        <v>48</v>
      </c>
      <c r="N551" s="2" t="s">
        <v>68</v>
      </c>
      <c r="O551" s="2" t="s">
        <v>1770</v>
      </c>
      <c r="P551" s="2" t="s">
        <v>51</v>
      </c>
      <c r="Q551" s="2" t="s">
        <v>41</v>
      </c>
      <c r="R551" s="2" t="n">
        <v>3</v>
      </c>
      <c r="S551" s="2" t="n">
        <v>3804.27</v>
      </c>
      <c r="T551" s="2" t="n">
        <v>0.1</v>
      </c>
      <c r="U551" s="2" t="str">
        <f aca="false">IF(ISBLANK(T551),"Yes","No")</f>
        <v>No</v>
      </c>
      <c r="V551" s="2" t="n">
        <f aca="false">IF(ISBLANK(T551),0,IF(ISNUMBER(T551),T551,VALUE(LEFT(T551,LEN(T551)-1))/100))</f>
        <v>0.1</v>
      </c>
      <c r="W551" s="2" t="str">
        <f aca="false">IF(AND(V551&gt;=0,V551&lt;=0.25),"Valid","Invalid")</f>
        <v>Valid</v>
      </c>
      <c r="X551" s="2" t="n">
        <v>10271.53</v>
      </c>
      <c r="Y551" s="2" t="n">
        <f aca="false">R551*S551*(1-V551)</f>
        <v>10271.529</v>
      </c>
      <c r="Z551" s="2" t="str">
        <f aca="false">IF(ABS(X551-Y551)&gt;1,"Mismatch","OK")</f>
        <v>OK</v>
      </c>
      <c r="AA551" s="2" t="n">
        <v>8272.24</v>
      </c>
      <c r="AB551" s="2" t="n">
        <v>1999.29</v>
      </c>
      <c r="AC551" s="2" t="n">
        <f aca="false">Y551-AA551</f>
        <v>1999.289</v>
      </c>
      <c r="AD551" s="2" t="str">
        <f aca="false">IF(ABS(AB551-AC551)&gt;1,"Mismatch","OK")</f>
        <v>OK</v>
      </c>
      <c r="AE551" s="4" t="n">
        <f aca="false">IF(Y551=0,0,AC551/Y551)</f>
        <v>0.19464375751653</v>
      </c>
      <c r="AF551" s="2" t="s">
        <v>52</v>
      </c>
      <c r="AG551" s="2" t="s">
        <v>53</v>
      </c>
      <c r="AH551" s="2" t="str">
        <f aca="false">IF(AND(AG551="Completed",AF551&lt;&gt;"Paid"),"Inconsistent","OK")</f>
        <v>OK</v>
      </c>
      <c r="AI551" s="2" t="n">
        <f aca="false">IF(OR(ISBLANK(B551),ISBLANK(C551)),"",C551-B551)</f>
        <v>2</v>
      </c>
      <c r="AJ551" s="2" t="str">
        <f aca="false">IF(AI551="","Unknown",IF(AI551&lt;0,"Invalid","OK"))</f>
        <v>OK</v>
      </c>
      <c r="AK551" s="2" t="str">
        <f aca="false">IF(ISBLANK(B551),"",TEXT(B551,"mmm"))</f>
        <v>Oct</v>
      </c>
      <c r="AL551" s="2" t="n">
        <f aca="false">IF(ISBLANK(B551),"",YEAR(B551))</f>
        <v>2025</v>
      </c>
      <c r="AM551" s="2" t="s">
        <v>41</v>
      </c>
      <c r="AN551" s="2" t="str">
        <f aca="false">IF(OR(W551="Invalid",AJ551="Invalid",AH551="Inconsistent",Z551="Mismatch",AD551="Mismatch",AM551="Yes",D551="Yes",E551="Yes"),"Invalid",IF(OR(J551="Yes",Q551="Yes",U551="Yes"),"Warning","Clean"))</f>
        <v>Clean</v>
      </c>
    </row>
    <row r="552" customFormat="false" ht="15" hidden="false" customHeight="false" outlineLevel="0" collapsed="false">
      <c r="A552" s="2" t="s">
        <v>1771</v>
      </c>
      <c r="B552" s="3" t="n">
        <v>45506</v>
      </c>
      <c r="C552" s="3" t="n">
        <v>45514</v>
      </c>
      <c r="D552" s="2" t="s">
        <v>41</v>
      </c>
      <c r="E552" s="2" t="s">
        <v>41</v>
      </c>
      <c r="F552" s="2" t="s">
        <v>1772</v>
      </c>
      <c r="G552" s="2" t="s">
        <v>56</v>
      </c>
      <c r="H552" s="2" t="s">
        <v>115</v>
      </c>
      <c r="I552" s="2" t="s">
        <v>58</v>
      </c>
      <c r="J552" s="2" t="s">
        <v>41</v>
      </c>
      <c r="K552" s="2" t="s">
        <v>59</v>
      </c>
      <c r="L552" s="2" t="s">
        <v>60</v>
      </c>
      <c r="M552" s="2" t="s">
        <v>94</v>
      </c>
      <c r="N552" s="2" t="s">
        <v>95</v>
      </c>
      <c r="O552" s="2" t="s">
        <v>1773</v>
      </c>
      <c r="P552" s="2" t="s">
        <v>79</v>
      </c>
      <c r="Q552" s="2" t="s">
        <v>41</v>
      </c>
      <c r="R552" s="2" t="n">
        <v>6</v>
      </c>
      <c r="S552" s="2" t="n">
        <v>2126.44</v>
      </c>
      <c r="T552" s="2" t="n">
        <v>0.2</v>
      </c>
      <c r="U552" s="2" t="str">
        <f aca="false">IF(ISBLANK(T552),"Yes","No")</f>
        <v>No</v>
      </c>
      <c r="V552" s="2" t="n">
        <f aca="false">IF(ISBLANK(T552),0,IF(ISNUMBER(T552),T552,VALUE(LEFT(T552,LEN(T552)-1))/100))</f>
        <v>0.2</v>
      </c>
      <c r="W552" s="2" t="str">
        <f aca="false">IF(AND(V552&gt;=0,V552&lt;=0.25),"Valid","Invalid")</f>
        <v>Valid</v>
      </c>
      <c r="X552" s="2" t="n">
        <v>10206.91</v>
      </c>
      <c r="Y552" s="2" t="n">
        <f aca="false">R552*S552*(1-V552)</f>
        <v>10206.912</v>
      </c>
      <c r="Z552" s="2" t="str">
        <f aca="false">IF(ABS(X552-Y552)&gt;1,"Mismatch","OK")</f>
        <v>OK</v>
      </c>
      <c r="AA552" s="2" t="n">
        <v>6764.53</v>
      </c>
      <c r="AB552" s="2" t="n">
        <v>3442.38</v>
      </c>
      <c r="AC552" s="2" t="n">
        <f aca="false">Y552-AA552</f>
        <v>3442.382</v>
      </c>
      <c r="AD552" s="2" t="str">
        <f aca="false">IF(ABS(AB552-AC552)&gt;1,"Mismatch","OK")</f>
        <v>OK</v>
      </c>
      <c r="AE552" s="4" t="n">
        <f aca="false">IF(Y552=0,0,AC552/Y552)</f>
        <v>0.33725988820125</v>
      </c>
      <c r="AF552" s="2" t="s">
        <v>52</v>
      </c>
      <c r="AG552" s="2" t="s">
        <v>53</v>
      </c>
      <c r="AH552" s="2" t="str">
        <f aca="false">IF(AND(AG552="Completed",AF552&lt;&gt;"Paid"),"Inconsistent","OK")</f>
        <v>OK</v>
      </c>
      <c r="AI552" s="2" t="n">
        <f aca="false">IF(OR(ISBLANK(B552),ISBLANK(C552)),"",C552-B552)</f>
        <v>8</v>
      </c>
      <c r="AJ552" s="2" t="str">
        <f aca="false">IF(AI552="","Unknown",IF(AI552&lt;0,"Invalid","OK"))</f>
        <v>OK</v>
      </c>
      <c r="AK552" s="2" t="str">
        <f aca="false">IF(ISBLANK(B552),"",TEXT(B552,"mmm"))</f>
        <v>Aug</v>
      </c>
      <c r="AL552" s="2" t="n">
        <f aca="false">IF(ISBLANK(B552),"",YEAR(B552))</f>
        <v>2024</v>
      </c>
      <c r="AM552" s="2" t="s">
        <v>41</v>
      </c>
      <c r="AN552" s="2" t="str">
        <f aca="false">IF(OR(W552="Invalid",AJ552="Invalid",AH552="Inconsistent",Z552="Mismatch",AD552="Mismatch",AM552="Yes",D552="Yes",E552="Yes"),"Invalid",IF(OR(J552="Yes",Q552="Yes",U552="Yes"),"Warning","Clean"))</f>
        <v>Clean</v>
      </c>
    </row>
    <row r="553" customFormat="false" ht="15" hidden="false" customHeight="false" outlineLevel="0" collapsed="false">
      <c r="A553" s="2" t="s">
        <v>1774</v>
      </c>
      <c r="B553" s="3" t="n">
        <v>45349</v>
      </c>
      <c r="C553" s="3" t="n">
        <v>45349</v>
      </c>
      <c r="D553" s="2" t="s">
        <v>41</v>
      </c>
      <c r="E553" s="2" t="s">
        <v>41</v>
      </c>
      <c r="F553" s="2" t="s">
        <v>1775</v>
      </c>
      <c r="G553" s="2" t="s">
        <v>152</v>
      </c>
      <c r="H553" s="2" t="s">
        <v>44</v>
      </c>
      <c r="I553" s="2" t="s">
        <v>58</v>
      </c>
      <c r="J553" s="2" t="s">
        <v>41</v>
      </c>
      <c r="K553" s="2" t="s">
        <v>250</v>
      </c>
      <c r="L553" s="2" t="s">
        <v>251</v>
      </c>
      <c r="M553" s="2" t="s">
        <v>61</v>
      </c>
      <c r="N553" s="2" t="s">
        <v>86</v>
      </c>
      <c r="O553" s="2" t="s">
        <v>1776</v>
      </c>
      <c r="P553" s="2" t="s">
        <v>51</v>
      </c>
      <c r="Q553" s="2" t="s">
        <v>41</v>
      </c>
      <c r="R553" s="2" t="n">
        <v>3</v>
      </c>
      <c r="S553" s="2" t="n">
        <v>3148.09</v>
      </c>
      <c r="T553" s="2" t="n">
        <v>0.15</v>
      </c>
      <c r="U553" s="2" t="str">
        <f aca="false">IF(ISBLANK(T553),"Yes","No")</f>
        <v>No</v>
      </c>
      <c r="V553" s="2" t="n">
        <f aca="false">IF(ISBLANK(T553),0,IF(ISNUMBER(T553),T553,VALUE(LEFT(T553,LEN(T553)-1))/100))</f>
        <v>0.15</v>
      </c>
      <c r="W553" s="2" t="str">
        <f aca="false">IF(AND(V553&gt;=0,V553&lt;=0.25),"Valid","Invalid")</f>
        <v>Valid</v>
      </c>
      <c r="X553" s="2" t="n">
        <v>8027.63</v>
      </c>
      <c r="Y553" s="2" t="n">
        <f aca="false">R553*S553*(1-V553)</f>
        <v>8027.6295</v>
      </c>
      <c r="Z553" s="2" t="str">
        <f aca="false">IF(ABS(X553-Y553)&gt;1,"Mismatch","OK")</f>
        <v>OK</v>
      </c>
      <c r="AA553" s="2" t="n">
        <v>5496.09</v>
      </c>
      <c r="AB553" s="2" t="n">
        <v>2531.54</v>
      </c>
      <c r="AC553" s="2" t="n">
        <f aca="false">Y553-AA553</f>
        <v>2531.5395</v>
      </c>
      <c r="AD553" s="2" t="str">
        <f aca="false">IF(ABS(AB553-AC553)&gt;1,"Mismatch","OK")</f>
        <v>OK</v>
      </c>
      <c r="AE553" s="4" t="n">
        <f aca="false">IF(Y553=0,0,AC553/Y553)</f>
        <v>0.315353305729917</v>
      </c>
      <c r="AF553" s="2" t="s">
        <v>52</v>
      </c>
      <c r="AG553" s="2" t="s">
        <v>53</v>
      </c>
      <c r="AH553" s="2" t="str">
        <f aca="false">IF(AND(AG553="Completed",AF553&lt;&gt;"Paid"),"Inconsistent","OK")</f>
        <v>OK</v>
      </c>
      <c r="AI553" s="2" t="n">
        <f aca="false">IF(OR(ISBLANK(B553),ISBLANK(C553)),"",C553-B553)</f>
        <v>0</v>
      </c>
      <c r="AJ553" s="2" t="str">
        <f aca="false">IF(AI553="","Unknown",IF(AI553&lt;0,"Invalid","OK"))</f>
        <v>OK</v>
      </c>
      <c r="AK553" s="2" t="str">
        <f aca="false">IF(ISBLANK(B553),"",TEXT(B553,"mmm"))</f>
        <v>Feb</v>
      </c>
      <c r="AL553" s="2" t="n">
        <f aca="false">IF(ISBLANK(B553),"",YEAR(B553))</f>
        <v>2024</v>
      </c>
      <c r="AM553" s="2" t="s">
        <v>41</v>
      </c>
      <c r="AN553" s="2" t="str">
        <f aca="false">IF(OR(W553="Invalid",AJ553="Invalid",AH553="Inconsistent",Z553="Mismatch",AD553="Mismatch",AM553="Yes",D553="Yes",E553="Yes"),"Invalid",IF(OR(J553="Yes",Q553="Yes",U553="Yes"),"Warning","Clean"))</f>
        <v>Clean</v>
      </c>
    </row>
    <row r="554" customFormat="false" ht="15" hidden="false" customHeight="false" outlineLevel="0" collapsed="false">
      <c r="A554" s="2" t="s">
        <v>1777</v>
      </c>
      <c r="B554" s="3" t="n">
        <v>45681</v>
      </c>
      <c r="C554" s="3" t="n">
        <v>45687</v>
      </c>
      <c r="D554" s="2" t="s">
        <v>41</v>
      </c>
      <c r="E554" s="2" t="s">
        <v>41</v>
      </c>
      <c r="F554" s="2" t="s">
        <v>1778</v>
      </c>
      <c r="G554" s="2" t="s">
        <v>82</v>
      </c>
      <c r="H554" s="2" t="s">
        <v>110</v>
      </c>
      <c r="I554" s="2" t="s">
        <v>58</v>
      </c>
      <c r="J554" s="2" t="s">
        <v>41</v>
      </c>
      <c r="K554" s="2" t="s">
        <v>119</v>
      </c>
      <c r="L554" s="2" t="s">
        <v>120</v>
      </c>
      <c r="M554" s="2" t="s">
        <v>94</v>
      </c>
      <c r="N554" s="2" t="s">
        <v>100</v>
      </c>
      <c r="O554" s="2" t="s">
        <v>1779</v>
      </c>
      <c r="P554" s="2" t="s">
        <v>79</v>
      </c>
      <c r="Q554" s="2" t="s">
        <v>41</v>
      </c>
      <c r="R554" s="2" t="n">
        <v>8</v>
      </c>
      <c r="S554" s="2" t="n">
        <v>312.53</v>
      </c>
      <c r="T554" s="2" t="s">
        <v>485</v>
      </c>
      <c r="U554" s="2" t="str">
        <f aca="false">IF(ISBLANK(T554),"Yes","No")</f>
        <v>No</v>
      </c>
      <c r="V554" s="2" t="n">
        <f aca="false">IF(ISBLANK(T554),0,IF(ISNUMBER(T554),T554,VALUE(LEFT(T554,LEN(T554)-1))/100))</f>
        <v>0.7</v>
      </c>
      <c r="W554" s="2" t="str">
        <f aca="false">IF(AND(V554&gt;=0,V554&lt;=0.25),"Valid","Invalid")</f>
        <v>Invalid</v>
      </c>
      <c r="X554" s="2" t="n">
        <v>1875.18</v>
      </c>
      <c r="Y554" s="2" t="n">
        <f aca="false">R554*S554*(1-V554)</f>
        <v>750.072</v>
      </c>
      <c r="Z554" s="2" t="str">
        <f aca="false">IF(ABS(X554-Y554)&gt;1,"Mismatch","OK")</f>
        <v>Mismatch</v>
      </c>
      <c r="AA554" s="2" t="n">
        <v>1579.17</v>
      </c>
      <c r="AB554" s="2" t="n">
        <v>296.01</v>
      </c>
      <c r="AC554" s="2" t="n">
        <f aca="false">Y554-AA554</f>
        <v>-829.098</v>
      </c>
      <c r="AD554" s="2" t="str">
        <f aca="false">IF(ABS(AB554-AC554)&gt;1,"Mismatch","OK")</f>
        <v>Mismatch</v>
      </c>
      <c r="AE554" s="4" t="n">
        <f aca="false">IF(Y554=0,0,AC554/Y554)</f>
        <v>-1.10535788564298</v>
      </c>
      <c r="AF554" s="2" t="s">
        <v>52</v>
      </c>
      <c r="AG554" s="2" t="s">
        <v>53</v>
      </c>
      <c r="AH554" s="2" t="str">
        <f aca="false">IF(AND(AG554="Completed",AF554&lt;&gt;"Paid"),"Inconsistent","OK")</f>
        <v>OK</v>
      </c>
      <c r="AI554" s="2" t="n">
        <f aca="false">IF(OR(ISBLANK(B554),ISBLANK(C554)),"",C554-B554)</f>
        <v>6</v>
      </c>
      <c r="AJ554" s="2" t="str">
        <f aca="false">IF(AI554="","Unknown",IF(AI554&lt;0,"Invalid","OK"))</f>
        <v>OK</v>
      </c>
      <c r="AK554" s="2" t="str">
        <f aca="false">IF(ISBLANK(B554),"",TEXT(B554,"mmm"))</f>
        <v>Jan</v>
      </c>
      <c r="AL554" s="2" t="n">
        <f aca="false">IF(ISBLANK(B554),"",YEAR(B554))</f>
        <v>2025</v>
      </c>
      <c r="AM554" s="2" t="s">
        <v>41</v>
      </c>
      <c r="AN554" s="2" t="str">
        <f aca="false">IF(OR(W554="Invalid",AJ554="Invalid",AH554="Inconsistent",Z554="Mismatch",AD554="Mismatch",AM554="Yes",D554="Yes",E554="Yes"),"Invalid",IF(OR(J554="Yes",Q554="Yes",U554="Yes"),"Warning","Clean"))</f>
        <v>Invalid</v>
      </c>
    </row>
    <row r="555" customFormat="false" ht="15" hidden="false" customHeight="false" outlineLevel="0" collapsed="false">
      <c r="A555" s="2" t="s">
        <v>1780</v>
      </c>
      <c r="B555" s="3" t="n">
        <v>45772</v>
      </c>
      <c r="C555" s="3" t="n">
        <v>45775</v>
      </c>
      <c r="D555" s="2" t="s">
        <v>41</v>
      </c>
      <c r="E555" s="2" t="s">
        <v>41</v>
      </c>
      <c r="F555" s="2" t="s">
        <v>1781</v>
      </c>
      <c r="G555" s="2" t="s">
        <v>148</v>
      </c>
      <c r="H555" s="2" t="s">
        <v>57</v>
      </c>
      <c r="I555" s="2" t="s">
        <v>83</v>
      </c>
      <c r="J555" s="2" t="s">
        <v>41</v>
      </c>
      <c r="K555" s="2" t="s">
        <v>200</v>
      </c>
      <c r="L555" s="2" t="s">
        <v>201</v>
      </c>
      <c r="M555" s="2" t="s">
        <v>48</v>
      </c>
      <c r="N555" s="2" t="s">
        <v>144</v>
      </c>
      <c r="O555" s="2" t="s">
        <v>1782</v>
      </c>
      <c r="P555" s="2" t="s">
        <v>70</v>
      </c>
      <c r="Q555" s="2" t="s">
        <v>41</v>
      </c>
      <c r="R555" s="2" t="n">
        <v>9</v>
      </c>
      <c r="S555" s="2" t="n">
        <v>1294.11</v>
      </c>
      <c r="T555" s="2" t="n">
        <v>0.25</v>
      </c>
      <c r="U555" s="2" t="str">
        <f aca="false">IF(ISBLANK(T555),"Yes","No")</f>
        <v>No</v>
      </c>
      <c r="V555" s="2" t="n">
        <f aca="false">IF(ISBLANK(T555),0,IF(ISNUMBER(T555),T555,VALUE(LEFT(T555,LEN(T555)-1))/100))</f>
        <v>0.25</v>
      </c>
      <c r="W555" s="2" t="str">
        <f aca="false">IF(AND(V555&gt;=0,V555&lt;=0.25),"Valid","Invalid")</f>
        <v>Valid</v>
      </c>
      <c r="X555" s="2" t="n">
        <v>8735.24</v>
      </c>
      <c r="Y555" s="2" t="n">
        <f aca="false">R555*S555*(1-V555)</f>
        <v>8735.2425</v>
      </c>
      <c r="Z555" s="2" t="str">
        <f aca="false">IF(ABS(X555-Y555)&gt;1,"Mismatch","OK")</f>
        <v>OK</v>
      </c>
      <c r="AA555" s="2" t="n">
        <v>6620.07</v>
      </c>
      <c r="AB555" s="2" t="n">
        <v>2115.17</v>
      </c>
      <c r="AC555" s="2" t="n">
        <f aca="false">Y555-AA555</f>
        <v>2115.1725</v>
      </c>
      <c r="AD555" s="2" t="str">
        <f aca="false">IF(ABS(AB555-AC555)&gt;1,"Mismatch","OK")</f>
        <v>OK</v>
      </c>
      <c r="AE555" s="4" t="n">
        <f aca="false">IF(Y555=0,0,AC555/Y555)</f>
        <v>0.242142390437358</v>
      </c>
      <c r="AF555" s="2" t="s">
        <v>52</v>
      </c>
      <c r="AG555" s="2" t="s">
        <v>53</v>
      </c>
      <c r="AH555" s="2" t="str">
        <f aca="false">IF(AND(AG555="Completed",AF555&lt;&gt;"Paid"),"Inconsistent","OK")</f>
        <v>OK</v>
      </c>
      <c r="AI555" s="2" t="n">
        <f aca="false">IF(OR(ISBLANK(B555),ISBLANK(C555)),"",C555-B555)</f>
        <v>3</v>
      </c>
      <c r="AJ555" s="2" t="str">
        <f aca="false">IF(AI555="","Unknown",IF(AI555&lt;0,"Invalid","OK"))</f>
        <v>OK</v>
      </c>
      <c r="AK555" s="2" t="str">
        <f aca="false">IF(ISBLANK(B555),"",TEXT(B555,"mmm"))</f>
        <v>Apr</v>
      </c>
      <c r="AL555" s="2" t="n">
        <f aca="false">IF(ISBLANK(B555),"",YEAR(B555))</f>
        <v>2025</v>
      </c>
      <c r="AM555" s="2" t="s">
        <v>41</v>
      </c>
      <c r="AN555" s="2" t="str">
        <f aca="false">IF(OR(W555="Invalid",AJ555="Invalid",AH555="Inconsistent",Z555="Mismatch",AD555="Mismatch",AM555="Yes",D555="Yes",E555="Yes"),"Invalid",IF(OR(J555="Yes",Q555="Yes",U555="Yes"),"Warning","Clean"))</f>
        <v>Clean</v>
      </c>
    </row>
    <row r="556" customFormat="false" ht="15" hidden="false" customHeight="false" outlineLevel="0" collapsed="false">
      <c r="A556" s="2" t="s">
        <v>1783</v>
      </c>
      <c r="B556" s="3" t="n">
        <v>45577</v>
      </c>
      <c r="C556" s="3" t="n">
        <v>45582</v>
      </c>
      <c r="D556" s="2" t="s">
        <v>41</v>
      </c>
      <c r="E556" s="2" t="s">
        <v>41</v>
      </c>
      <c r="F556" s="2" t="s">
        <v>1784</v>
      </c>
      <c r="G556" s="2" t="s">
        <v>73</v>
      </c>
      <c r="H556" s="2" t="s">
        <v>44</v>
      </c>
      <c r="I556" s="2" t="s">
        <v>225</v>
      </c>
      <c r="J556" s="2" t="s">
        <v>226</v>
      </c>
      <c r="K556" s="2" t="s">
        <v>250</v>
      </c>
      <c r="L556" s="2" t="s">
        <v>251</v>
      </c>
      <c r="M556" s="2" t="s">
        <v>61</v>
      </c>
      <c r="N556" s="2" t="s">
        <v>77</v>
      </c>
      <c r="O556" s="2" t="s">
        <v>1785</v>
      </c>
      <c r="P556" s="2" t="s">
        <v>79</v>
      </c>
      <c r="Q556" s="2" t="s">
        <v>41</v>
      </c>
      <c r="R556" s="2" t="n">
        <v>4</v>
      </c>
      <c r="S556" s="2" t="n">
        <v>1071.22</v>
      </c>
      <c r="T556" s="2" t="n">
        <v>0.05</v>
      </c>
      <c r="U556" s="2" t="str">
        <f aca="false">IF(ISBLANK(T556),"Yes","No")</f>
        <v>No</v>
      </c>
      <c r="V556" s="2" t="n">
        <f aca="false">IF(ISBLANK(T556),0,IF(ISNUMBER(T556),T556,VALUE(LEFT(T556,LEN(T556)-1))/100))</f>
        <v>0.05</v>
      </c>
      <c r="W556" s="2" t="str">
        <f aca="false">IF(AND(V556&gt;=0,V556&lt;=0.25),"Valid","Invalid")</f>
        <v>Valid</v>
      </c>
      <c r="X556" s="2" t="n">
        <v>4070.64</v>
      </c>
      <c r="Y556" s="2" t="n">
        <f aca="false">R556*S556*(1-V556)</f>
        <v>4070.636</v>
      </c>
      <c r="Z556" s="2" t="str">
        <f aca="false">IF(ABS(X556-Y556)&gt;1,"Mismatch","OK")</f>
        <v>OK</v>
      </c>
      <c r="AA556" s="2" t="n">
        <v>2831.62</v>
      </c>
      <c r="AB556" s="2" t="n">
        <v>1239.02</v>
      </c>
      <c r="AC556" s="2" t="n">
        <f aca="false">Y556-AA556</f>
        <v>1239.016</v>
      </c>
      <c r="AD556" s="2" t="str">
        <f aca="false">IF(ABS(AB556-AC556)&gt;1,"Mismatch","OK")</f>
        <v>OK</v>
      </c>
      <c r="AE556" s="4" t="n">
        <f aca="false">IF(Y556=0,0,AC556/Y556)</f>
        <v>0.304378971738077</v>
      </c>
      <c r="AF556" s="2" t="s">
        <v>52</v>
      </c>
      <c r="AG556" s="2" t="s">
        <v>53</v>
      </c>
      <c r="AH556" s="2" t="str">
        <f aca="false">IF(AND(AG556="Completed",AF556&lt;&gt;"Paid"),"Inconsistent","OK")</f>
        <v>OK</v>
      </c>
      <c r="AI556" s="2" t="n">
        <f aca="false">IF(OR(ISBLANK(B556),ISBLANK(C556)),"",C556-B556)</f>
        <v>5</v>
      </c>
      <c r="AJ556" s="2" t="str">
        <f aca="false">IF(AI556="","Unknown",IF(AI556&lt;0,"Invalid","OK"))</f>
        <v>OK</v>
      </c>
      <c r="AK556" s="2" t="str">
        <f aca="false">IF(ISBLANK(B556),"",TEXT(B556,"mmm"))</f>
        <v>Oct</v>
      </c>
      <c r="AL556" s="2" t="n">
        <f aca="false">IF(ISBLANK(B556),"",YEAR(B556))</f>
        <v>2024</v>
      </c>
      <c r="AM556" s="2" t="s">
        <v>41</v>
      </c>
      <c r="AN556" s="2" t="str">
        <f aca="false">IF(OR(W556="Invalid",AJ556="Invalid",AH556="Inconsistent",Z556="Mismatch",AD556="Mismatch",AM556="Yes",D556="Yes",E556="Yes"),"Invalid",IF(OR(J556="Yes",Q556="Yes",U556="Yes"),"Warning","Clean"))</f>
        <v>Warning</v>
      </c>
    </row>
    <row r="557" customFormat="false" ht="15" hidden="false" customHeight="false" outlineLevel="0" collapsed="false">
      <c r="A557" s="2" t="s">
        <v>1786</v>
      </c>
      <c r="B557" s="3" t="n">
        <v>45692</v>
      </c>
      <c r="C557" s="3" t="n">
        <v>45698</v>
      </c>
      <c r="D557" s="2" t="s">
        <v>41</v>
      </c>
      <c r="E557" s="2" t="s">
        <v>41</v>
      </c>
      <c r="F557" s="2" t="s">
        <v>1787</v>
      </c>
      <c r="G557" s="2" t="s">
        <v>82</v>
      </c>
      <c r="H557" s="2" t="s">
        <v>57</v>
      </c>
      <c r="I557" s="2" t="s">
        <v>74</v>
      </c>
      <c r="J557" s="2" t="s">
        <v>41</v>
      </c>
      <c r="K557" s="2" t="s">
        <v>75</v>
      </c>
      <c r="L557" s="2" t="s">
        <v>76</v>
      </c>
      <c r="M557" s="2" t="s">
        <v>48</v>
      </c>
      <c r="N557" s="2" t="s">
        <v>144</v>
      </c>
      <c r="O557" s="2" t="s">
        <v>1788</v>
      </c>
      <c r="P557" s="2" t="s">
        <v>79</v>
      </c>
      <c r="Q557" s="2" t="s">
        <v>41</v>
      </c>
      <c r="R557" s="2" t="n">
        <v>6</v>
      </c>
      <c r="S557" s="2" t="n">
        <v>1042.8</v>
      </c>
      <c r="T557" s="2" t="n">
        <v>0.05</v>
      </c>
      <c r="U557" s="2" t="str">
        <f aca="false">IF(ISBLANK(T557),"Yes","No")</f>
        <v>No</v>
      </c>
      <c r="V557" s="2" t="n">
        <f aca="false">IF(ISBLANK(T557),0,IF(ISNUMBER(T557),T557,VALUE(LEFT(T557,LEN(T557)-1))/100))</f>
        <v>0.05</v>
      </c>
      <c r="W557" s="2" t="str">
        <f aca="false">IF(AND(V557&gt;=0,V557&lt;=0.25),"Valid","Invalid")</f>
        <v>Valid</v>
      </c>
      <c r="X557" s="2" t="n">
        <v>5943.96</v>
      </c>
      <c r="Y557" s="2" t="n">
        <f aca="false">R557*S557*(1-V557)</f>
        <v>5943.96</v>
      </c>
      <c r="Z557" s="2" t="str">
        <f aca="false">IF(ABS(X557-Y557)&gt;1,"Mismatch","OK")</f>
        <v>OK</v>
      </c>
      <c r="AA557" s="2" t="n">
        <v>3604.14</v>
      </c>
      <c r="AB557" s="2" t="n">
        <v>2339.82</v>
      </c>
      <c r="AC557" s="2" t="n">
        <f aca="false">Y557-AA557</f>
        <v>2339.82</v>
      </c>
      <c r="AD557" s="2" t="str">
        <f aca="false">IF(ABS(AB557-AC557)&gt;1,"Mismatch","OK")</f>
        <v>OK</v>
      </c>
      <c r="AE557" s="4" t="n">
        <f aca="false">IF(Y557=0,0,AC557/Y557)</f>
        <v>0.393646659802556</v>
      </c>
      <c r="AF557" s="2" t="s">
        <v>52</v>
      </c>
      <c r="AG557" s="2" t="s">
        <v>53</v>
      </c>
      <c r="AH557" s="2" t="str">
        <f aca="false">IF(AND(AG557="Completed",AF557&lt;&gt;"Paid"),"Inconsistent","OK")</f>
        <v>OK</v>
      </c>
      <c r="AI557" s="2" t="n">
        <f aca="false">IF(OR(ISBLANK(B557),ISBLANK(C557)),"",C557-B557)</f>
        <v>6</v>
      </c>
      <c r="AJ557" s="2" t="str">
        <f aca="false">IF(AI557="","Unknown",IF(AI557&lt;0,"Invalid","OK"))</f>
        <v>OK</v>
      </c>
      <c r="AK557" s="2" t="str">
        <f aca="false">IF(ISBLANK(B557),"",TEXT(B557,"mmm"))</f>
        <v>Feb</v>
      </c>
      <c r="AL557" s="2" t="n">
        <f aca="false">IF(ISBLANK(B557),"",YEAR(B557))</f>
        <v>2025</v>
      </c>
      <c r="AM557" s="2" t="s">
        <v>41</v>
      </c>
      <c r="AN557" s="2" t="str">
        <f aca="false">IF(OR(W557="Invalid",AJ557="Invalid",AH557="Inconsistent",Z557="Mismatch",AD557="Mismatch",AM557="Yes",D557="Yes",E557="Yes"),"Invalid",IF(OR(J557="Yes",Q557="Yes",U557="Yes"),"Warning","Clean"))</f>
        <v>Clean</v>
      </c>
    </row>
    <row r="558" customFormat="false" ht="15" hidden="false" customHeight="false" outlineLevel="0" collapsed="false">
      <c r="A558" s="2" t="s">
        <v>1789</v>
      </c>
      <c r="B558" s="3" t="n">
        <v>45466</v>
      </c>
      <c r="C558" s="3" t="n">
        <v>45472</v>
      </c>
      <c r="D558" s="2" t="s">
        <v>41</v>
      </c>
      <c r="E558" s="2" t="s">
        <v>41</v>
      </c>
      <c r="F558" s="2" t="s">
        <v>1790</v>
      </c>
      <c r="G558" s="2" t="s">
        <v>99</v>
      </c>
      <c r="H558" s="2" t="s">
        <v>44</v>
      </c>
      <c r="I558" s="2" t="s">
        <v>45</v>
      </c>
      <c r="J558" s="2" t="s">
        <v>41</v>
      </c>
      <c r="K558" s="2" t="s">
        <v>258</v>
      </c>
      <c r="L558" s="2" t="s">
        <v>259</v>
      </c>
      <c r="M558" s="2" t="s">
        <v>61</v>
      </c>
      <c r="N558" s="2" t="s">
        <v>62</v>
      </c>
      <c r="O558" s="2" t="s">
        <v>1791</v>
      </c>
      <c r="P558" s="2" t="s">
        <v>70</v>
      </c>
      <c r="Q558" s="2" t="s">
        <v>41</v>
      </c>
      <c r="R558" s="2" t="n">
        <v>1</v>
      </c>
      <c r="S558" s="2" t="n">
        <v>4426.66</v>
      </c>
      <c r="T558" s="2" t="n">
        <v>0</v>
      </c>
      <c r="U558" s="2" t="str">
        <f aca="false">IF(ISBLANK(T558),"Yes","No")</f>
        <v>No</v>
      </c>
      <c r="V558" s="2" t="n">
        <f aca="false">IF(ISBLANK(T558),0,IF(ISNUMBER(T558),T558,VALUE(LEFT(T558,LEN(T558)-1))/100))</f>
        <v>0</v>
      </c>
      <c r="W558" s="2" t="str">
        <f aca="false">IF(AND(V558&gt;=0,V558&lt;=0.25),"Valid","Invalid")</f>
        <v>Valid</v>
      </c>
      <c r="X558" s="2" t="n">
        <v>4426.66</v>
      </c>
      <c r="Y558" s="2" t="n">
        <f aca="false">R558*S558*(1-V558)</f>
        <v>4426.66</v>
      </c>
      <c r="Z558" s="2" t="str">
        <f aca="false">IF(ABS(X558-Y558)&gt;1,"Mismatch","OK")</f>
        <v>OK</v>
      </c>
      <c r="AA558" s="2" t="n">
        <v>3035.2</v>
      </c>
      <c r="AB558" s="2" t="n">
        <v>1816.23</v>
      </c>
      <c r="AC558" s="2" t="n">
        <f aca="false">Y558-AA558</f>
        <v>1391.46</v>
      </c>
      <c r="AD558" s="2" t="str">
        <f aca="false">IF(ABS(AB558-AC558)&gt;1,"Mismatch","OK")</f>
        <v>Mismatch</v>
      </c>
      <c r="AE558" s="4" t="n">
        <f aca="false">IF(Y558=0,0,AC558/Y558)</f>
        <v>0.314336316771561</v>
      </c>
      <c r="AF558" s="2" t="s">
        <v>52</v>
      </c>
      <c r="AG558" s="2" t="s">
        <v>123</v>
      </c>
      <c r="AH558" s="2" t="str">
        <f aca="false">IF(AND(AG558="Completed",AF558&lt;&gt;"Paid"),"Inconsistent","OK")</f>
        <v>OK</v>
      </c>
      <c r="AI558" s="2" t="n">
        <f aca="false">IF(OR(ISBLANK(B558),ISBLANK(C558)),"",C558-B558)</f>
        <v>6</v>
      </c>
      <c r="AJ558" s="2" t="str">
        <f aca="false">IF(AI558="","Unknown",IF(AI558&lt;0,"Invalid","OK"))</f>
        <v>OK</v>
      </c>
      <c r="AK558" s="2" t="str">
        <f aca="false">IF(ISBLANK(B558),"",TEXT(B558,"mmm"))</f>
        <v>Jun</v>
      </c>
      <c r="AL558" s="2" t="n">
        <f aca="false">IF(ISBLANK(B558),"",YEAR(B558))</f>
        <v>2024</v>
      </c>
      <c r="AM558" s="2" t="s">
        <v>41</v>
      </c>
      <c r="AN558" s="2" t="str">
        <f aca="false">IF(OR(W558="Invalid",AJ558="Invalid",AH558="Inconsistent",Z558="Mismatch",AD558="Mismatch",AM558="Yes",D558="Yes",E558="Yes"),"Invalid",IF(OR(J558="Yes",Q558="Yes",U558="Yes"),"Warning","Clean"))</f>
        <v>Invalid</v>
      </c>
    </row>
    <row r="559" customFormat="false" ht="15" hidden="false" customHeight="false" outlineLevel="0" collapsed="false">
      <c r="A559" s="2" t="s">
        <v>1792</v>
      </c>
      <c r="B559" s="3" t="n">
        <v>45420</v>
      </c>
      <c r="C559" s="3" t="n">
        <v>45426</v>
      </c>
      <c r="D559" s="2" t="s">
        <v>41</v>
      </c>
      <c r="E559" s="2" t="s">
        <v>41</v>
      </c>
      <c r="F559" s="2" t="s">
        <v>1793</v>
      </c>
      <c r="G559" s="2" t="s">
        <v>91</v>
      </c>
      <c r="H559" s="2" t="s">
        <v>115</v>
      </c>
      <c r="I559" s="2" t="s">
        <v>45</v>
      </c>
      <c r="J559" s="2" t="s">
        <v>41</v>
      </c>
      <c r="K559" s="2" t="s">
        <v>258</v>
      </c>
      <c r="L559" s="2" t="s">
        <v>259</v>
      </c>
      <c r="M559" s="2" t="s">
        <v>94</v>
      </c>
      <c r="N559" s="2" t="s">
        <v>191</v>
      </c>
      <c r="O559" s="2" t="s">
        <v>1794</v>
      </c>
      <c r="P559" s="2" t="s">
        <v>70</v>
      </c>
      <c r="Q559" s="2" t="s">
        <v>41</v>
      </c>
      <c r="R559" s="2" t="n">
        <v>9</v>
      </c>
      <c r="S559" s="2" t="n">
        <v>3769.46</v>
      </c>
      <c r="T559" s="2" t="n">
        <v>0.05</v>
      </c>
      <c r="U559" s="2" t="str">
        <f aca="false">IF(ISBLANK(T559),"Yes","No")</f>
        <v>No</v>
      </c>
      <c r="V559" s="2" t="n">
        <f aca="false">IF(ISBLANK(T559),0,IF(ISNUMBER(T559),T559,VALUE(LEFT(T559,LEN(T559)-1))/100))</f>
        <v>0.05</v>
      </c>
      <c r="W559" s="2" t="str">
        <f aca="false">IF(AND(V559&gt;=0,V559&lt;=0.25),"Valid","Invalid")</f>
        <v>Valid</v>
      </c>
      <c r="X559" s="2" t="n">
        <v>32228.88</v>
      </c>
      <c r="Y559" s="2" t="n">
        <f aca="false">R559*S559*(1-V559)</f>
        <v>32228.883</v>
      </c>
      <c r="Z559" s="2" t="str">
        <f aca="false">IF(ABS(X559-Y559)&gt;1,"Mismatch","OK")</f>
        <v>OK</v>
      </c>
      <c r="AA559" s="2" t="n">
        <v>24971.36</v>
      </c>
      <c r="AB559" s="2" t="n">
        <v>7257.52</v>
      </c>
      <c r="AC559" s="2" t="n">
        <f aca="false">Y559-AA559</f>
        <v>7257.523</v>
      </c>
      <c r="AD559" s="2" t="str">
        <f aca="false">IF(ABS(AB559-AC559)&gt;1,"Mismatch","OK")</f>
        <v>OK</v>
      </c>
      <c r="AE559" s="4" t="n">
        <f aca="false">IF(Y559=0,0,AC559/Y559)</f>
        <v>0.225186923170747</v>
      </c>
      <c r="AF559" s="2" t="s">
        <v>52</v>
      </c>
      <c r="AG559" s="2" t="s">
        <v>88</v>
      </c>
      <c r="AH559" s="2" t="str">
        <f aca="false">IF(AND(AG559="Completed",AF559&lt;&gt;"Paid"),"Inconsistent","OK")</f>
        <v>OK</v>
      </c>
      <c r="AI559" s="2" t="n">
        <f aca="false">IF(OR(ISBLANK(B559),ISBLANK(C559)),"",C559-B559)</f>
        <v>6</v>
      </c>
      <c r="AJ559" s="2" t="str">
        <f aca="false">IF(AI559="","Unknown",IF(AI559&lt;0,"Invalid","OK"))</f>
        <v>OK</v>
      </c>
      <c r="AK559" s="2" t="str">
        <f aca="false">IF(ISBLANK(B559),"",TEXT(B559,"mmm"))</f>
        <v>May</v>
      </c>
      <c r="AL559" s="2" t="n">
        <f aca="false">IF(ISBLANK(B559),"",YEAR(B559))</f>
        <v>2024</v>
      </c>
      <c r="AM559" s="2" t="s">
        <v>41</v>
      </c>
      <c r="AN559" s="2" t="str">
        <f aca="false">IF(OR(W559="Invalid",AJ559="Invalid",AH559="Inconsistent",Z559="Mismatch",AD559="Mismatch",AM559="Yes",D559="Yes",E559="Yes"),"Invalid",IF(OR(J559="Yes",Q559="Yes",U559="Yes"),"Warning","Clean"))</f>
        <v>Clean</v>
      </c>
    </row>
    <row r="560" customFormat="false" ht="15" hidden="false" customHeight="false" outlineLevel="0" collapsed="false">
      <c r="A560" s="2" t="s">
        <v>1795</v>
      </c>
      <c r="B560" s="3" t="n">
        <v>45904</v>
      </c>
      <c r="C560" s="3" t="n">
        <v>45904</v>
      </c>
      <c r="D560" s="2" t="s">
        <v>41</v>
      </c>
      <c r="E560" s="2" t="s">
        <v>41</v>
      </c>
      <c r="F560" s="2" t="s">
        <v>1796</v>
      </c>
      <c r="G560" s="2" t="s">
        <v>109</v>
      </c>
      <c r="H560" s="2" t="s">
        <v>110</v>
      </c>
      <c r="I560" s="2" t="s">
        <v>45</v>
      </c>
      <c r="J560" s="2" t="s">
        <v>41</v>
      </c>
      <c r="K560" s="2" t="s">
        <v>142</v>
      </c>
      <c r="L560" s="2" t="s">
        <v>143</v>
      </c>
      <c r="M560" s="2" t="s">
        <v>94</v>
      </c>
      <c r="N560" s="2" t="s">
        <v>296</v>
      </c>
      <c r="O560" s="2" t="s">
        <v>1797</v>
      </c>
      <c r="P560" s="2" t="s">
        <v>70</v>
      </c>
      <c r="Q560" s="2" t="s">
        <v>41</v>
      </c>
      <c r="R560" s="2" t="n">
        <v>8</v>
      </c>
      <c r="S560" s="2" t="n">
        <v>3079.95</v>
      </c>
      <c r="T560" s="2" t="n">
        <v>0.2</v>
      </c>
      <c r="U560" s="2" t="str">
        <f aca="false">IF(ISBLANK(T560),"Yes","No")</f>
        <v>No</v>
      </c>
      <c r="V560" s="2" t="n">
        <f aca="false">IF(ISBLANK(T560),0,IF(ISNUMBER(T560),T560,VALUE(LEFT(T560,LEN(T560)-1))/100))</f>
        <v>0.2</v>
      </c>
      <c r="W560" s="2" t="str">
        <f aca="false">IF(AND(V560&gt;=0,V560&lt;=0.25),"Valid","Invalid")</f>
        <v>Valid</v>
      </c>
      <c r="X560" s="2" t="n">
        <v>19711.68</v>
      </c>
      <c r="Y560" s="2" t="n">
        <f aca="false">R560*S560*(1-V560)</f>
        <v>19711.68</v>
      </c>
      <c r="Z560" s="2" t="str">
        <f aca="false">IF(ABS(X560-Y560)&gt;1,"Mismatch","OK")</f>
        <v>OK</v>
      </c>
      <c r="AA560" s="2" t="n">
        <v>14461.8</v>
      </c>
      <c r="AB560" s="2" t="n">
        <v>5249.88</v>
      </c>
      <c r="AC560" s="2" t="n">
        <f aca="false">Y560-AA560</f>
        <v>5249.88</v>
      </c>
      <c r="AD560" s="2" t="str">
        <f aca="false">IF(ABS(AB560-AC560)&gt;1,"Mismatch","OK")</f>
        <v>OK</v>
      </c>
      <c r="AE560" s="4" t="n">
        <f aca="false">IF(Y560=0,0,AC560/Y560)</f>
        <v>0.266333463205572</v>
      </c>
      <c r="AF560" s="2" t="s">
        <v>52</v>
      </c>
      <c r="AG560" s="2" t="s">
        <v>53</v>
      </c>
      <c r="AH560" s="2" t="str">
        <f aca="false">IF(AND(AG560="Completed",AF560&lt;&gt;"Paid"),"Inconsistent","OK")</f>
        <v>OK</v>
      </c>
      <c r="AI560" s="2" t="n">
        <f aca="false">IF(OR(ISBLANK(B560),ISBLANK(C560)),"",C560-B560)</f>
        <v>0</v>
      </c>
      <c r="AJ560" s="2" t="str">
        <f aca="false">IF(AI560="","Unknown",IF(AI560&lt;0,"Invalid","OK"))</f>
        <v>OK</v>
      </c>
      <c r="AK560" s="2" t="str">
        <f aca="false">IF(ISBLANK(B560),"",TEXT(B560,"mmm"))</f>
        <v>Sep</v>
      </c>
      <c r="AL560" s="2" t="n">
        <f aca="false">IF(ISBLANK(B560),"",YEAR(B560))</f>
        <v>2025</v>
      </c>
      <c r="AM560" s="2" t="s">
        <v>41</v>
      </c>
      <c r="AN560" s="2" t="str">
        <f aca="false">IF(OR(W560="Invalid",AJ560="Invalid",AH560="Inconsistent",Z560="Mismatch",AD560="Mismatch",AM560="Yes",D560="Yes",E560="Yes"),"Invalid",IF(OR(J560="Yes",Q560="Yes",U560="Yes"),"Warning","Clean"))</f>
        <v>Clean</v>
      </c>
    </row>
    <row r="561" customFormat="false" ht="15" hidden="false" customHeight="false" outlineLevel="0" collapsed="false">
      <c r="A561" s="2" t="s">
        <v>1798</v>
      </c>
      <c r="B561" s="3" t="n">
        <v>45930</v>
      </c>
      <c r="C561" s="3" t="n">
        <v>45937</v>
      </c>
      <c r="D561" s="2" t="s">
        <v>41</v>
      </c>
      <c r="E561" s="2" t="s">
        <v>41</v>
      </c>
      <c r="F561" s="2" t="s">
        <v>1799</v>
      </c>
      <c r="G561" s="2" t="s">
        <v>182</v>
      </c>
      <c r="H561" s="2" t="s">
        <v>110</v>
      </c>
      <c r="I561" s="2" t="s">
        <v>58</v>
      </c>
      <c r="J561" s="2" t="s">
        <v>41</v>
      </c>
      <c r="K561" s="2" t="s">
        <v>165</v>
      </c>
      <c r="L561" s="2" t="s">
        <v>166</v>
      </c>
      <c r="M561" s="2" t="s">
        <v>94</v>
      </c>
      <c r="N561" s="2" t="s">
        <v>100</v>
      </c>
      <c r="O561" s="2" t="s">
        <v>1800</v>
      </c>
      <c r="P561" s="2" t="s">
        <v>51</v>
      </c>
      <c r="Q561" s="2" t="s">
        <v>41</v>
      </c>
      <c r="R561" s="2" t="n">
        <v>5</v>
      </c>
      <c r="S561" s="2" t="n">
        <v>3277.82</v>
      </c>
      <c r="T561" s="2" t="n">
        <v>0.1</v>
      </c>
      <c r="U561" s="2" t="str">
        <f aca="false">IF(ISBLANK(T561),"Yes","No")</f>
        <v>No</v>
      </c>
      <c r="V561" s="2" t="n">
        <f aca="false">IF(ISBLANK(T561),0,IF(ISNUMBER(T561),T561,VALUE(LEFT(T561,LEN(T561)-1))/100))</f>
        <v>0.1</v>
      </c>
      <c r="W561" s="2" t="str">
        <f aca="false">IF(AND(V561&gt;=0,V561&lt;=0.25),"Valid","Invalid")</f>
        <v>Valid</v>
      </c>
      <c r="X561" s="2" t="n">
        <v>14750.19</v>
      </c>
      <c r="Y561" s="2" t="n">
        <f aca="false">R561*S561*(1-V561)</f>
        <v>14750.19</v>
      </c>
      <c r="Z561" s="2" t="str">
        <f aca="false">IF(ABS(X561-Y561)&gt;1,"Mismatch","OK")</f>
        <v>OK</v>
      </c>
      <c r="AA561" s="2" t="n">
        <v>9482.58</v>
      </c>
      <c r="AB561" s="2" t="n">
        <v>5267.61</v>
      </c>
      <c r="AC561" s="2" t="n">
        <f aca="false">Y561-AA561</f>
        <v>5267.61</v>
      </c>
      <c r="AD561" s="2" t="str">
        <f aca="false">IF(ABS(AB561-AC561)&gt;1,"Mismatch","OK")</f>
        <v>OK</v>
      </c>
      <c r="AE561" s="4" t="n">
        <f aca="false">IF(Y561=0,0,AC561/Y561)</f>
        <v>0.357121501485744</v>
      </c>
      <c r="AF561" s="2" t="s">
        <v>52</v>
      </c>
      <c r="AG561" s="2" t="s">
        <v>123</v>
      </c>
      <c r="AH561" s="2" t="str">
        <f aca="false">IF(AND(AG561="Completed",AF561&lt;&gt;"Paid"),"Inconsistent","OK")</f>
        <v>OK</v>
      </c>
      <c r="AI561" s="2" t="n">
        <f aca="false">IF(OR(ISBLANK(B561),ISBLANK(C561)),"",C561-B561)</f>
        <v>7</v>
      </c>
      <c r="AJ561" s="2" t="str">
        <f aca="false">IF(AI561="","Unknown",IF(AI561&lt;0,"Invalid","OK"))</f>
        <v>OK</v>
      </c>
      <c r="AK561" s="2" t="str">
        <f aca="false">IF(ISBLANK(B561),"",TEXT(B561,"mmm"))</f>
        <v>Sep</v>
      </c>
      <c r="AL561" s="2" t="n">
        <f aca="false">IF(ISBLANK(B561),"",YEAR(B561))</f>
        <v>2025</v>
      </c>
      <c r="AM561" s="2" t="s">
        <v>41</v>
      </c>
      <c r="AN561" s="2" t="str">
        <f aca="false">IF(OR(W561="Invalid",AJ561="Invalid",AH561="Inconsistent",Z561="Mismatch",AD561="Mismatch",AM561="Yes",D561="Yes",E561="Yes"),"Invalid",IF(OR(J561="Yes",Q561="Yes",U561="Yes"),"Warning","Clean"))</f>
        <v>Clean</v>
      </c>
    </row>
    <row r="562" customFormat="false" ht="15" hidden="false" customHeight="false" outlineLevel="0" collapsed="false">
      <c r="A562" s="2" t="s">
        <v>1801</v>
      </c>
      <c r="B562" s="3" t="n">
        <v>45307</v>
      </c>
      <c r="C562" s="3" t="n">
        <v>45313</v>
      </c>
      <c r="D562" s="2" t="s">
        <v>41</v>
      </c>
      <c r="E562" s="2" t="s">
        <v>41</v>
      </c>
      <c r="F562" s="2" t="s">
        <v>1802</v>
      </c>
      <c r="G562" s="2" t="s">
        <v>73</v>
      </c>
      <c r="H562" s="2" t="s">
        <v>44</v>
      </c>
      <c r="I562" s="2" t="s">
        <v>83</v>
      </c>
      <c r="J562" s="2" t="s">
        <v>41</v>
      </c>
      <c r="K562" s="2" t="s">
        <v>210</v>
      </c>
      <c r="L562" s="2" t="s">
        <v>211</v>
      </c>
      <c r="M562" s="2" t="s">
        <v>48</v>
      </c>
      <c r="N562" s="2" t="s">
        <v>144</v>
      </c>
      <c r="O562" s="2" t="s">
        <v>1803</v>
      </c>
      <c r="P562" s="2" t="s">
        <v>79</v>
      </c>
      <c r="Q562" s="2" t="s">
        <v>41</v>
      </c>
      <c r="R562" s="2" t="n">
        <v>4</v>
      </c>
      <c r="S562" s="2" t="n">
        <v>282.53</v>
      </c>
      <c r="T562" s="2" t="n">
        <v>0</v>
      </c>
      <c r="U562" s="2" t="str">
        <f aca="false">IF(ISBLANK(T562),"Yes","No")</f>
        <v>No</v>
      </c>
      <c r="V562" s="2" t="n">
        <f aca="false">IF(ISBLANK(T562),0,IF(ISNUMBER(T562),T562,VALUE(LEFT(T562,LEN(T562)-1))/100))</f>
        <v>0</v>
      </c>
      <c r="W562" s="2" t="str">
        <f aca="false">IF(AND(V562&gt;=0,V562&lt;=0.25),"Valid","Invalid")</f>
        <v>Valid</v>
      </c>
      <c r="X562" s="2" t="n">
        <v>1130.12</v>
      </c>
      <c r="Y562" s="2" t="n">
        <f aca="false">R562*S562*(1-V562)</f>
        <v>1130.12</v>
      </c>
      <c r="Z562" s="2" t="str">
        <f aca="false">IF(ABS(X562-Y562)&gt;1,"Mismatch","OK")</f>
        <v>OK</v>
      </c>
      <c r="AA562" s="2" t="n">
        <v>848.62</v>
      </c>
      <c r="AB562" s="2" t="n">
        <v>281.5</v>
      </c>
      <c r="AC562" s="2" t="n">
        <f aca="false">Y562-AA562</f>
        <v>281.5</v>
      </c>
      <c r="AD562" s="2" t="str">
        <f aca="false">IF(ABS(AB562-AC562)&gt;1,"Mismatch","OK")</f>
        <v>OK</v>
      </c>
      <c r="AE562" s="4" t="n">
        <f aca="false">IF(Y562=0,0,AC562/Y562)</f>
        <v>0.249088592361873</v>
      </c>
      <c r="AF562" s="2" t="s">
        <v>52</v>
      </c>
      <c r="AG562" s="2" t="s">
        <v>88</v>
      </c>
      <c r="AH562" s="2" t="str">
        <f aca="false">IF(AND(AG562="Completed",AF562&lt;&gt;"Paid"),"Inconsistent","OK")</f>
        <v>OK</v>
      </c>
      <c r="AI562" s="2" t="n">
        <f aca="false">IF(OR(ISBLANK(B562),ISBLANK(C562)),"",C562-B562)</f>
        <v>6</v>
      </c>
      <c r="AJ562" s="2" t="str">
        <f aca="false">IF(AI562="","Unknown",IF(AI562&lt;0,"Invalid","OK"))</f>
        <v>OK</v>
      </c>
      <c r="AK562" s="2" t="str">
        <f aca="false">IF(ISBLANK(B562),"",TEXT(B562,"mmm"))</f>
        <v>Jan</v>
      </c>
      <c r="AL562" s="2" t="n">
        <f aca="false">IF(ISBLANK(B562),"",YEAR(B562))</f>
        <v>2024</v>
      </c>
      <c r="AM562" s="2" t="s">
        <v>41</v>
      </c>
      <c r="AN562" s="2" t="str">
        <f aca="false">IF(OR(W562="Invalid",AJ562="Invalid",AH562="Inconsistent",Z562="Mismatch",AD562="Mismatch",AM562="Yes",D562="Yes",E562="Yes"),"Invalid",IF(OR(J562="Yes",Q562="Yes",U562="Yes"),"Warning","Clean"))</f>
        <v>Clean</v>
      </c>
    </row>
    <row r="563" customFormat="false" ht="15" hidden="false" customHeight="false" outlineLevel="0" collapsed="false">
      <c r="A563" s="2" t="s">
        <v>1804</v>
      </c>
      <c r="B563" s="3" t="n">
        <v>45852</v>
      </c>
      <c r="C563" s="3" t="n">
        <v>45856</v>
      </c>
      <c r="D563" s="2" t="s">
        <v>41</v>
      </c>
      <c r="E563" s="2" t="s">
        <v>41</v>
      </c>
      <c r="F563" s="2" t="s">
        <v>1805</v>
      </c>
      <c r="G563" s="2" t="s">
        <v>109</v>
      </c>
      <c r="H563" s="2" t="s">
        <v>44</v>
      </c>
      <c r="I563" s="2" t="s">
        <v>45</v>
      </c>
      <c r="J563" s="2" t="s">
        <v>41</v>
      </c>
      <c r="K563" s="2" t="s">
        <v>142</v>
      </c>
      <c r="L563" s="2" t="s">
        <v>143</v>
      </c>
      <c r="M563" s="2" t="s">
        <v>94</v>
      </c>
      <c r="N563" s="2" t="s">
        <v>100</v>
      </c>
      <c r="O563" s="2" t="s">
        <v>1806</v>
      </c>
      <c r="P563" s="2" t="s">
        <v>70</v>
      </c>
      <c r="Q563" s="2" t="s">
        <v>41</v>
      </c>
      <c r="R563" s="2" t="n">
        <v>4</v>
      </c>
      <c r="S563" s="2" t="n">
        <v>725.22</v>
      </c>
      <c r="T563" s="2" t="n">
        <v>0</v>
      </c>
      <c r="U563" s="2" t="str">
        <f aca="false">IF(ISBLANK(T563),"Yes","No")</f>
        <v>No</v>
      </c>
      <c r="V563" s="2" t="n">
        <f aca="false">IF(ISBLANK(T563),0,IF(ISNUMBER(T563),T563,VALUE(LEFT(T563,LEN(T563)-1))/100))</f>
        <v>0</v>
      </c>
      <c r="W563" s="2" t="str">
        <f aca="false">IF(AND(V563&gt;=0,V563&lt;=0.25),"Valid","Invalid")</f>
        <v>Valid</v>
      </c>
      <c r="X563" s="2" t="n">
        <v>2900.88</v>
      </c>
      <c r="Y563" s="2" t="n">
        <f aca="false">R563*S563*(1-V563)</f>
        <v>2900.88</v>
      </c>
      <c r="Z563" s="2" t="str">
        <f aca="false">IF(ABS(X563-Y563)&gt;1,"Mismatch","OK")</f>
        <v>OK</v>
      </c>
      <c r="AA563" s="2" t="n">
        <v>2391.85</v>
      </c>
      <c r="AB563" s="2" t="n">
        <v>509.03</v>
      </c>
      <c r="AC563" s="2" t="n">
        <f aca="false">Y563-AA563</f>
        <v>509.03</v>
      </c>
      <c r="AD563" s="2" t="str">
        <f aca="false">IF(ABS(AB563-AC563)&gt;1,"Mismatch","OK")</f>
        <v>OK</v>
      </c>
      <c r="AE563" s="4" t="n">
        <f aca="false">IF(Y563=0,0,AC563/Y563)</f>
        <v>0.175474338821323</v>
      </c>
      <c r="AF563" s="2" t="s">
        <v>131</v>
      </c>
      <c r="AG563" s="2" t="s">
        <v>123</v>
      </c>
      <c r="AH563" s="2" t="str">
        <f aca="false">IF(AND(AG563="Completed",AF563&lt;&gt;"Paid"),"Inconsistent","OK")</f>
        <v>OK</v>
      </c>
      <c r="AI563" s="2" t="n">
        <f aca="false">IF(OR(ISBLANK(B563),ISBLANK(C563)),"",C563-B563)</f>
        <v>4</v>
      </c>
      <c r="AJ563" s="2" t="str">
        <f aca="false">IF(AI563="","Unknown",IF(AI563&lt;0,"Invalid","OK"))</f>
        <v>OK</v>
      </c>
      <c r="AK563" s="2" t="str">
        <f aca="false">IF(ISBLANK(B563),"",TEXT(B563,"mmm"))</f>
        <v>Jul</v>
      </c>
      <c r="AL563" s="2" t="n">
        <f aca="false">IF(ISBLANK(B563),"",YEAR(B563))</f>
        <v>2025</v>
      </c>
      <c r="AM563" s="2" t="s">
        <v>41</v>
      </c>
      <c r="AN563" s="2" t="str">
        <f aca="false">IF(OR(W563="Invalid",AJ563="Invalid",AH563="Inconsistent",Z563="Mismatch",AD563="Mismatch",AM563="Yes",D563="Yes",E563="Yes"),"Invalid",IF(OR(J563="Yes",Q563="Yes",U563="Yes"),"Warning","Clean"))</f>
        <v>Clean</v>
      </c>
    </row>
    <row r="564" customFormat="false" ht="15" hidden="false" customHeight="false" outlineLevel="0" collapsed="false">
      <c r="A564" s="2" t="s">
        <v>1807</v>
      </c>
      <c r="B564" s="3" t="n">
        <v>45422</v>
      </c>
      <c r="C564" s="3" t="n">
        <v>45428</v>
      </c>
      <c r="D564" s="2" t="s">
        <v>41</v>
      </c>
      <c r="E564" s="2" t="s">
        <v>41</v>
      </c>
      <c r="F564" s="2" t="s">
        <v>1808</v>
      </c>
      <c r="G564" s="2" t="s">
        <v>43</v>
      </c>
      <c r="H564" s="2" t="s">
        <v>44</v>
      </c>
      <c r="I564" s="2" t="s">
        <v>45</v>
      </c>
      <c r="J564" s="2" t="s">
        <v>41</v>
      </c>
      <c r="K564" s="2" t="s">
        <v>142</v>
      </c>
      <c r="L564" s="2" t="s">
        <v>143</v>
      </c>
      <c r="M564" s="2" t="s">
        <v>48</v>
      </c>
      <c r="N564" s="2" t="s">
        <v>173</v>
      </c>
      <c r="O564" s="2" t="s">
        <v>1809</v>
      </c>
      <c r="P564" s="2" t="s">
        <v>64</v>
      </c>
      <c r="Q564" s="2" t="s">
        <v>41</v>
      </c>
      <c r="R564" s="2" t="n">
        <v>7</v>
      </c>
      <c r="S564" s="2" t="n">
        <v>121.54</v>
      </c>
      <c r="T564" s="2" t="n">
        <v>0.2</v>
      </c>
      <c r="U564" s="2" t="str">
        <f aca="false">IF(ISBLANK(T564),"Yes","No")</f>
        <v>No</v>
      </c>
      <c r="V564" s="2" t="n">
        <f aca="false">IF(ISBLANK(T564),0,IF(ISNUMBER(T564),T564,VALUE(LEFT(T564,LEN(T564)-1))/100))</f>
        <v>0.2</v>
      </c>
      <c r="W564" s="2" t="str">
        <f aca="false">IF(AND(V564&gt;=0,V564&lt;=0.25),"Valid","Invalid")</f>
        <v>Valid</v>
      </c>
      <c r="X564" s="2" t="n">
        <v>680.62</v>
      </c>
      <c r="Y564" s="2" t="n">
        <f aca="false">R564*S564*(1-V564)</f>
        <v>680.624</v>
      </c>
      <c r="Z564" s="2" t="str">
        <f aca="false">IF(ABS(X564-Y564)&gt;1,"Mismatch","OK")</f>
        <v>OK</v>
      </c>
      <c r="AA564" s="2" t="n">
        <v>463.49</v>
      </c>
      <c r="AB564" s="2" t="n">
        <v>217.13</v>
      </c>
      <c r="AC564" s="2" t="n">
        <f aca="false">Y564-AA564</f>
        <v>217.134</v>
      </c>
      <c r="AD564" s="2" t="str">
        <f aca="false">IF(ABS(AB564-AC564)&gt;1,"Mismatch","OK")</f>
        <v>OK</v>
      </c>
      <c r="AE564" s="4" t="n">
        <f aca="false">IF(Y564=0,0,AC564/Y564)</f>
        <v>0.319021956322434</v>
      </c>
      <c r="AF564" s="2" t="s">
        <v>175</v>
      </c>
      <c r="AG564" s="2" t="s">
        <v>123</v>
      </c>
      <c r="AH564" s="2" t="str">
        <f aca="false">IF(AND(AG564="Completed",AF564&lt;&gt;"Paid"),"Inconsistent","OK")</f>
        <v>OK</v>
      </c>
      <c r="AI564" s="2" t="n">
        <f aca="false">IF(OR(ISBLANK(B564),ISBLANK(C564)),"",C564-B564)</f>
        <v>6</v>
      </c>
      <c r="AJ564" s="2" t="str">
        <f aca="false">IF(AI564="","Unknown",IF(AI564&lt;0,"Invalid","OK"))</f>
        <v>OK</v>
      </c>
      <c r="AK564" s="2" t="str">
        <f aca="false">IF(ISBLANK(B564),"",TEXT(B564,"mmm"))</f>
        <v>May</v>
      </c>
      <c r="AL564" s="2" t="n">
        <f aca="false">IF(ISBLANK(B564),"",YEAR(B564))</f>
        <v>2024</v>
      </c>
      <c r="AM564" s="2" t="s">
        <v>41</v>
      </c>
      <c r="AN564" s="2" t="str">
        <f aca="false">IF(OR(W564="Invalid",AJ564="Invalid",AH564="Inconsistent",Z564="Mismatch",AD564="Mismatch",AM564="Yes",D564="Yes",E564="Yes"),"Invalid",IF(OR(J564="Yes",Q564="Yes",U564="Yes"),"Warning","Clean"))</f>
        <v>Clean</v>
      </c>
    </row>
    <row r="565" customFormat="false" ht="15" hidden="false" customHeight="false" outlineLevel="0" collapsed="false">
      <c r="A565" s="2" t="s">
        <v>1810</v>
      </c>
      <c r="B565" s="3" t="n">
        <v>45418</v>
      </c>
      <c r="C565" s="3" t="n">
        <v>45424</v>
      </c>
      <c r="D565" s="2" t="s">
        <v>41</v>
      </c>
      <c r="E565" s="2" t="s">
        <v>41</v>
      </c>
      <c r="F565" s="2" t="s">
        <v>1811</v>
      </c>
      <c r="G565" s="2" t="s">
        <v>73</v>
      </c>
      <c r="H565" s="2" t="s">
        <v>110</v>
      </c>
      <c r="I565" s="2" t="s">
        <v>83</v>
      </c>
      <c r="J565" s="2" t="s">
        <v>41</v>
      </c>
      <c r="K565" s="2" t="s">
        <v>210</v>
      </c>
      <c r="L565" s="2" t="s">
        <v>211</v>
      </c>
      <c r="M565" s="2" t="s">
        <v>61</v>
      </c>
      <c r="N565" s="2" t="s">
        <v>62</v>
      </c>
      <c r="O565" s="2" t="s">
        <v>1812</v>
      </c>
      <c r="P565" s="2" t="s">
        <v>79</v>
      </c>
      <c r="Q565" s="2" t="s">
        <v>41</v>
      </c>
      <c r="R565" s="2" t="n">
        <v>9</v>
      </c>
      <c r="S565" s="2" t="n">
        <v>790.97</v>
      </c>
      <c r="T565" s="2" t="n">
        <v>0.2</v>
      </c>
      <c r="U565" s="2" t="str">
        <f aca="false">IF(ISBLANK(T565),"Yes","No")</f>
        <v>No</v>
      </c>
      <c r="V565" s="2" t="n">
        <f aca="false">IF(ISBLANK(T565),0,IF(ISNUMBER(T565),T565,VALUE(LEFT(T565,LEN(T565)-1))/100))</f>
        <v>0.2</v>
      </c>
      <c r="W565" s="2" t="str">
        <f aca="false">IF(AND(V565&gt;=0,V565&lt;=0.25),"Valid","Invalid")</f>
        <v>Valid</v>
      </c>
      <c r="X565" s="2" t="n">
        <v>5694.98</v>
      </c>
      <c r="Y565" s="2" t="n">
        <f aca="false">R565*S565*(1-V565)</f>
        <v>5694.984</v>
      </c>
      <c r="Z565" s="2" t="str">
        <f aca="false">IF(ABS(X565-Y565)&gt;1,"Mismatch","OK")</f>
        <v>OK</v>
      </c>
      <c r="AA565" s="2" t="n">
        <v>4618.33</v>
      </c>
      <c r="AB565" s="2" t="n">
        <v>1076.65</v>
      </c>
      <c r="AC565" s="2" t="n">
        <f aca="false">Y565-AA565</f>
        <v>1076.654</v>
      </c>
      <c r="AD565" s="2" t="str">
        <f aca="false">IF(ABS(AB565-AC565)&gt;1,"Mismatch","OK")</f>
        <v>OK</v>
      </c>
      <c r="AE565" s="4" t="n">
        <f aca="false">IF(Y565=0,0,AC565/Y565)</f>
        <v>0.189053033336002</v>
      </c>
      <c r="AF565" s="2" t="s">
        <v>131</v>
      </c>
      <c r="AG565" s="2" t="s">
        <v>88</v>
      </c>
      <c r="AH565" s="2" t="str">
        <f aca="false">IF(AND(AG565="Completed",AF565&lt;&gt;"Paid"),"Inconsistent","OK")</f>
        <v>OK</v>
      </c>
      <c r="AI565" s="2" t="n">
        <f aca="false">IF(OR(ISBLANK(B565),ISBLANK(C565)),"",C565-B565)</f>
        <v>6</v>
      </c>
      <c r="AJ565" s="2" t="str">
        <f aca="false">IF(AI565="","Unknown",IF(AI565&lt;0,"Invalid","OK"))</f>
        <v>OK</v>
      </c>
      <c r="AK565" s="2" t="str">
        <f aca="false">IF(ISBLANK(B565),"",TEXT(B565,"mmm"))</f>
        <v>May</v>
      </c>
      <c r="AL565" s="2" t="n">
        <f aca="false">IF(ISBLANK(B565),"",YEAR(B565))</f>
        <v>2024</v>
      </c>
      <c r="AM565" s="2" t="s">
        <v>41</v>
      </c>
      <c r="AN565" s="2" t="str">
        <f aca="false">IF(OR(W565="Invalid",AJ565="Invalid",AH565="Inconsistent",Z565="Mismatch",AD565="Mismatch",AM565="Yes",D565="Yes",E565="Yes"),"Invalid",IF(OR(J565="Yes",Q565="Yes",U565="Yes"),"Warning","Clean"))</f>
        <v>Clean</v>
      </c>
    </row>
    <row r="566" customFormat="false" ht="15" hidden="false" customHeight="false" outlineLevel="0" collapsed="false">
      <c r="A566" s="2" t="s">
        <v>1813</v>
      </c>
      <c r="B566" s="3" t="n">
        <v>45606</v>
      </c>
      <c r="C566" s="3" t="n">
        <v>45610</v>
      </c>
      <c r="D566" s="2" t="s">
        <v>41</v>
      </c>
      <c r="E566" s="2" t="s">
        <v>41</v>
      </c>
      <c r="F566" s="2" t="s">
        <v>1814</v>
      </c>
      <c r="G566" s="2" t="s">
        <v>152</v>
      </c>
      <c r="H566" s="2" t="s">
        <v>110</v>
      </c>
      <c r="I566" s="2" t="s">
        <v>74</v>
      </c>
      <c r="J566" s="2" t="s">
        <v>41</v>
      </c>
      <c r="K566" s="2" t="s">
        <v>104</v>
      </c>
      <c r="L566" s="2" t="s">
        <v>105</v>
      </c>
      <c r="M566" s="2" t="s">
        <v>61</v>
      </c>
      <c r="N566" s="2" t="s">
        <v>62</v>
      </c>
      <c r="O566" s="2" t="s">
        <v>1815</v>
      </c>
      <c r="P566" s="2" t="s">
        <v>70</v>
      </c>
      <c r="Q566" s="2" t="s">
        <v>41</v>
      </c>
      <c r="R566" s="2" t="n">
        <v>2</v>
      </c>
      <c r="S566" s="2" t="n">
        <v>921.34</v>
      </c>
      <c r="T566" s="2" t="n">
        <v>0.2</v>
      </c>
      <c r="U566" s="2" t="str">
        <f aca="false">IF(ISBLANK(T566),"Yes","No")</f>
        <v>No</v>
      </c>
      <c r="V566" s="2" t="n">
        <f aca="false">IF(ISBLANK(T566),0,IF(ISNUMBER(T566),T566,VALUE(LEFT(T566,LEN(T566)-1))/100))</f>
        <v>0.2</v>
      </c>
      <c r="W566" s="2" t="str">
        <f aca="false">IF(AND(V566&gt;=0,V566&lt;=0.25),"Valid","Invalid")</f>
        <v>Valid</v>
      </c>
      <c r="X566" s="2" t="n">
        <v>1474.14</v>
      </c>
      <c r="Y566" s="2" t="n">
        <f aca="false">R566*S566*(1-V566)</f>
        <v>1474.144</v>
      </c>
      <c r="Z566" s="2" t="str">
        <f aca="false">IF(ABS(X566-Y566)&gt;1,"Mismatch","OK")</f>
        <v>OK</v>
      </c>
      <c r="AA566" s="2" t="n">
        <v>968.46</v>
      </c>
      <c r="AB566" s="2" t="n">
        <v>505.68</v>
      </c>
      <c r="AC566" s="2" t="n">
        <f aca="false">Y566-AA566</f>
        <v>505.684</v>
      </c>
      <c r="AD566" s="2" t="str">
        <f aca="false">IF(ABS(AB566-AC566)&gt;1,"Mismatch","OK")</f>
        <v>OK</v>
      </c>
      <c r="AE566" s="4" t="n">
        <f aca="false">IF(Y566=0,0,AC566/Y566)</f>
        <v>0.343035687151323</v>
      </c>
      <c r="AF566" s="2" t="s">
        <v>52</v>
      </c>
      <c r="AG566" s="2" t="s">
        <v>53</v>
      </c>
      <c r="AH566" s="2" t="str">
        <f aca="false">IF(AND(AG566="Completed",AF566&lt;&gt;"Paid"),"Inconsistent","OK")</f>
        <v>OK</v>
      </c>
      <c r="AI566" s="2" t="n">
        <f aca="false">IF(OR(ISBLANK(B566),ISBLANK(C566)),"",C566-B566)</f>
        <v>4</v>
      </c>
      <c r="AJ566" s="2" t="str">
        <f aca="false">IF(AI566="","Unknown",IF(AI566&lt;0,"Invalid","OK"))</f>
        <v>OK</v>
      </c>
      <c r="AK566" s="2" t="str">
        <f aca="false">IF(ISBLANK(B566),"",TEXT(B566,"mmm"))</f>
        <v>Nov</v>
      </c>
      <c r="AL566" s="2" t="n">
        <f aca="false">IF(ISBLANK(B566),"",YEAR(B566))</f>
        <v>2024</v>
      </c>
      <c r="AM566" s="2" t="s">
        <v>41</v>
      </c>
      <c r="AN566" s="2" t="str">
        <f aca="false">IF(OR(W566="Invalid",AJ566="Invalid",AH566="Inconsistent",Z566="Mismatch",AD566="Mismatch",AM566="Yes",D566="Yes",E566="Yes"),"Invalid",IF(OR(J566="Yes",Q566="Yes",U566="Yes"),"Warning","Clean"))</f>
        <v>Clean</v>
      </c>
    </row>
    <row r="567" customFormat="false" ht="15" hidden="false" customHeight="false" outlineLevel="0" collapsed="false">
      <c r="A567" s="2" t="s">
        <v>1816</v>
      </c>
      <c r="B567" s="3" t="n">
        <v>45876</v>
      </c>
      <c r="C567" s="3" t="n">
        <v>45882</v>
      </c>
      <c r="D567" s="2" t="s">
        <v>41</v>
      </c>
      <c r="E567" s="2" t="s">
        <v>41</v>
      </c>
      <c r="F567" s="2" t="s">
        <v>1817</v>
      </c>
      <c r="G567" s="2" t="s">
        <v>56</v>
      </c>
      <c r="H567" s="2" t="s">
        <v>110</v>
      </c>
      <c r="I567" s="2" t="s">
        <v>45</v>
      </c>
      <c r="J567" s="2" t="s">
        <v>41</v>
      </c>
      <c r="K567" s="2" t="s">
        <v>372</v>
      </c>
      <c r="L567" s="2" t="s">
        <v>373</v>
      </c>
      <c r="M567" s="2" t="s">
        <v>94</v>
      </c>
      <c r="N567" s="2" t="s">
        <v>191</v>
      </c>
      <c r="O567" s="2" t="s">
        <v>1818</v>
      </c>
      <c r="P567" s="2" t="s">
        <v>79</v>
      </c>
      <c r="Q567" s="2" t="s">
        <v>41</v>
      </c>
      <c r="R567" s="2" t="n">
        <v>6</v>
      </c>
      <c r="S567" s="2" t="n">
        <v>1921.86</v>
      </c>
      <c r="T567" s="2" t="n">
        <v>0.2</v>
      </c>
      <c r="U567" s="2" t="str">
        <f aca="false">IF(ISBLANK(T567),"Yes","No")</f>
        <v>No</v>
      </c>
      <c r="V567" s="2" t="n">
        <f aca="false">IF(ISBLANK(T567),0,IF(ISNUMBER(T567),T567,VALUE(LEFT(T567,LEN(T567)-1))/100))</f>
        <v>0.2</v>
      </c>
      <c r="W567" s="2" t="str">
        <f aca="false">IF(AND(V567&gt;=0,V567&lt;=0.25),"Valid","Invalid")</f>
        <v>Valid</v>
      </c>
      <c r="X567" s="2" t="n">
        <v>9224.93</v>
      </c>
      <c r="Y567" s="2" t="n">
        <f aca="false">R567*S567*(1-V567)</f>
        <v>9224.928</v>
      </c>
      <c r="Z567" s="2" t="str">
        <f aca="false">IF(ABS(X567-Y567)&gt;1,"Mismatch","OK")</f>
        <v>OK</v>
      </c>
      <c r="AA567" s="2" t="n">
        <v>7005.2</v>
      </c>
      <c r="AB567" s="2" t="n">
        <v>2219.73</v>
      </c>
      <c r="AC567" s="2" t="n">
        <f aca="false">Y567-AA567</f>
        <v>2219.728</v>
      </c>
      <c r="AD567" s="2" t="str">
        <f aca="false">IF(ABS(AB567-AC567)&gt;1,"Mismatch","OK")</f>
        <v>OK</v>
      </c>
      <c r="AE567" s="4" t="n">
        <f aca="false">IF(Y567=0,0,AC567/Y567)</f>
        <v>0.24062279944082</v>
      </c>
      <c r="AF567" s="2" t="s">
        <v>122</v>
      </c>
      <c r="AG567" s="2" t="s">
        <v>88</v>
      </c>
      <c r="AH567" s="2" t="str">
        <f aca="false">IF(AND(AG567="Completed",AF567&lt;&gt;"Paid"),"Inconsistent","OK")</f>
        <v>OK</v>
      </c>
      <c r="AI567" s="2" t="n">
        <f aca="false">IF(OR(ISBLANK(B567),ISBLANK(C567)),"",C567-B567)</f>
        <v>6</v>
      </c>
      <c r="AJ567" s="2" t="str">
        <f aca="false">IF(AI567="","Unknown",IF(AI567&lt;0,"Invalid","OK"))</f>
        <v>OK</v>
      </c>
      <c r="AK567" s="2" t="str">
        <f aca="false">IF(ISBLANK(B567),"",TEXT(B567,"mmm"))</f>
        <v>Aug</v>
      </c>
      <c r="AL567" s="2" t="n">
        <f aca="false">IF(ISBLANK(B567),"",YEAR(B567))</f>
        <v>2025</v>
      </c>
      <c r="AM567" s="2" t="s">
        <v>41</v>
      </c>
      <c r="AN567" s="2" t="str">
        <f aca="false">IF(OR(W567="Invalid",AJ567="Invalid",AH567="Inconsistent",Z567="Mismatch",AD567="Mismatch",AM567="Yes",D567="Yes",E567="Yes"),"Invalid",IF(OR(J567="Yes",Q567="Yes",U567="Yes"),"Warning","Clean"))</f>
        <v>Clean</v>
      </c>
    </row>
    <row r="568" customFormat="false" ht="15" hidden="false" customHeight="false" outlineLevel="0" collapsed="false">
      <c r="A568" s="2" t="s">
        <v>1819</v>
      </c>
      <c r="B568" s="3" t="n">
        <v>45515</v>
      </c>
      <c r="C568" s="3" t="n">
        <v>45523</v>
      </c>
      <c r="D568" s="2" t="s">
        <v>41</v>
      </c>
      <c r="E568" s="2" t="s">
        <v>41</v>
      </c>
      <c r="F568" s="2" t="s">
        <v>1820</v>
      </c>
      <c r="G568" s="2" t="s">
        <v>152</v>
      </c>
      <c r="H568" s="2" t="s">
        <v>57</v>
      </c>
      <c r="I568" s="2" t="s">
        <v>83</v>
      </c>
      <c r="J568" s="2" t="s">
        <v>41</v>
      </c>
      <c r="K568" s="2" t="s">
        <v>84</v>
      </c>
      <c r="L568" s="2" t="s">
        <v>85</v>
      </c>
      <c r="M568" s="2" t="s">
        <v>48</v>
      </c>
      <c r="N568" s="2" t="s">
        <v>49</v>
      </c>
      <c r="O568" s="2" t="s">
        <v>1821</v>
      </c>
      <c r="P568" s="2" t="s">
        <v>64</v>
      </c>
      <c r="Q568" s="2" t="s">
        <v>41</v>
      </c>
      <c r="R568" s="2" t="n">
        <v>2</v>
      </c>
      <c r="S568" s="2" t="n">
        <v>2617.89</v>
      </c>
      <c r="T568" s="2" t="n">
        <v>0.1</v>
      </c>
      <c r="U568" s="2" t="str">
        <f aca="false">IF(ISBLANK(T568),"Yes","No")</f>
        <v>No</v>
      </c>
      <c r="V568" s="2" t="n">
        <f aca="false">IF(ISBLANK(T568),0,IF(ISNUMBER(T568),T568,VALUE(LEFT(T568,LEN(T568)-1))/100))</f>
        <v>0.1</v>
      </c>
      <c r="W568" s="2" t="str">
        <f aca="false">IF(AND(V568&gt;=0,V568&lt;=0.25),"Valid","Invalid")</f>
        <v>Valid</v>
      </c>
      <c r="X568" s="2" t="n">
        <v>4712.2</v>
      </c>
      <c r="Y568" s="2" t="n">
        <f aca="false">R568*S568*(1-V568)</f>
        <v>4712.202</v>
      </c>
      <c r="Z568" s="2" t="str">
        <f aca="false">IF(ABS(X568-Y568)&gt;1,"Mismatch","OK")</f>
        <v>OK</v>
      </c>
      <c r="AA568" s="2" t="n">
        <v>3851.91</v>
      </c>
      <c r="AB568" s="2" t="n">
        <v>860.29</v>
      </c>
      <c r="AC568" s="2" t="n">
        <f aca="false">Y568-AA568</f>
        <v>860.292</v>
      </c>
      <c r="AD568" s="2" t="str">
        <f aca="false">IF(ABS(AB568-AC568)&gt;1,"Mismatch","OK")</f>
        <v>OK</v>
      </c>
      <c r="AE568" s="4" t="n">
        <f aca="false">IF(Y568=0,0,AC568/Y568)</f>
        <v>0.182566876377541</v>
      </c>
      <c r="AF568" s="2" t="s">
        <v>175</v>
      </c>
      <c r="AG568" s="2" t="s">
        <v>123</v>
      </c>
      <c r="AH568" s="2" t="str">
        <f aca="false">IF(AND(AG568="Completed",AF568&lt;&gt;"Paid"),"Inconsistent","OK")</f>
        <v>OK</v>
      </c>
      <c r="AI568" s="2" t="n">
        <f aca="false">IF(OR(ISBLANK(B568),ISBLANK(C568)),"",C568-B568)</f>
        <v>8</v>
      </c>
      <c r="AJ568" s="2" t="str">
        <f aca="false">IF(AI568="","Unknown",IF(AI568&lt;0,"Invalid","OK"))</f>
        <v>OK</v>
      </c>
      <c r="AK568" s="2" t="str">
        <f aca="false">IF(ISBLANK(B568),"",TEXT(B568,"mmm"))</f>
        <v>Aug</v>
      </c>
      <c r="AL568" s="2" t="n">
        <f aca="false">IF(ISBLANK(B568),"",YEAR(B568))</f>
        <v>2024</v>
      </c>
      <c r="AM568" s="2" t="s">
        <v>41</v>
      </c>
      <c r="AN568" s="2" t="str">
        <f aca="false">IF(OR(W568="Invalid",AJ568="Invalid",AH568="Inconsistent",Z568="Mismatch",AD568="Mismatch",AM568="Yes",D568="Yes",E568="Yes"),"Invalid",IF(OR(J568="Yes",Q568="Yes",U568="Yes"),"Warning","Clean"))</f>
        <v>Clean</v>
      </c>
    </row>
    <row r="569" customFormat="false" ht="15" hidden="false" customHeight="false" outlineLevel="0" collapsed="false">
      <c r="A569" s="2" t="s">
        <v>1822</v>
      </c>
      <c r="B569" s="3" t="n">
        <v>45328</v>
      </c>
      <c r="C569" s="3" t="n">
        <v>45332</v>
      </c>
      <c r="D569" s="2" t="s">
        <v>41</v>
      </c>
      <c r="E569" s="2" t="s">
        <v>41</v>
      </c>
      <c r="F569" s="2" t="s">
        <v>1823</v>
      </c>
      <c r="G569" s="2" t="s">
        <v>73</v>
      </c>
      <c r="H569" s="2" t="s">
        <v>115</v>
      </c>
      <c r="I569" s="2" t="s">
        <v>45</v>
      </c>
      <c r="J569" s="2" t="s">
        <v>41</v>
      </c>
      <c r="K569" s="2" t="s">
        <v>156</v>
      </c>
      <c r="L569" s="2" t="s">
        <v>157</v>
      </c>
      <c r="M569" s="2" t="s">
        <v>61</v>
      </c>
      <c r="N569" s="2" t="s">
        <v>77</v>
      </c>
      <c r="O569" s="2" t="s">
        <v>619</v>
      </c>
      <c r="P569" s="2" t="s">
        <v>64</v>
      </c>
      <c r="Q569" s="2" t="s">
        <v>41</v>
      </c>
      <c r="R569" s="2" t="n">
        <v>1</v>
      </c>
      <c r="S569" s="2" t="n">
        <v>1374.06</v>
      </c>
      <c r="T569" s="2" t="n">
        <v>0.05</v>
      </c>
      <c r="U569" s="2" t="str">
        <f aca="false">IF(ISBLANK(T569),"Yes","No")</f>
        <v>No</v>
      </c>
      <c r="V569" s="2" t="n">
        <f aca="false">IF(ISBLANK(T569),0,IF(ISNUMBER(T569),T569,VALUE(LEFT(T569,LEN(T569)-1))/100))</f>
        <v>0.05</v>
      </c>
      <c r="W569" s="2" t="str">
        <f aca="false">IF(AND(V569&gt;=0,V569&lt;=0.25),"Valid","Invalid")</f>
        <v>Valid</v>
      </c>
      <c r="X569" s="2" t="n">
        <v>1305.36</v>
      </c>
      <c r="Y569" s="2" t="n">
        <f aca="false">R569*S569*(1-V569)</f>
        <v>1305.357</v>
      </c>
      <c r="Z569" s="2" t="str">
        <f aca="false">IF(ABS(X569-Y569)&gt;1,"Mismatch","OK")</f>
        <v>OK</v>
      </c>
      <c r="AA569" s="2" t="n">
        <v>731.89</v>
      </c>
      <c r="AB569" s="2" t="n">
        <v>573.47</v>
      </c>
      <c r="AC569" s="2" t="n">
        <f aca="false">Y569-AA569</f>
        <v>573.467</v>
      </c>
      <c r="AD569" s="2" t="str">
        <f aca="false">IF(ABS(AB569-AC569)&gt;1,"Mismatch","OK")</f>
        <v>OK</v>
      </c>
      <c r="AE569" s="4" t="n">
        <f aca="false">IF(Y569=0,0,AC569/Y569)</f>
        <v>0.439318132893913</v>
      </c>
      <c r="AF569" s="2" t="s">
        <v>52</v>
      </c>
      <c r="AG569" s="2" t="s">
        <v>53</v>
      </c>
      <c r="AH569" s="2" t="str">
        <f aca="false">IF(AND(AG569="Completed",AF569&lt;&gt;"Paid"),"Inconsistent","OK")</f>
        <v>OK</v>
      </c>
      <c r="AI569" s="2" t="n">
        <f aca="false">IF(OR(ISBLANK(B569),ISBLANK(C569)),"",C569-B569)</f>
        <v>4</v>
      </c>
      <c r="AJ569" s="2" t="str">
        <f aca="false">IF(AI569="","Unknown",IF(AI569&lt;0,"Invalid","OK"))</f>
        <v>OK</v>
      </c>
      <c r="AK569" s="2" t="str">
        <f aca="false">IF(ISBLANK(B569),"",TEXT(B569,"mmm"))</f>
        <v>Feb</v>
      </c>
      <c r="AL569" s="2" t="n">
        <f aca="false">IF(ISBLANK(B569),"",YEAR(B569))</f>
        <v>2024</v>
      </c>
      <c r="AM569" s="2" t="s">
        <v>41</v>
      </c>
      <c r="AN569" s="2" t="str">
        <f aca="false">IF(OR(W569="Invalid",AJ569="Invalid",AH569="Inconsistent",Z569="Mismatch",AD569="Mismatch",AM569="Yes",D569="Yes",E569="Yes"),"Invalid",IF(OR(J569="Yes",Q569="Yes",U569="Yes"),"Warning","Clean"))</f>
        <v>Clean</v>
      </c>
    </row>
    <row r="570" customFormat="false" ht="15" hidden="false" customHeight="false" outlineLevel="0" collapsed="false">
      <c r="A570" s="2" t="s">
        <v>1824</v>
      </c>
      <c r="B570" s="3" t="n">
        <v>45312</v>
      </c>
      <c r="C570" s="3" t="n">
        <v>45315</v>
      </c>
      <c r="D570" s="2" t="s">
        <v>41</v>
      </c>
      <c r="E570" s="2" t="s">
        <v>41</v>
      </c>
      <c r="F570" s="2" t="s">
        <v>1825</v>
      </c>
      <c r="G570" s="2" t="s">
        <v>286</v>
      </c>
      <c r="H570" s="2" t="s">
        <v>110</v>
      </c>
      <c r="I570" s="2" t="s">
        <v>45</v>
      </c>
      <c r="J570" s="2" t="s">
        <v>41</v>
      </c>
      <c r="K570" s="2" t="s">
        <v>142</v>
      </c>
      <c r="L570" s="2" t="s">
        <v>143</v>
      </c>
      <c r="M570" s="2" t="s">
        <v>94</v>
      </c>
      <c r="N570" s="2" t="s">
        <v>296</v>
      </c>
      <c r="O570" s="2" t="s">
        <v>1826</v>
      </c>
      <c r="P570" s="2" t="s">
        <v>64</v>
      </c>
      <c r="Q570" s="2" t="s">
        <v>41</v>
      </c>
      <c r="R570" s="2" t="n">
        <v>1</v>
      </c>
      <c r="S570" s="2" t="n">
        <v>3806.3</v>
      </c>
      <c r="T570" s="2" t="n">
        <v>0.25</v>
      </c>
      <c r="U570" s="2" t="str">
        <f aca="false">IF(ISBLANK(T570),"Yes","No")</f>
        <v>No</v>
      </c>
      <c r="V570" s="2" t="n">
        <f aca="false">IF(ISBLANK(T570),0,IF(ISNUMBER(T570),T570,VALUE(LEFT(T570,LEN(T570)-1))/100))</f>
        <v>0.25</v>
      </c>
      <c r="W570" s="2" t="str">
        <f aca="false">IF(AND(V570&gt;=0,V570&lt;=0.25),"Valid","Invalid")</f>
        <v>Valid</v>
      </c>
      <c r="X570" s="2" t="n">
        <v>2854.73</v>
      </c>
      <c r="Y570" s="2" t="n">
        <f aca="false">R570*S570*(1-V570)</f>
        <v>2854.725</v>
      </c>
      <c r="Z570" s="2" t="str">
        <f aca="false">IF(ABS(X570-Y570)&gt;1,"Mismatch","OK")</f>
        <v>OK</v>
      </c>
      <c r="AA570" s="2" t="n">
        <v>1968.12</v>
      </c>
      <c r="AB570" s="2" t="n">
        <v>886.61</v>
      </c>
      <c r="AC570" s="2" t="n">
        <f aca="false">Y570-AA570</f>
        <v>886.605000000001</v>
      </c>
      <c r="AD570" s="2" t="str">
        <f aca="false">IF(ABS(AB570-AC570)&gt;1,"Mismatch","OK")</f>
        <v>OK</v>
      </c>
      <c r="AE570" s="4" t="n">
        <f aca="false">IF(Y570=0,0,AC570/Y570)</f>
        <v>0.310574573733022</v>
      </c>
      <c r="AF570" s="2" t="s">
        <v>52</v>
      </c>
      <c r="AG570" s="2" t="s">
        <v>53</v>
      </c>
      <c r="AH570" s="2" t="str">
        <f aca="false">IF(AND(AG570="Completed",AF570&lt;&gt;"Paid"),"Inconsistent","OK")</f>
        <v>OK</v>
      </c>
      <c r="AI570" s="2" t="n">
        <f aca="false">IF(OR(ISBLANK(B570),ISBLANK(C570)),"",C570-B570)</f>
        <v>3</v>
      </c>
      <c r="AJ570" s="2" t="str">
        <f aca="false">IF(AI570="","Unknown",IF(AI570&lt;0,"Invalid","OK"))</f>
        <v>OK</v>
      </c>
      <c r="AK570" s="2" t="str">
        <f aca="false">IF(ISBLANK(B570),"",TEXT(B570,"mmm"))</f>
        <v>Jan</v>
      </c>
      <c r="AL570" s="2" t="n">
        <f aca="false">IF(ISBLANK(B570),"",YEAR(B570))</f>
        <v>2024</v>
      </c>
      <c r="AM570" s="2" t="s">
        <v>41</v>
      </c>
      <c r="AN570" s="2" t="str">
        <f aca="false">IF(OR(W570="Invalid",AJ570="Invalid",AH570="Inconsistent",Z570="Mismatch",AD570="Mismatch",AM570="Yes",D570="Yes",E570="Yes"),"Invalid",IF(OR(J570="Yes",Q570="Yes",U570="Yes"),"Warning","Clean"))</f>
        <v>Clean</v>
      </c>
    </row>
    <row r="571" customFormat="false" ht="15" hidden="false" customHeight="false" outlineLevel="0" collapsed="false">
      <c r="A571" s="2" t="s">
        <v>1827</v>
      </c>
      <c r="B571" s="3" t="n">
        <v>45908</v>
      </c>
      <c r="C571" s="3" t="n">
        <v>45910</v>
      </c>
      <c r="D571" s="2" t="s">
        <v>41</v>
      </c>
      <c r="E571" s="2" t="s">
        <v>41</v>
      </c>
      <c r="F571" s="2" t="s">
        <v>1828</v>
      </c>
      <c r="G571" s="2" t="s">
        <v>138</v>
      </c>
      <c r="H571" s="2" t="s">
        <v>115</v>
      </c>
      <c r="I571" s="2" t="s">
        <v>83</v>
      </c>
      <c r="J571" s="2" t="s">
        <v>41</v>
      </c>
      <c r="K571" s="2" t="s">
        <v>84</v>
      </c>
      <c r="L571" s="2" t="s">
        <v>85</v>
      </c>
      <c r="M571" s="2" t="s">
        <v>61</v>
      </c>
      <c r="N571" s="2" t="s">
        <v>77</v>
      </c>
      <c r="O571" s="2" t="s">
        <v>1829</v>
      </c>
      <c r="P571" s="2" t="s">
        <v>79</v>
      </c>
      <c r="Q571" s="2" t="s">
        <v>41</v>
      </c>
      <c r="R571" s="2" t="n">
        <v>6</v>
      </c>
      <c r="S571" s="2" t="n">
        <v>3251.17</v>
      </c>
      <c r="T571" s="2" t="n">
        <v>0.25</v>
      </c>
      <c r="U571" s="2" t="str">
        <f aca="false">IF(ISBLANK(T571),"Yes","No")</f>
        <v>No</v>
      </c>
      <c r="V571" s="2" t="n">
        <f aca="false">IF(ISBLANK(T571),0,IF(ISNUMBER(T571),T571,VALUE(LEFT(T571,LEN(T571)-1))/100))</f>
        <v>0.25</v>
      </c>
      <c r="W571" s="2" t="str">
        <f aca="false">IF(AND(V571&gt;=0,V571&lt;=0.25),"Valid","Invalid")</f>
        <v>Valid</v>
      </c>
      <c r="X571" s="2" t="n">
        <v>14630.26</v>
      </c>
      <c r="Y571" s="2" t="n">
        <f aca="false">R571*S571*(1-V571)</f>
        <v>14630.265</v>
      </c>
      <c r="Z571" s="2" t="str">
        <f aca="false">IF(ABS(X571-Y571)&gt;1,"Mismatch","OK")</f>
        <v>OK</v>
      </c>
      <c r="AA571" s="2" t="n">
        <v>11906.36</v>
      </c>
      <c r="AB571" s="2" t="n">
        <v>2723.9</v>
      </c>
      <c r="AC571" s="2" t="n">
        <f aca="false">Y571-AA571</f>
        <v>2723.905</v>
      </c>
      <c r="AD571" s="2" t="str">
        <f aca="false">IF(ABS(AB571-AC571)&gt;1,"Mismatch","OK")</f>
        <v>OK</v>
      </c>
      <c r="AE571" s="4" t="n">
        <f aca="false">IF(Y571=0,0,AC571/Y571)</f>
        <v>0.186182888689986</v>
      </c>
      <c r="AF571" s="2" t="s">
        <v>122</v>
      </c>
      <c r="AG571" s="2" t="s">
        <v>123</v>
      </c>
      <c r="AH571" s="2" t="str">
        <f aca="false">IF(AND(AG571="Completed",AF571&lt;&gt;"Paid"),"Inconsistent","OK")</f>
        <v>OK</v>
      </c>
      <c r="AI571" s="2" t="n">
        <f aca="false">IF(OR(ISBLANK(B571),ISBLANK(C571)),"",C571-B571)</f>
        <v>2</v>
      </c>
      <c r="AJ571" s="2" t="str">
        <f aca="false">IF(AI571="","Unknown",IF(AI571&lt;0,"Invalid","OK"))</f>
        <v>OK</v>
      </c>
      <c r="AK571" s="2" t="str">
        <f aca="false">IF(ISBLANK(B571),"",TEXT(B571,"mmm"))</f>
        <v>Sep</v>
      </c>
      <c r="AL571" s="2" t="n">
        <f aca="false">IF(ISBLANK(B571),"",YEAR(B571))</f>
        <v>2025</v>
      </c>
      <c r="AM571" s="2" t="s">
        <v>41</v>
      </c>
      <c r="AN571" s="2" t="str">
        <f aca="false">IF(OR(W571="Invalid",AJ571="Invalid",AH571="Inconsistent",Z571="Mismatch",AD571="Mismatch",AM571="Yes",D571="Yes",E571="Yes"),"Invalid",IF(OR(J571="Yes",Q571="Yes",U571="Yes"),"Warning","Clean"))</f>
        <v>Clean</v>
      </c>
    </row>
    <row r="572" customFormat="false" ht="15" hidden="false" customHeight="false" outlineLevel="0" collapsed="false">
      <c r="A572" s="2" t="s">
        <v>1830</v>
      </c>
      <c r="B572" s="3" t="n">
        <v>45887</v>
      </c>
      <c r="C572" s="3" t="n">
        <v>45891</v>
      </c>
      <c r="D572" s="2" t="s">
        <v>41</v>
      </c>
      <c r="E572" s="2" t="s">
        <v>41</v>
      </c>
      <c r="F572" s="2" t="s">
        <v>1831</v>
      </c>
      <c r="G572" s="2" t="s">
        <v>73</v>
      </c>
      <c r="H572" s="2" t="s">
        <v>44</v>
      </c>
      <c r="I572" s="2" t="s">
        <v>58</v>
      </c>
      <c r="J572" s="2" t="s">
        <v>41</v>
      </c>
      <c r="K572" s="2" t="s">
        <v>250</v>
      </c>
      <c r="L572" s="2" t="s">
        <v>251</v>
      </c>
      <c r="M572" s="2" t="s">
        <v>61</v>
      </c>
      <c r="N572" s="2" t="s">
        <v>77</v>
      </c>
      <c r="O572" s="2" t="s">
        <v>1832</v>
      </c>
      <c r="P572" s="2" t="s">
        <v>51</v>
      </c>
      <c r="Q572" s="2" t="s">
        <v>41</v>
      </c>
      <c r="R572" s="2" t="n">
        <v>3</v>
      </c>
      <c r="S572" s="2" t="n">
        <v>3946.44</v>
      </c>
      <c r="T572" s="2" t="n">
        <v>0.25</v>
      </c>
      <c r="U572" s="2" t="str">
        <f aca="false">IF(ISBLANK(T572),"Yes","No")</f>
        <v>No</v>
      </c>
      <c r="V572" s="2" t="n">
        <f aca="false">IF(ISBLANK(T572),0,IF(ISNUMBER(T572),T572,VALUE(LEFT(T572,LEN(T572)-1))/100))</f>
        <v>0.25</v>
      </c>
      <c r="W572" s="2" t="str">
        <f aca="false">IF(AND(V572&gt;=0,V572&lt;=0.25),"Valid","Invalid")</f>
        <v>Valid</v>
      </c>
      <c r="X572" s="2" t="n">
        <v>8879.49</v>
      </c>
      <c r="Y572" s="2" t="n">
        <f aca="false">R572*S572*(1-V572)</f>
        <v>8879.49</v>
      </c>
      <c r="Z572" s="2" t="str">
        <f aca="false">IF(ABS(X572-Y572)&gt;1,"Mismatch","OK")</f>
        <v>OK</v>
      </c>
      <c r="AA572" s="2" t="n">
        <v>6344.57</v>
      </c>
      <c r="AB572" s="2" t="n">
        <v>2534.92</v>
      </c>
      <c r="AC572" s="2" t="n">
        <f aca="false">Y572-AA572</f>
        <v>2534.92</v>
      </c>
      <c r="AD572" s="2" t="str">
        <f aca="false">IF(ABS(AB572-AC572)&gt;1,"Mismatch","OK")</f>
        <v>OK</v>
      </c>
      <c r="AE572" s="4" t="n">
        <f aca="false">IF(Y572=0,0,AC572/Y572)</f>
        <v>0.285480359795439</v>
      </c>
      <c r="AF572" s="2" t="s">
        <v>175</v>
      </c>
      <c r="AG572" s="2" t="s">
        <v>123</v>
      </c>
      <c r="AH572" s="2" t="str">
        <f aca="false">IF(AND(AG572="Completed",AF572&lt;&gt;"Paid"),"Inconsistent","OK")</f>
        <v>OK</v>
      </c>
      <c r="AI572" s="2" t="n">
        <f aca="false">IF(OR(ISBLANK(B572),ISBLANK(C572)),"",C572-B572)</f>
        <v>4</v>
      </c>
      <c r="AJ572" s="2" t="str">
        <f aca="false">IF(AI572="","Unknown",IF(AI572&lt;0,"Invalid","OK"))</f>
        <v>OK</v>
      </c>
      <c r="AK572" s="2" t="str">
        <f aca="false">IF(ISBLANK(B572),"",TEXT(B572,"mmm"))</f>
        <v>Aug</v>
      </c>
      <c r="AL572" s="2" t="n">
        <f aca="false">IF(ISBLANK(B572),"",YEAR(B572))</f>
        <v>2025</v>
      </c>
      <c r="AM572" s="2" t="s">
        <v>41</v>
      </c>
      <c r="AN572" s="2" t="str">
        <f aca="false">IF(OR(W572="Invalid",AJ572="Invalid",AH572="Inconsistent",Z572="Mismatch",AD572="Mismatch",AM572="Yes",D572="Yes",E572="Yes"),"Invalid",IF(OR(J572="Yes",Q572="Yes",U572="Yes"),"Warning","Clean"))</f>
        <v>Clean</v>
      </c>
    </row>
    <row r="573" customFormat="false" ht="15" hidden="false" customHeight="false" outlineLevel="0" collapsed="false">
      <c r="A573" s="2" t="s">
        <v>1833</v>
      </c>
      <c r="B573" s="3" t="n">
        <v>45698</v>
      </c>
      <c r="C573" s="3" t="n">
        <v>45702</v>
      </c>
      <c r="D573" s="2" t="s">
        <v>41</v>
      </c>
      <c r="E573" s="2" t="s">
        <v>41</v>
      </c>
      <c r="F573" s="2" t="s">
        <v>1834</v>
      </c>
      <c r="G573" s="2" t="s">
        <v>134</v>
      </c>
      <c r="H573" s="2" t="s">
        <v>57</v>
      </c>
      <c r="I573" s="2" t="s">
        <v>45</v>
      </c>
      <c r="J573" s="2" t="s">
        <v>41</v>
      </c>
      <c r="K573" s="2" t="s">
        <v>156</v>
      </c>
      <c r="L573" s="2" t="s">
        <v>157</v>
      </c>
      <c r="M573" s="2" t="s">
        <v>94</v>
      </c>
      <c r="N573" s="2" t="s">
        <v>191</v>
      </c>
      <c r="O573" s="2" t="s">
        <v>1835</v>
      </c>
      <c r="P573" s="2" t="s">
        <v>225</v>
      </c>
      <c r="Q573" s="2" t="s">
        <v>226</v>
      </c>
      <c r="R573" s="2" t="n">
        <v>5</v>
      </c>
      <c r="S573" s="2" t="n">
        <v>4276.29</v>
      </c>
      <c r="T573" s="2" t="n">
        <v>0</v>
      </c>
      <c r="U573" s="2" t="str">
        <f aca="false">IF(ISBLANK(T573),"Yes","No")</f>
        <v>No</v>
      </c>
      <c r="V573" s="2" t="n">
        <f aca="false">IF(ISBLANK(T573),0,IF(ISNUMBER(T573),T573,VALUE(LEFT(T573,LEN(T573)-1))/100))</f>
        <v>0</v>
      </c>
      <c r="W573" s="2" t="str">
        <f aca="false">IF(AND(V573&gt;=0,V573&lt;=0.25),"Valid","Invalid")</f>
        <v>Valid</v>
      </c>
      <c r="X573" s="2" t="n">
        <v>21381.45</v>
      </c>
      <c r="Y573" s="2" t="n">
        <f aca="false">R573*S573*(1-V573)</f>
        <v>21381.45</v>
      </c>
      <c r="Z573" s="2" t="str">
        <f aca="false">IF(ABS(X573-Y573)&gt;1,"Mismatch","OK")</f>
        <v>OK</v>
      </c>
      <c r="AA573" s="2" t="n">
        <v>13240.21</v>
      </c>
      <c r="AB573" s="2" t="n">
        <v>8141.24</v>
      </c>
      <c r="AC573" s="2" t="n">
        <f aca="false">Y573-AA573</f>
        <v>8141.24</v>
      </c>
      <c r="AD573" s="2" t="str">
        <f aca="false">IF(ABS(AB573-AC573)&gt;1,"Mismatch","OK")</f>
        <v>OK</v>
      </c>
      <c r="AE573" s="4" t="n">
        <f aca="false">IF(Y573=0,0,AC573/Y573)</f>
        <v>0.380761828594413</v>
      </c>
      <c r="AF573" s="2" t="s">
        <v>175</v>
      </c>
      <c r="AG573" s="2" t="s">
        <v>123</v>
      </c>
      <c r="AH573" s="2" t="str">
        <f aca="false">IF(AND(AG573="Completed",AF573&lt;&gt;"Paid"),"Inconsistent","OK")</f>
        <v>OK</v>
      </c>
      <c r="AI573" s="2" t="n">
        <f aca="false">IF(OR(ISBLANK(B573),ISBLANK(C573)),"",C573-B573)</f>
        <v>4</v>
      </c>
      <c r="AJ573" s="2" t="str">
        <f aca="false">IF(AI573="","Unknown",IF(AI573&lt;0,"Invalid","OK"))</f>
        <v>OK</v>
      </c>
      <c r="AK573" s="2" t="str">
        <f aca="false">IF(ISBLANK(B573),"",TEXT(B573,"mmm"))</f>
        <v>Feb</v>
      </c>
      <c r="AL573" s="2" t="n">
        <f aca="false">IF(ISBLANK(B573),"",YEAR(B573))</f>
        <v>2025</v>
      </c>
      <c r="AM573" s="2" t="s">
        <v>226</v>
      </c>
      <c r="AN573" s="2" t="str">
        <f aca="false">IF(OR(W573="Invalid",AJ573="Invalid",AH573="Inconsistent",Z573="Mismatch",AD573="Mismatch",AM573="Yes",D573="Yes",E573="Yes"),"Invalid",IF(OR(J573="Yes",Q573="Yes",U573="Yes"),"Warning","Clean"))</f>
        <v>Invalid</v>
      </c>
    </row>
    <row r="574" customFormat="false" ht="15" hidden="false" customHeight="false" outlineLevel="0" collapsed="false">
      <c r="A574" s="2" t="s">
        <v>1836</v>
      </c>
      <c r="B574" s="3" t="n">
        <v>45293</v>
      </c>
      <c r="C574" s="3" t="n">
        <v>45300</v>
      </c>
      <c r="D574" s="2" t="s">
        <v>41</v>
      </c>
      <c r="E574" s="2" t="s">
        <v>41</v>
      </c>
      <c r="F574" s="2" t="s">
        <v>1837</v>
      </c>
      <c r="G574" s="2" t="s">
        <v>182</v>
      </c>
      <c r="H574" s="2" t="s">
        <v>110</v>
      </c>
      <c r="I574" s="2" t="s">
        <v>45</v>
      </c>
      <c r="J574" s="2" t="s">
        <v>41</v>
      </c>
      <c r="K574" s="2" t="s">
        <v>372</v>
      </c>
      <c r="L574" s="2" t="s">
        <v>373</v>
      </c>
      <c r="M574" s="2" t="s">
        <v>94</v>
      </c>
      <c r="N574" s="2" t="s">
        <v>191</v>
      </c>
      <c r="O574" s="2" t="s">
        <v>1838</v>
      </c>
      <c r="P574" s="2" t="s">
        <v>79</v>
      </c>
      <c r="Q574" s="2" t="s">
        <v>41</v>
      </c>
      <c r="R574" s="2" t="n">
        <v>3</v>
      </c>
      <c r="S574" s="2" t="n">
        <v>739.56</v>
      </c>
      <c r="T574" s="2" t="n">
        <v>0.2</v>
      </c>
      <c r="U574" s="2" t="str">
        <f aca="false">IF(ISBLANK(T574),"Yes","No")</f>
        <v>No</v>
      </c>
      <c r="V574" s="2" t="n">
        <f aca="false">IF(ISBLANK(T574),0,IF(ISNUMBER(T574),T574,VALUE(LEFT(T574,LEN(T574)-1))/100))</f>
        <v>0.2</v>
      </c>
      <c r="W574" s="2" t="str">
        <f aca="false">IF(AND(V574&gt;=0,V574&lt;=0.25),"Valid","Invalid")</f>
        <v>Valid</v>
      </c>
      <c r="X574" s="2" t="n">
        <v>1774.94</v>
      </c>
      <c r="Y574" s="2" t="n">
        <f aca="false">R574*S574*(1-V574)</f>
        <v>1774.944</v>
      </c>
      <c r="Z574" s="2" t="str">
        <f aca="false">IF(ABS(X574-Y574)&gt;1,"Mismatch","OK")</f>
        <v>OK</v>
      </c>
      <c r="AA574" s="2" t="n">
        <v>1007.4</v>
      </c>
      <c r="AB574" s="2" t="n">
        <v>767.54</v>
      </c>
      <c r="AC574" s="2" t="n">
        <f aca="false">Y574-AA574</f>
        <v>767.544</v>
      </c>
      <c r="AD574" s="2" t="str">
        <f aca="false">IF(ABS(AB574-AC574)&gt;1,"Mismatch","OK")</f>
        <v>OK</v>
      </c>
      <c r="AE574" s="4" t="n">
        <f aca="false">IF(Y574=0,0,AC574/Y574)</f>
        <v>0.43243279787982</v>
      </c>
      <c r="AF574" s="2" t="s">
        <v>52</v>
      </c>
      <c r="AG574" s="2" t="s">
        <v>53</v>
      </c>
      <c r="AH574" s="2" t="str">
        <f aca="false">IF(AND(AG574="Completed",AF574&lt;&gt;"Paid"),"Inconsistent","OK")</f>
        <v>OK</v>
      </c>
      <c r="AI574" s="2" t="n">
        <f aca="false">IF(OR(ISBLANK(B574),ISBLANK(C574)),"",C574-B574)</f>
        <v>7</v>
      </c>
      <c r="AJ574" s="2" t="str">
        <f aca="false">IF(AI574="","Unknown",IF(AI574&lt;0,"Invalid","OK"))</f>
        <v>OK</v>
      </c>
      <c r="AK574" s="2" t="str">
        <f aca="false">IF(ISBLANK(B574),"",TEXT(B574,"mmm"))</f>
        <v>Jan</v>
      </c>
      <c r="AL574" s="2" t="n">
        <f aca="false">IF(ISBLANK(B574),"",YEAR(B574))</f>
        <v>2024</v>
      </c>
      <c r="AM574" s="2" t="s">
        <v>41</v>
      </c>
      <c r="AN574" s="2" t="str">
        <f aca="false">IF(OR(W574="Invalid",AJ574="Invalid",AH574="Inconsistent",Z574="Mismatch",AD574="Mismatch",AM574="Yes",D574="Yes",E574="Yes"),"Invalid",IF(OR(J574="Yes",Q574="Yes",U574="Yes"),"Warning","Clean"))</f>
        <v>Clean</v>
      </c>
    </row>
    <row r="575" customFormat="false" ht="15" hidden="false" customHeight="false" outlineLevel="0" collapsed="false">
      <c r="A575" s="2" t="s">
        <v>1839</v>
      </c>
      <c r="B575" s="3" t="n">
        <v>45922</v>
      </c>
      <c r="C575" s="3" t="n">
        <v>45926</v>
      </c>
      <c r="D575" s="2" t="s">
        <v>41</v>
      </c>
      <c r="E575" s="2" t="s">
        <v>41</v>
      </c>
      <c r="F575" s="2" t="s">
        <v>1840</v>
      </c>
      <c r="G575" s="2" t="s">
        <v>67</v>
      </c>
      <c r="H575" s="2" t="s">
        <v>44</v>
      </c>
      <c r="I575" s="2" t="s">
        <v>74</v>
      </c>
      <c r="J575" s="2" t="s">
        <v>41</v>
      </c>
      <c r="K575" s="2" t="s">
        <v>104</v>
      </c>
      <c r="L575" s="2" t="s">
        <v>105</v>
      </c>
      <c r="M575" s="2" t="s">
        <v>94</v>
      </c>
      <c r="N575" s="2" t="s">
        <v>191</v>
      </c>
      <c r="O575" s="2" t="s">
        <v>1841</v>
      </c>
      <c r="P575" s="2" t="s">
        <v>79</v>
      </c>
      <c r="Q575" s="2" t="s">
        <v>41</v>
      </c>
      <c r="R575" s="2" t="n">
        <v>1</v>
      </c>
      <c r="S575" s="2" t="n">
        <v>573.65</v>
      </c>
      <c r="T575" s="2" t="n">
        <v>0</v>
      </c>
      <c r="U575" s="2" t="str">
        <f aca="false">IF(ISBLANK(T575),"Yes","No")</f>
        <v>No</v>
      </c>
      <c r="V575" s="2" t="n">
        <f aca="false">IF(ISBLANK(T575),0,IF(ISNUMBER(T575),T575,VALUE(LEFT(T575,LEN(T575)-1))/100))</f>
        <v>0</v>
      </c>
      <c r="W575" s="2" t="str">
        <f aca="false">IF(AND(V575&gt;=0,V575&lt;=0.25),"Valid","Invalid")</f>
        <v>Valid</v>
      </c>
      <c r="X575" s="2" t="n">
        <v>573.65</v>
      </c>
      <c r="Y575" s="2" t="n">
        <f aca="false">R575*S575*(1-V575)</f>
        <v>573.65</v>
      </c>
      <c r="Z575" s="2" t="str">
        <f aca="false">IF(ABS(X575-Y575)&gt;1,"Mismatch","OK")</f>
        <v>OK</v>
      </c>
      <c r="AA575" s="2" t="n">
        <v>322.67</v>
      </c>
      <c r="AB575" s="2" t="n">
        <v>250.98</v>
      </c>
      <c r="AC575" s="2" t="n">
        <f aca="false">Y575-AA575</f>
        <v>250.98</v>
      </c>
      <c r="AD575" s="2" t="str">
        <f aca="false">IF(ABS(AB575-AC575)&gt;1,"Mismatch","OK")</f>
        <v>OK</v>
      </c>
      <c r="AE575" s="4" t="n">
        <f aca="false">IF(Y575=0,0,AC575/Y575)</f>
        <v>0.43751416368866</v>
      </c>
      <c r="AF575" s="2" t="s">
        <v>52</v>
      </c>
      <c r="AG575" s="2" t="s">
        <v>53</v>
      </c>
      <c r="AH575" s="2" t="str">
        <f aca="false">IF(AND(AG575="Completed",AF575&lt;&gt;"Paid"),"Inconsistent","OK")</f>
        <v>OK</v>
      </c>
      <c r="AI575" s="2" t="n">
        <f aca="false">IF(OR(ISBLANK(B575),ISBLANK(C575)),"",C575-B575)</f>
        <v>4</v>
      </c>
      <c r="AJ575" s="2" t="str">
        <f aca="false">IF(AI575="","Unknown",IF(AI575&lt;0,"Invalid","OK"))</f>
        <v>OK</v>
      </c>
      <c r="AK575" s="2" t="str">
        <f aca="false">IF(ISBLANK(B575),"",TEXT(B575,"mmm"))</f>
        <v>Sep</v>
      </c>
      <c r="AL575" s="2" t="n">
        <f aca="false">IF(ISBLANK(B575),"",YEAR(B575))</f>
        <v>2025</v>
      </c>
      <c r="AM575" s="2" t="s">
        <v>41</v>
      </c>
      <c r="AN575" s="2" t="str">
        <f aca="false">IF(OR(W575="Invalid",AJ575="Invalid",AH575="Inconsistent",Z575="Mismatch",AD575="Mismatch",AM575="Yes",D575="Yes",E575="Yes"),"Invalid",IF(OR(J575="Yes",Q575="Yes",U575="Yes"),"Warning","Clean"))</f>
        <v>Clean</v>
      </c>
    </row>
    <row r="576" customFormat="false" ht="15" hidden="false" customHeight="false" outlineLevel="0" collapsed="false">
      <c r="A576" s="2" t="s">
        <v>1842</v>
      </c>
      <c r="B576" s="3" t="n">
        <v>45342</v>
      </c>
      <c r="C576" s="3" t="n">
        <v>45347</v>
      </c>
      <c r="D576" s="2" t="s">
        <v>41</v>
      </c>
      <c r="E576" s="2" t="s">
        <v>41</v>
      </c>
      <c r="F576" s="2" t="s">
        <v>825</v>
      </c>
      <c r="G576" s="2" t="s">
        <v>182</v>
      </c>
      <c r="H576" s="2" t="s">
        <v>115</v>
      </c>
      <c r="I576" s="2" t="s">
        <v>45</v>
      </c>
      <c r="J576" s="2" t="s">
        <v>41</v>
      </c>
      <c r="K576" s="2" t="s">
        <v>142</v>
      </c>
      <c r="L576" s="2" t="s">
        <v>143</v>
      </c>
      <c r="M576" s="2" t="s">
        <v>94</v>
      </c>
      <c r="N576" s="2" t="s">
        <v>296</v>
      </c>
      <c r="O576" s="2" t="s">
        <v>1843</v>
      </c>
      <c r="P576" s="2" t="s">
        <v>79</v>
      </c>
      <c r="Q576" s="2" t="s">
        <v>41</v>
      </c>
      <c r="R576" s="2" t="n">
        <v>4</v>
      </c>
      <c r="S576" s="2" t="n">
        <v>1355.8</v>
      </c>
      <c r="T576" s="2" t="n">
        <v>0</v>
      </c>
      <c r="U576" s="2" t="str">
        <f aca="false">IF(ISBLANK(T576),"Yes","No")</f>
        <v>No</v>
      </c>
      <c r="V576" s="2" t="n">
        <f aca="false">IF(ISBLANK(T576),0,IF(ISNUMBER(T576),T576,VALUE(LEFT(T576,LEN(T576)-1))/100))</f>
        <v>0</v>
      </c>
      <c r="W576" s="2" t="str">
        <f aca="false">IF(AND(V576&gt;=0,V576&lt;=0.25),"Valid","Invalid")</f>
        <v>Valid</v>
      </c>
      <c r="X576" s="2" t="n">
        <v>5423.2</v>
      </c>
      <c r="Y576" s="2" t="n">
        <f aca="false">R576*S576*(1-V576)</f>
        <v>5423.2</v>
      </c>
      <c r="Z576" s="2" t="str">
        <f aca="false">IF(ABS(X576-Y576)&gt;1,"Mismatch","OK")</f>
        <v>OK</v>
      </c>
      <c r="AA576" s="2" t="n">
        <v>4072.44</v>
      </c>
      <c r="AB576" s="2" t="n">
        <v>1350.76</v>
      </c>
      <c r="AC576" s="2" t="n">
        <f aca="false">Y576-AA576</f>
        <v>1350.76</v>
      </c>
      <c r="AD576" s="2" t="str">
        <f aca="false">IF(ABS(AB576-AC576)&gt;1,"Mismatch","OK")</f>
        <v>OK</v>
      </c>
      <c r="AE576" s="4" t="n">
        <f aca="false">IF(Y576=0,0,AC576/Y576)</f>
        <v>0.24907065938929</v>
      </c>
      <c r="AF576" s="2" t="s">
        <v>52</v>
      </c>
      <c r="AG576" s="2" t="s">
        <v>53</v>
      </c>
      <c r="AH576" s="2" t="str">
        <f aca="false">IF(AND(AG576="Completed",AF576&lt;&gt;"Paid"),"Inconsistent","OK")</f>
        <v>OK</v>
      </c>
      <c r="AI576" s="2" t="n">
        <f aca="false">IF(OR(ISBLANK(B576),ISBLANK(C576)),"",C576-B576)</f>
        <v>5</v>
      </c>
      <c r="AJ576" s="2" t="str">
        <f aca="false">IF(AI576="","Unknown",IF(AI576&lt;0,"Invalid","OK"))</f>
        <v>OK</v>
      </c>
      <c r="AK576" s="2" t="str">
        <f aca="false">IF(ISBLANK(B576),"",TEXT(B576,"mmm"))</f>
        <v>Feb</v>
      </c>
      <c r="AL576" s="2" t="n">
        <f aca="false">IF(ISBLANK(B576),"",YEAR(B576))</f>
        <v>2024</v>
      </c>
      <c r="AM576" s="2" t="s">
        <v>41</v>
      </c>
      <c r="AN576" s="2" t="str">
        <f aca="false">IF(OR(W576="Invalid",AJ576="Invalid",AH576="Inconsistent",Z576="Mismatch",AD576="Mismatch",AM576="Yes",D576="Yes",E576="Yes"),"Invalid",IF(OR(J576="Yes",Q576="Yes",U576="Yes"),"Warning","Clean"))</f>
        <v>Clean</v>
      </c>
    </row>
    <row r="577" customFormat="false" ht="15" hidden="false" customHeight="false" outlineLevel="0" collapsed="false">
      <c r="A577" s="2" t="s">
        <v>1844</v>
      </c>
      <c r="B577" s="3" t="n">
        <v>45727</v>
      </c>
      <c r="C577" s="3" t="n">
        <v>45730</v>
      </c>
      <c r="D577" s="2" t="s">
        <v>41</v>
      </c>
      <c r="E577" s="2" t="s">
        <v>41</v>
      </c>
      <c r="F577" s="2" t="s">
        <v>1845</v>
      </c>
      <c r="G577" s="2" t="s">
        <v>152</v>
      </c>
      <c r="H577" s="2" t="s">
        <v>115</v>
      </c>
      <c r="I577" s="2" t="s">
        <v>74</v>
      </c>
      <c r="J577" s="2" t="s">
        <v>41</v>
      </c>
      <c r="K577" s="2" t="s">
        <v>205</v>
      </c>
      <c r="L577" s="2" t="s">
        <v>206</v>
      </c>
      <c r="M577" s="2" t="s">
        <v>61</v>
      </c>
      <c r="N577" s="2" t="s">
        <v>77</v>
      </c>
      <c r="O577" s="2" t="s">
        <v>1846</v>
      </c>
      <c r="P577" s="2" t="s">
        <v>64</v>
      </c>
      <c r="Q577" s="2" t="s">
        <v>41</v>
      </c>
      <c r="R577" s="2" t="n">
        <v>4</v>
      </c>
      <c r="S577" s="2" t="n">
        <v>1244.82</v>
      </c>
      <c r="T577" s="2" t="n">
        <v>0.2</v>
      </c>
      <c r="U577" s="2" t="str">
        <f aca="false">IF(ISBLANK(T577),"Yes","No")</f>
        <v>No</v>
      </c>
      <c r="V577" s="2" t="n">
        <f aca="false">IF(ISBLANK(T577),0,IF(ISNUMBER(T577),T577,VALUE(LEFT(T577,LEN(T577)-1))/100))</f>
        <v>0.2</v>
      </c>
      <c r="W577" s="2" t="str">
        <f aca="false">IF(AND(V577&gt;=0,V577&lt;=0.25),"Valid","Invalid")</f>
        <v>Valid</v>
      </c>
      <c r="X577" s="2" t="n">
        <v>3983.42</v>
      </c>
      <c r="Y577" s="2" t="n">
        <f aca="false">R577*S577*(1-V577)</f>
        <v>3983.424</v>
      </c>
      <c r="Z577" s="2" t="str">
        <f aca="false">IF(ABS(X577-Y577)&gt;1,"Mismatch","OK")</f>
        <v>OK</v>
      </c>
      <c r="AA577" s="2" t="n">
        <v>3174.91</v>
      </c>
      <c r="AB577" s="2" t="n">
        <v>808.51</v>
      </c>
      <c r="AC577" s="2" t="n">
        <f aca="false">Y577-AA577</f>
        <v>808.514</v>
      </c>
      <c r="AD577" s="2" t="str">
        <f aca="false">IF(ABS(AB577-AC577)&gt;1,"Mismatch","OK")</f>
        <v>OK</v>
      </c>
      <c r="AE577" s="4" t="n">
        <f aca="false">IF(Y577=0,0,AC577/Y577)</f>
        <v>0.202969606047461</v>
      </c>
      <c r="AF577" s="2" t="s">
        <v>175</v>
      </c>
      <c r="AG577" s="2" t="s">
        <v>123</v>
      </c>
      <c r="AH577" s="2" t="str">
        <f aca="false">IF(AND(AG577="Completed",AF577&lt;&gt;"Paid"),"Inconsistent","OK")</f>
        <v>OK</v>
      </c>
      <c r="AI577" s="2" t="n">
        <f aca="false">IF(OR(ISBLANK(B577),ISBLANK(C577)),"",C577-B577)</f>
        <v>3</v>
      </c>
      <c r="AJ577" s="2" t="str">
        <f aca="false">IF(AI577="","Unknown",IF(AI577&lt;0,"Invalid","OK"))</f>
        <v>OK</v>
      </c>
      <c r="AK577" s="2" t="str">
        <f aca="false">IF(ISBLANK(B577),"",TEXT(B577,"mmm"))</f>
        <v>Mar</v>
      </c>
      <c r="AL577" s="2" t="n">
        <f aca="false">IF(ISBLANK(B577),"",YEAR(B577))</f>
        <v>2025</v>
      </c>
      <c r="AM577" s="2" t="s">
        <v>41</v>
      </c>
      <c r="AN577" s="2" t="str">
        <f aca="false">IF(OR(W577="Invalid",AJ577="Invalid",AH577="Inconsistent",Z577="Mismatch",AD577="Mismatch",AM577="Yes",D577="Yes",E577="Yes"),"Invalid",IF(OR(J577="Yes",Q577="Yes",U577="Yes"),"Warning","Clean"))</f>
        <v>Clean</v>
      </c>
    </row>
    <row r="578" customFormat="false" ht="15" hidden="false" customHeight="false" outlineLevel="0" collapsed="false">
      <c r="A578" s="2" t="s">
        <v>1847</v>
      </c>
      <c r="B578" s="3" t="n">
        <v>45339</v>
      </c>
      <c r="C578" s="3" t="n">
        <v>45345</v>
      </c>
      <c r="D578" s="2" t="s">
        <v>41</v>
      </c>
      <c r="E578" s="2" t="s">
        <v>41</v>
      </c>
      <c r="F578" s="2" t="s">
        <v>1848</v>
      </c>
      <c r="G578" s="2" t="s">
        <v>161</v>
      </c>
      <c r="H578" s="2" t="s">
        <v>115</v>
      </c>
      <c r="I578" s="2" t="s">
        <v>225</v>
      </c>
      <c r="J578" s="2" t="s">
        <v>226</v>
      </c>
      <c r="K578" s="2" t="s">
        <v>165</v>
      </c>
      <c r="L578" s="2" t="s">
        <v>166</v>
      </c>
      <c r="M578" s="2" t="s">
        <v>48</v>
      </c>
      <c r="N578" s="2" t="s">
        <v>173</v>
      </c>
      <c r="O578" s="2" t="s">
        <v>1849</v>
      </c>
      <c r="P578" s="2" t="s">
        <v>79</v>
      </c>
      <c r="Q578" s="2" t="s">
        <v>41</v>
      </c>
      <c r="R578" s="2" t="n">
        <v>9</v>
      </c>
      <c r="S578" s="2" t="n">
        <v>2614.46</v>
      </c>
      <c r="T578" s="2" t="n">
        <v>0</v>
      </c>
      <c r="U578" s="2" t="str">
        <f aca="false">IF(ISBLANK(T578),"Yes","No")</f>
        <v>No</v>
      </c>
      <c r="V578" s="2" t="n">
        <f aca="false">IF(ISBLANK(T578),0,IF(ISNUMBER(T578),T578,VALUE(LEFT(T578,LEN(T578)-1))/100))</f>
        <v>0</v>
      </c>
      <c r="W578" s="2" t="str">
        <f aca="false">IF(AND(V578&gt;=0,V578&lt;=0.25),"Valid","Invalid")</f>
        <v>Valid</v>
      </c>
      <c r="X578" s="2" t="n">
        <v>23530.14</v>
      </c>
      <c r="Y578" s="2" t="n">
        <f aca="false">R578*S578*(1-V578)</f>
        <v>23530.14</v>
      </c>
      <c r="Z578" s="2" t="str">
        <f aca="false">IF(ABS(X578-Y578)&gt;1,"Mismatch","OK")</f>
        <v>OK</v>
      </c>
      <c r="AA578" s="2" t="n">
        <v>19537.79</v>
      </c>
      <c r="AB578" s="2" t="n">
        <v>3992.35</v>
      </c>
      <c r="AC578" s="2" t="n">
        <f aca="false">Y578-AA578</f>
        <v>3992.35</v>
      </c>
      <c r="AD578" s="2" t="str">
        <f aca="false">IF(ABS(AB578-AC578)&gt;1,"Mismatch","OK")</f>
        <v>OK</v>
      </c>
      <c r="AE578" s="4" t="n">
        <f aca="false">IF(Y578=0,0,AC578/Y578)</f>
        <v>0.169669623725146</v>
      </c>
      <c r="AF578" s="2" t="s">
        <v>122</v>
      </c>
      <c r="AG578" s="2" t="s">
        <v>123</v>
      </c>
      <c r="AH578" s="2" t="str">
        <f aca="false">IF(AND(AG578="Completed",AF578&lt;&gt;"Paid"),"Inconsistent","OK")</f>
        <v>OK</v>
      </c>
      <c r="AI578" s="2" t="n">
        <f aca="false">IF(OR(ISBLANK(B578),ISBLANK(C578)),"",C578-B578)</f>
        <v>6</v>
      </c>
      <c r="AJ578" s="2" t="str">
        <f aca="false">IF(AI578="","Unknown",IF(AI578&lt;0,"Invalid","OK"))</f>
        <v>OK</v>
      </c>
      <c r="AK578" s="2" t="str">
        <f aca="false">IF(ISBLANK(B578),"",TEXT(B578,"mmm"))</f>
        <v>Feb</v>
      </c>
      <c r="AL578" s="2" t="n">
        <f aca="false">IF(ISBLANK(B578),"",YEAR(B578))</f>
        <v>2024</v>
      </c>
      <c r="AM578" s="2" t="s">
        <v>41</v>
      </c>
      <c r="AN578" s="2" t="str">
        <f aca="false">IF(OR(W578="Invalid",AJ578="Invalid",AH578="Inconsistent",Z578="Mismatch",AD578="Mismatch",AM578="Yes",D578="Yes",E578="Yes"),"Invalid",IF(OR(J578="Yes",Q578="Yes",U578="Yes"),"Warning","Clean"))</f>
        <v>Warning</v>
      </c>
    </row>
    <row r="579" customFormat="false" ht="15" hidden="false" customHeight="false" outlineLevel="0" collapsed="false">
      <c r="A579" s="2" t="s">
        <v>1850</v>
      </c>
      <c r="B579" s="3" t="n">
        <v>45897</v>
      </c>
      <c r="C579" s="3" t="n">
        <v>45903</v>
      </c>
      <c r="D579" s="2" t="s">
        <v>41</v>
      </c>
      <c r="E579" s="2" t="s">
        <v>41</v>
      </c>
      <c r="F579" s="2" t="s">
        <v>1851</v>
      </c>
      <c r="G579" s="2" t="s">
        <v>134</v>
      </c>
      <c r="H579" s="2" t="s">
        <v>110</v>
      </c>
      <c r="I579" s="2" t="s">
        <v>83</v>
      </c>
      <c r="J579" s="2" t="s">
        <v>41</v>
      </c>
      <c r="K579" s="2" t="s">
        <v>92</v>
      </c>
      <c r="L579" s="2" t="s">
        <v>93</v>
      </c>
      <c r="M579" s="2" t="s">
        <v>61</v>
      </c>
      <c r="N579" s="2" t="s">
        <v>77</v>
      </c>
      <c r="O579" s="2" t="s">
        <v>1852</v>
      </c>
      <c r="P579" s="2" t="s">
        <v>79</v>
      </c>
      <c r="Q579" s="2" t="s">
        <v>41</v>
      </c>
      <c r="R579" s="2" t="n">
        <v>7</v>
      </c>
      <c r="S579" s="2" t="n">
        <v>268.45</v>
      </c>
      <c r="T579" s="2" t="n">
        <v>0</v>
      </c>
      <c r="U579" s="2" t="str">
        <f aca="false">IF(ISBLANK(T579),"Yes","No")</f>
        <v>No</v>
      </c>
      <c r="V579" s="2" t="n">
        <f aca="false">IF(ISBLANK(T579),0,IF(ISNUMBER(T579),T579,VALUE(LEFT(T579,LEN(T579)-1))/100))</f>
        <v>0</v>
      </c>
      <c r="W579" s="2" t="str">
        <f aca="false">IF(AND(V579&gt;=0,V579&lt;=0.25),"Valid","Invalid")</f>
        <v>Valid</v>
      </c>
      <c r="X579" s="2" t="n">
        <v>1879.15</v>
      </c>
      <c r="Y579" s="2" t="n">
        <f aca="false">R579*S579*(1-V579)</f>
        <v>1879.15</v>
      </c>
      <c r="Z579" s="2" t="str">
        <f aca="false">IF(ABS(X579-Y579)&gt;1,"Mismatch","OK")</f>
        <v>OK</v>
      </c>
      <c r="AA579" s="2" t="n">
        <v>1134.9</v>
      </c>
      <c r="AB579" s="2" t="n">
        <v>744.25</v>
      </c>
      <c r="AC579" s="2" t="n">
        <f aca="false">Y579-AA579</f>
        <v>744.25</v>
      </c>
      <c r="AD579" s="2" t="str">
        <f aca="false">IF(ABS(AB579-AC579)&gt;1,"Mismatch","OK")</f>
        <v>OK</v>
      </c>
      <c r="AE579" s="4" t="n">
        <f aca="false">IF(Y579=0,0,AC579/Y579)</f>
        <v>0.396056727775856</v>
      </c>
      <c r="AF579" s="2" t="s">
        <v>52</v>
      </c>
      <c r="AG579" s="2" t="s">
        <v>53</v>
      </c>
      <c r="AH579" s="2" t="str">
        <f aca="false">IF(AND(AG579="Completed",AF579&lt;&gt;"Paid"),"Inconsistent","OK")</f>
        <v>OK</v>
      </c>
      <c r="AI579" s="2" t="n">
        <f aca="false">IF(OR(ISBLANK(B579),ISBLANK(C579)),"",C579-B579)</f>
        <v>6</v>
      </c>
      <c r="AJ579" s="2" t="str">
        <f aca="false">IF(AI579="","Unknown",IF(AI579&lt;0,"Invalid","OK"))</f>
        <v>OK</v>
      </c>
      <c r="AK579" s="2" t="str">
        <f aca="false">IF(ISBLANK(B579),"",TEXT(B579,"mmm"))</f>
        <v>Aug</v>
      </c>
      <c r="AL579" s="2" t="n">
        <f aca="false">IF(ISBLANK(B579),"",YEAR(B579))</f>
        <v>2025</v>
      </c>
      <c r="AM579" s="2" t="s">
        <v>41</v>
      </c>
      <c r="AN579" s="2" t="str">
        <f aca="false">IF(OR(W579="Invalid",AJ579="Invalid",AH579="Inconsistent",Z579="Mismatch",AD579="Mismatch",AM579="Yes",D579="Yes",E579="Yes"),"Invalid",IF(OR(J579="Yes",Q579="Yes",U579="Yes"),"Warning","Clean"))</f>
        <v>Clean</v>
      </c>
    </row>
    <row r="580" customFormat="false" ht="15" hidden="false" customHeight="false" outlineLevel="0" collapsed="false">
      <c r="A580" s="2" t="s">
        <v>1853</v>
      </c>
      <c r="B580" s="3" t="n">
        <v>45343</v>
      </c>
      <c r="C580" s="3" t="n">
        <v>45345</v>
      </c>
      <c r="D580" s="2" t="s">
        <v>41</v>
      </c>
      <c r="E580" s="2" t="s">
        <v>41</v>
      </c>
      <c r="F580" s="2" t="s">
        <v>317</v>
      </c>
      <c r="G580" s="2" t="s">
        <v>99</v>
      </c>
      <c r="H580" s="2" t="s">
        <v>57</v>
      </c>
      <c r="I580" s="2" t="s">
        <v>83</v>
      </c>
      <c r="J580" s="2" t="s">
        <v>41</v>
      </c>
      <c r="K580" s="2" t="s">
        <v>200</v>
      </c>
      <c r="L580" s="2" t="s">
        <v>201</v>
      </c>
      <c r="M580" s="2" t="s">
        <v>94</v>
      </c>
      <c r="N580" s="2" t="s">
        <v>100</v>
      </c>
      <c r="O580" s="2" t="s">
        <v>1854</v>
      </c>
      <c r="P580" s="2" t="s">
        <v>70</v>
      </c>
      <c r="Q580" s="2" t="s">
        <v>41</v>
      </c>
      <c r="R580" s="2" t="n">
        <v>6</v>
      </c>
      <c r="S580" s="2" t="n">
        <v>2633.65</v>
      </c>
      <c r="T580" s="2" t="n">
        <v>0.05</v>
      </c>
      <c r="U580" s="2" t="str">
        <f aca="false">IF(ISBLANK(T580),"Yes","No")</f>
        <v>No</v>
      </c>
      <c r="V580" s="2" t="n">
        <f aca="false">IF(ISBLANK(T580),0,IF(ISNUMBER(T580),T580,VALUE(LEFT(T580,LEN(T580)-1))/100))</f>
        <v>0.05</v>
      </c>
      <c r="W580" s="2" t="str">
        <f aca="false">IF(AND(V580&gt;=0,V580&lt;=0.25),"Valid","Invalid")</f>
        <v>Valid</v>
      </c>
      <c r="X580" s="2" t="n">
        <v>15011.81</v>
      </c>
      <c r="Y580" s="2" t="n">
        <f aca="false">R580*S580*(1-V580)</f>
        <v>15011.805</v>
      </c>
      <c r="Z580" s="2" t="str">
        <f aca="false">IF(ABS(X580-Y580)&gt;1,"Mismatch","OK")</f>
        <v>OK</v>
      </c>
      <c r="AA580" s="2" t="n">
        <v>9660.36</v>
      </c>
      <c r="AB580" s="2" t="n">
        <v>5351.45</v>
      </c>
      <c r="AC580" s="2" t="n">
        <f aca="false">Y580-AA580</f>
        <v>5351.445</v>
      </c>
      <c r="AD580" s="2" t="str">
        <f aca="false">IF(ABS(AB580-AC580)&gt;1,"Mismatch","OK")</f>
        <v>OK</v>
      </c>
      <c r="AE580" s="4" t="n">
        <f aca="false">IF(Y580=0,0,AC580/Y580)</f>
        <v>0.356482448313178</v>
      </c>
      <c r="AF580" s="2" t="s">
        <v>52</v>
      </c>
      <c r="AG580" s="2" t="s">
        <v>53</v>
      </c>
      <c r="AH580" s="2" t="str">
        <f aca="false">IF(AND(AG580="Completed",AF580&lt;&gt;"Paid"),"Inconsistent","OK")</f>
        <v>OK</v>
      </c>
      <c r="AI580" s="2" t="n">
        <f aca="false">IF(OR(ISBLANK(B580),ISBLANK(C580)),"",C580-B580)</f>
        <v>2</v>
      </c>
      <c r="AJ580" s="2" t="str">
        <f aca="false">IF(AI580="","Unknown",IF(AI580&lt;0,"Invalid","OK"))</f>
        <v>OK</v>
      </c>
      <c r="AK580" s="2" t="str">
        <f aca="false">IF(ISBLANK(B580),"",TEXT(B580,"mmm"))</f>
        <v>Feb</v>
      </c>
      <c r="AL580" s="2" t="n">
        <f aca="false">IF(ISBLANK(B580),"",YEAR(B580))</f>
        <v>2024</v>
      </c>
      <c r="AM580" s="2" t="s">
        <v>41</v>
      </c>
      <c r="AN580" s="2" t="str">
        <f aca="false">IF(OR(W580="Invalid",AJ580="Invalid",AH580="Inconsistent",Z580="Mismatch",AD580="Mismatch",AM580="Yes",D580="Yes",E580="Yes"),"Invalid",IF(OR(J580="Yes",Q580="Yes",U580="Yes"),"Warning","Clean"))</f>
        <v>Clean</v>
      </c>
    </row>
    <row r="581" customFormat="false" ht="15" hidden="false" customHeight="false" outlineLevel="0" collapsed="false">
      <c r="A581" s="2" t="s">
        <v>1855</v>
      </c>
      <c r="B581" s="3" t="n">
        <v>45462</v>
      </c>
      <c r="C581" s="3" t="n">
        <v>45467</v>
      </c>
      <c r="D581" s="2" t="s">
        <v>41</v>
      </c>
      <c r="E581" s="2" t="s">
        <v>41</v>
      </c>
      <c r="F581" s="2" t="s">
        <v>1856</v>
      </c>
      <c r="G581" s="2" t="s">
        <v>148</v>
      </c>
      <c r="H581" s="2" t="s">
        <v>57</v>
      </c>
      <c r="I581" s="2" t="s">
        <v>74</v>
      </c>
      <c r="J581" s="2" t="s">
        <v>41</v>
      </c>
      <c r="K581" s="2" t="s">
        <v>269</v>
      </c>
      <c r="L581" s="2" t="s">
        <v>270</v>
      </c>
      <c r="M581" s="2" t="s">
        <v>48</v>
      </c>
      <c r="N581" s="2" t="s">
        <v>144</v>
      </c>
      <c r="O581" s="2" t="s">
        <v>1857</v>
      </c>
      <c r="P581" s="2" t="s">
        <v>64</v>
      </c>
      <c r="Q581" s="2" t="s">
        <v>41</v>
      </c>
      <c r="R581" s="2" t="n">
        <v>1</v>
      </c>
      <c r="S581" s="2" t="n">
        <v>3202.41</v>
      </c>
      <c r="T581" s="2" t="n">
        <v>0</v>
      </c>
      <c r="U581" s="2" t="str">
        <f aca="false">IF(ISBLANK(T581),"Yes","No")</f>
        <v>No</v>
      </c>
      <c r="V581" s="2" t="n">
        <f aca="false">IF(ISBLANK(T581),0,IF(ISNUMBER(T581),T581,VALUE(LEFT(T581,LEN(T581)-1))/100))</f>
        <v>0</v>
      </c>
      <c r="W581" s="2" t="str">
        <f aca="false">IF(AND(V581&gt;=0,V581&lt;=0.25),"Valid","Invalid")</f>
        <v>Valid</v>
      </c>
      <c r="X581" s="2" t="n">
        <v>3202.41</v>
      </c>
      <c r="Y581" s="2" t="n">
        <f aca="false">R581*S581*(1-V581)</f>
        <v>3202.41</v>
      </c>
      <c r="Z581" s="2" t="str">
        <f aca="false">IF(ABS(X581-Y581)&gt;1,"Mismatch","OK")</f>
        <v>OK</v>
      </c>
      <c r="AA581" s="2" t="n">
        <v>2608.44</v>
      </c>
      <c r="AB581" s="2" t="n">
        <v>593.97</v>
      </c>
      <c r="AC581" s="2" t="n">
        <f aca="false">Y581-AA581</f>
        <v>593.97</v>
      </c>
      <c r="AD581" s="2" t="str">
        <f aca="false">IF(ABS(AB581-AC581)&gt;1,"Mismatch","OK")</f>
        <v>OK</v>
      </c>
      <c r="AE581" s="4" t="n">
        <f aca="false">IF(Y581=0,0,AC581/Y581)</f>
        <v>0.185475938433867</v>
      </c>
      <c r="AF581" s="2" t="s">
        <v>52</v>
      </c>
      <c r="AG581" s="2" t="s">
        <v>53</v>
      </c>
      <c r="AH581" s="2" t="str">
        <f aca="false">IF(AND(AG581="Completed",AF581&lt;&gt;"Paid"),"Inconsistent","OK")</f>
        <v>OK</v>
      </c>
      <c r="AI581" s="2" t="n">
        <f aca="false">IF(OR(ISBLANK(B581),ISBLANK(C581)),"",C581-B581)</f>
        <v>5</v>
      </c>
      <c r="AJ581" s="2" t="str">
        <f aca="false">IF(AI581="","Unknown",IF(AI581&lt;0,"Invalid","OK"))</f>
        <v>OK</v>
      </c>
      <c r="AK581" s="2" t="str">
        <f aca="false">IF(ISBLANK(B581),"",TEXT(B581,"mmm"))</f>
        <v>Jun</v>
      </c>
      <c r="AL581" s="2" t="n">
        <f aca="false">IF(ISBLANK(B581),"",YEAR(B581))</f>
        <v>2024</v>
      </c>
      <c r="AM581" s="2" t="s">
        <v>41</v>
      </c>
      <c r="AN581" s="2" t="str">
        <f aca="false">IF(OR(W581="Invalid",AJ581="Invalid",AH581="Inconsistent",Z581="Mismatch",AD581="Mismatch",AM581="Yes",D581="Yes",E581="Yes"),"Invalid",IF(OR(J581="Yes",Q581="Yes",U581="Yes"),"Warning","Clean"))</f>
        <v>Clean</v>
      </c>
    </row>
    <row r="582" customFormat="false" ht="15" hidden="false" customHeight="false" outlineLevel="0" collapsed="false">
      <c r="A582" s="2" t="s">
        <v>1858</v>
      </c>
      <c r="B582" s="3" t="n">
        <v>45722</v>
      </c>
      <c r="C582" s="3" t="n">
        <v>45729</v>
      </c>
      <c r="D582" s="2" t="s">
        <v>41</v>
      </c>
      <c r="E582" s="2" t="s">
        <v>41</v>
      </c>
      <c r="F582" s="2" t="s">
        <v>1859</v>
      </c>
      <c r="G582" s="2" t="s">
        <v>286</v>
      </c>
      <c r="H582" s="2" t="s">
        <v>44</v>
      </c>
      <c r="I582" s="2" t="s">
        <v>74</v>
      </c>
      <c r="J582" s="2" t="s">
        <v>41</v>
      </c>
      <c r="K582" s="2" t="s">
        <v>205</v>
      </c>
      <c r="L582" s="2" t="s">
        <v>206</v>
      </c>
      <c r="M582" s="2" t="s">
        <v>61</v>
      </c>
      <c r="N582" s="2" t="s">
        <v>86</v>
      </c>
      <c r="O582" s="2" t="s">
        <v>1860</v>
      </c>
      <c r="P582" s="2" t="s">
        <v>79</v>
      </c>
      <c r="Q582" s="2" t="s">
        <v>41</v>
      </c>
      <c r="R582" s="2" t="n">
        <v>3</v>
      </c>
      <c r="S582" s="2" t="n">
        <v>163.72</v>
      </c>
      <c r="T582" s="2" t="n">
        <v>0.15</v>
      </c>
      <c r="U582" s="2" t="str">
        <f aca="false">IF(ISBLANK(T582),"Yes","No")</f>
        <v>No</v>
      </c>
      <c r="V582" s="2" t="n">
        <f aca="false">IF(ISBLANK(T582),0,IF(ISNUMBER(T582),T582,VALUE(LEFT(T582,LEN(T582)-1))/100))</f>
        <v>0.15</v>
      </c>
      <c r="W582" s="2" t="str">
        <f aca="false">IF(AND(V582&gt;=0,V582&lt;=0.25),"Valid","Invalid")</f>
        <v>Valid</v>
      </c>
      <c r="X582" s="2" t="n">
        <v>417.49</v>
      </c>
      <c r="Y582" s="2" t="n">
        <f aca="false">R582*S582*(1-V582)</f>
        <v>417.486</v>
      </c>
      <c r="Z582" s="2" t="str">
        <f aca="false">IF(ABS(X582-Y582)&gt;1,"Mismatch","OK")</f>
        <v>OK</v>
      </c>
      <c r="AA582" s="2" t="n">
        <v>261.67</v>
      </c>
      <c r="AB582" s="2" t="n">
        <v>155.82</v>
      </c>
      <c r="AC582" s="2" t="n">
        <f aca="false">Y582-AA582</f>
        <v>155.816</v>
      </c>
      <c r="AD582" s="2" t="str">
        <f aca="false">IF(ABS(AB582-AC582)&gt;1,"Mismatch","OK")</f>
        <v>OK</v>
      </c>
      <c r="AE582" s="4" t="n">
        <f aca="false">IF(Y582=0,0,AC582/Y582)</f>
        <v>0.373224491360189</v>
      </c>
      <c r="AF582" s="2" t="s">
        <v>175</v>
      </c>
      <c r="AG582" s="2" t="s">
        <v>123</v>
      </c>
      <c r="AH582" s="2" t="str">
        <f aca="false">IF(AND(AG582="Completed",AF582&lt;&gt;"Paid"),"Inconsistent","OK")</f>
        <v>OK</v>
      </c>
      <c r="AI582" s="2" t="n">
        <f aca="false">IF(OR(ISBLANK(B582),ISBLANK(C582)),"",C582-B582)</f>
        <v>7</v>
      </c>
      <c r="AJ582" s="2" t="str">
        <f aca="false">IF(AI582="","Unknown",IF(AI582&lt;0,"Invalid","OK"))</f>
        <v>OK</v>
      </c>
      <c r="AK582" s="2" t="str">
        <f aca="false">IF(ISBLANK(B582),"",TEXT(B582,"mmm"))</f>
        <v>Mar</v>
      </c>
      <c r="AL582" s="2" t="n">
        <f aca="false">IF(ISBLANK(B582),"",YEAR(B582))</f>
        <v>2025</v>
      </c>
      <c r="AM582" s="2" t="s">
        <v>41</v>
      </c>
      <c r="AN582" s="2" t="str">
        <f aca="false">IF(OR(W582="Invalid",AJ582="Invalid",AH582="Inconsistent",Z582="Mismatch",AD582="Mismatch",AM582="Yes",D582="Yes",E582="Yes"),"Invalid",IF(OR(J582="Yes",Q582="Yes",U582="Yes"),"Warning","Clean"))</f>
        <v>Clean</v>
      </c>
    </row>
    <row r="583" customFormat="false" ht="15" hidden="false" customHeight="false" outlineLevel="0" collapsed="false">
      <c r="A583" s="2" t="s">
        <v>1861</v>
      </c>
      <c r="B583" s="3" t="n">
        <v>45878</v>
      </c>
      <c r="C583" s="3" t="n">
        <v>45879</v>
      </c>
      <c r="D583" s="2" t="s">
        <v>41</v>
      </c>
      <c r="E583" s="2" t="s">
        <v>41</v>
      </c>
      <c r="F583" s="2" t="s">
        <v>1862</v>
      </c>
      <c r="G583" s="2" t="s">
        <v>99</v>
      </c>
      <c r="H583" s="2" t="s">
        <v>44</v>
      </c>
      <c r="I583" s="2" t="s">
        <v>45</v>
      </c>
      <c r="J583" s="2" t="s">
        <v>41</v>
      </c>
      <c r="K583" s="2" t="s">
        <v>372</v>
      </c>
      <c r="L583" s="2" t="s">
        <v>373</v>
      </c>
      <c r="M583" s="2" t="s">
        <v>48</v>
      </c>
      <c r="N583" s="2" t="s">
        <v>68</v>
      </c>
      <c r="O583" s="2" t="s">
        <v>1863</v>
      </c>
      <c r="P583" s="2" t="s">
        <v>51</v>
      </c>
      <c r="Q583" s="2" t="s">
        <v>41</v>
      </c>
      <c r="R583" s="2" t="n">
        <v>4</v>
      </c>
      <c r="S583" s="2" t="n">
        <v>4080.95</v>
      </c>
      <c r="T583" s="2" t="n">
        <v>0</v>
      </c>
      <c r="U583" s="2" t="str">
        <f aca="false">IF(ISBLANK(T583),"Yes","No")</f>
        <v>No</v>
      </c>
      <c r="V583" s="2" t="n">
        <f aca="false">IF(ISBLANK(T583),0,IF(ISNUMBER(T583),T583,VALUE(LEFT(T583,LEN(T583)-1))/100))</f>
        <v>0</v>
      </c>
      <c r="W583" s="2" t="str">
        <f aca="false">IF(AND(V583&gt;=0,V583&lt;=0.25),"Valid","Invalid")</f>
        <v>Valid</v>
      </c>
      <c r="X583" s="2" t="n">
        <v>16323.8</v>
      </c>
      <c r="Y583" s="2" t="n">
        <f aca="false">R583*S583*(1-V583)</f>
        <v>16323.8</v>
      </c>
      <c r="Z583" s="2" t="str">
        <f aca="false">IF(ABS(X583-Y583)&gt;1,"Mismatch","OK")</f>
        <v>OK</v>
      </c>
      <c r="AA583" s="2" t="n">
        <v>9965.79</v>
      </c>
      <c r="AB583" s="2" t="n">
        <v>6358.01</v>
      </c>
      <c r="AC583" s="2" t="n">
        <f aca="false">Y583-AA583</f>
        <v>6358.01</v>
      </c>
      <c r="AD583" s="2" t="str">
        <f aca="false">IF(ABS(AB583-AC583)&gt;1,"Mismatch","OK")</f>
        <v>OK</v>
      </c>
      <c r="AE583" s="4" t="n">
        <f aca="false">IF(Y583=0,0,AC583/Y583)</f>
        <v>0.38949325524694</v>
      </c>
      <c r="AF583" s="2" t="s">
        <v>122</v>
      </c>
      <c r="AG583" s="2" t="s">
        <v>123</v>
      </c>
      <c r="AH583" s="2" t="str">
        <f aca="false">IF(AND(AG583="Completed",AF583&lt;&gt;"Paid"),"Inconsistent","OK")</f>
        <v>OK</v>
      </c>
      <c r="AI583" s="2" t="n">
        <f aca="false">IF(OR(ISBLANK(B583),ISBLANK(C583)),"",C583-B583)</f>
        <v>1</v>
      </c>
      <c r="AJ583" s="2" t="str">
        <f aca="false">IF(AI583="","Unknown",IF(AI583&lt;0,"Invalid","OK"))</f>
        <v>OK</v>
      </c>
      <c r="AK583" s="2" t="str">
        <f aca="false">IF(ISBLANK(B583),"",TEXT(B583,"mmm"))</f>
        <v>Aug</v>
      </c>
      <c r="AL583" s="2" t="n">
        <f aca="false">IF(ISBLANK(B583),"",YEAR(B583))</f>
        <v>2025</v>
      </c>
      <c r="AM583" s="2" t="s">
        <v>41</v>
      </c>
      <c r="AN583" s="2" t="str">
        <f aca="false">IF(OR(W583="Invalid",AJ583="Invalid",AH583="Inconsistent",Z583="Mismatch",AD583="Mismatch",AM583="Yes",D583="Yes",E583="Yes"),"Invalid",IF(OR(J583="Yes",Q583="Yes",U583="Yes"),"Warning","Clean"))</f>
        <v>Clean</v>
      </c>
    </row>
    <row r="584" customFormat="false" ht="15" hidden="false" customHeight="false" outlineLevel="0" collapsed="false">
      <c r="A584" s="2" t="s">
        <v>1864</v>
      </c>
      <c r="B584" s="3" t="n">
        <v>45580</v>
      </c>
      <c r="C584" s="3" t="n">
        <v>45585</v>
      </c>
      <c r="D584" s="2" t="s">
        <v>41</v>
      </c>
      <c r="E584" s="2" t="s">
        <v>41</v>
      </c>
      <c r="F584" s="2" t="s">
        <v>1865</v>
      </c>
      <c r="G584" s="2" t="s">
        <v>82</v>
      </c>
      <c r="H584" s="2" t="s">
        <v>44</v>
      </c>
      <c r="I584" s="2" t="s">
        <v>58</v>
      </c>
      <c r="J584" s="2" t="s">
        <v>41</v>
      </c>
      <c r="K584" s="2" t="s">
        <v>59</v>
      </c>
      <c r="L584" s="2" t="s">
        <v>60</v>
      </c>
      <c r="M584" s="2" t="s">
        <v>48</v>
      </c>
      <c r="N584" s="2" t="s">
        <v>68</v>
      </c>
      <c r="O584" s="2" t="s">
        <v>1866</v>
      </c>
      <c r="P584" s="2" t="s">
        <v>70</v>
      </c>
      <c r="Q584" s="2" t="s">
        <v>41</v>
      </c>
      <c r="R584" s="2" t="n">
        <v>5</v>
      </c>
      <c r="S584" s="2" t="n">
        <v>671.24</v>
      </c>
      <c r="T584" s="2" t="n">
        <v>0</v>
      </c>
      <c r="U584" s="2" t="str">
        <f aca="false">IF(ISBLANK(T584),"Yes","No")</f>
        <v>No</v>
      </c>
      <c r="V584" s="2" t="n">
        <f aca="false">IF(ISBLANK(T584),0,IF(ISNUMBER(T584),T584,VALUE(LEFT(T584,LEN(T584)-1))/100))</f>
        <v>0</v>
      </c>
      <c r="W584" s="2" t="str">
        <f aca="false">IF(AND(V584&gt;=0,V584&lt;=0.25),"Valid","Invalid")</f>
        <v>Valid</v>
      </c>
      <c r="X584" s="2" t="n">
        <v>3356.2</v>
      </c>
      <c r="Y584" s="2" t="n">
        <f aca="false">R584*S584*(1-V584)</f>
        <v>3356.2</v>
      </c>
      <c r="Z584" s="2" t="str">
        <f aca="false">IF(ABS(X584-Y584)&gt;1,"Mismatch","OK")</f>
        <v>OK</v>
      </c>
      <c r="AA584" s="2" t="n">
        <v>2205.72</v>
      </c>
      <c r="AB584" s="2" t="n">
        <v>1150.48</v>
      </c>
      <c r="AC584" s="2" t="n">
        <f aca="false">Y584-AA584</f>
        <v>1150.48</v>
      </c>
      <c r="AD584" s="2" t="str">
        <f aca="false">IF(ABS(AB584-AC584)&gt;1,"Mismatch","OK")</f>
        <v>OK</v>
      </c>
      <c r="AE584" s="4" t="n">
        <f aca="false">IF(Y584=0,0,AC584/Y584)</f>
        <v>0.34279244383529</v>
      </c>
      <c r="AF584" s="2" t="s">
        <v>131</v>
      </c>
      <c r="AG584" s="2" t="s">
        <v>123</v>
      </c>
      <c r="AH584" s="2" t="str">
        <f aca="false">IF(AND(AG584="Completed",AF584&lt;&gt;"Paid"),"Inconsistent","OK")</f>
        <v>OK</v>
      </c>
      <c r="AI584" s="2" t="n">
        <f aca="false">IF(OR(ISBLANK(B584),ISBLANK(C584)),"",C584-B584)</f>
        <v>5</v>
      </c>
      <c r="AJ584" s="2" t="str">
        <f aca="false">IF(AI584="","Unknown",IF(AI584&lt;0,"Invalid","OK"))</f>
        <v>OK</v>
      </c>
      <c r="AK584" s="2" t="str">
        <f aca="false">IF(ISBLANK(B584),"",TEXT(B584,"mmm"))</f>
        <v>Oct</v>
      </c>
      <c r="AL584" s="2" t="n">
        <f aca="false">IF(ISBLANK(B584),"",YEAR(B584))</f>
        <v>2024</v>
      </c>
      <c r="AM584" s="2" t="s">
        <v>41</v>
      </c>
      <c r="AN584" s="2" t="str">
        <f aca="false">IF(OR(W584="Invalid",AJ584="Invalid",AH584="Inconsistent",Z584="Mismatch",AD584="Mismatch",AM584="Yes",D584="Yes",E584="Yes"),"Invalid",IF(OR(J584="Yes",Q584="Yes",U584="Yes"),"Warning","Clean"))</f>
        <v>Clean</v>
      </c>
    </row>
    <row r="585" customFormat="false" ht="15" hidden="false" customHeight="false" outlineLevel="0" collapsed="false">
      <c r="A585" s="2" t="s">
        <v>1867</v>
      </c>
      <c r="B585" s="3" t="n">
        <v>45350</v>
      </c>
      <c r="C585" s="3" t="n">
        <v>45350</v>
      </c>
      <c r="D585" s="2" t="s">
        <v>41</v>
      </c>
      <c r="E585" s="2" t="s">
        <v>41</v>
      </c>
      <c r="F585" s="2" t="s">
        <v>1868</v>
      </c>
      <c r="G585" s="2" t="s">
        <v>161</v>
      </c>
      <c r="H585" s="2" t="s">
        <v>57</v>
      </c>
      <c r="I585" s="2" t="s">
        <v>58</v>
      </c>
      <c r="J585" s="2" t="s">
        <v>41</v>
      </c>
      <c r="K585" s="2" t="s">
        <v>119</v>
      </c>
      <c r="L585" s="2" t="s">
        <v>120</v>
      </c>
      <c r="M585" s="2" t="s">
        <v>48</v>
      </c>
      <c r="N585" s="2" t="s">
        <v>144</v>
      </c>
      <c r="O585" s="2" t="s">
        <v>1869</v>
      </c>
      <c r="P585" s="2" t="s">
        <v>70</v>
      </c>
      <c r="Q585" s="2" t="s">
        <v>41</v>
      </c>
      <c r="R585" s="2" t="n">
        <v>1</v>
      </c>
      <c r="S585" s="2" t="n">
        <v>2626.84</v>
      </c>
      <c r="T585" s="2" t="n">
        <v>0.2</v>
      </c>
      <c r="U585" s="2" t="str">
        <f aca="false">IF(ISBLANK(T585),"Yes","No")</f>
        <v>No</v>
      </c>
      <c r="V585" s="2" t="n">
        <f aca="false">IF(ISBLANK(T585),0,IF(ISNUMBER(T585),T585,VALUE(LEFT(T585,LEN(T585)-1))/100))</f>
        <v>0.2</v>
      </c>
      <c r="W585" s="2" t="str">
        <f aca="false">IF(AND(V585&gt;=0,V585&lt;=0.25),"Valid","Invalid")</f>
        <v>Valid</v>
      </c>
      <c r="X585" s="2" t="n">
        <v>2101.47</v>
      </c>
      <c r="Y585" s="2" t="n">
        <f aca="false">R585*S585*(1-V585)</f>
        <v>2101.472</v>
      </c>
      <c r="Z585" s="2" t="str">
        <f aca="false">IF(ABS(X585-Y585)&gt;1,"Mismatch","OK")</f>
        <v>OK</v>
      </c>
      <c r="AA585" s="2" t="n">
        <v>1217.83</v>
      </c>
      <c r="AB585" s="2" t="n">
        <v>883.64</v>
      </c>
      <c r="AC585" s="2" t="n">
        <f aca="false">Y585-AA585</f>
        <v>883.642</v>
      </c>
      <c r="AD585" s="2" t="str">
        <f aca="false">IF(ABS(AB585-AC585)&gt;1,"Mismatch","OK")</f>
        <v>OK</v>
      </c>
      <c r="AE585" s="4" t="n">
        <f aca="false">IF(Y585=0,0,AC585/Y585)</f>
        <v>0.420487163283641</v>
      </c>
      <c r="AF585" s="2" t="s">
        <v>175</v>
      </c>
      <c r="AG585" s="2" t="s">
        <v>123</v>
      </c>
      <c r="AH585" s="2" t="str">
        <f aca="false">IF(AND(AG585="Completed",AF585&lt;&gt;"Paid"),"Inconsistent","OK")</f>
        <v>OK</v>
      </c>
      <c r="AI585" s="2" t="n">
        <f aca="false">IF(OR(ISBLANK(B585),ISBLANK(C585)),"",C585-B585)</f>
        <v>0</v>
      </c>
      <c r="AJ585" s="2" t="str">
        <f aca="false">IF(AI585="","Unknown",IF(AI585&lt;0,"Invalid","OK"))</f>
        <v>OK</v>
      </c>
      <c r="AK585" s="2" t="str">
        <f aca="false">IF(ISBLANK(B585),"",TEXT(B585,"mmm"))</f>
        <v>Feb</v>
      </c>
      <c r="AL585" s="2" t="n">
        <f aca="false">IF(ISBLANK(B585),"",YEAR(B585))</f>
        <v>2024</v>
      </c>
      <c r="AM585" s="2" t="s">
        <v>41</v>
      </c>
      <c r="AN585" s="2" t="str">
        <f aca="false">IF(OR(W585="Invalid",AJ585="Invalid",AH585="Inconsistent",Z585="Mismatch",AD585="Mismatch",AM585="Yes",D585="Yes",E585="Yes"),"Invalid",IF(OR(J585="Yes",Q585="Yes",U585="Yes"),"Warning","Clean"))</f>
        <v>Clean</v>
      </c>
    </row>
    <row r="586" customFormat="false" ht="15" hidden="false" customHeight="false" outlineLevel="0" collapsed="false">
      <c r="A586" s="2" t="s">
        <v>1870</v>
      </c>
      <c r="B586" s="3" t="n">
        <v>45508</v>
      </c>
      <c r="C586" s="3" t="n">
        <v>45514</v>
      </c>
      <c r="D586" s="2" t="s">
        <v>41</v>
      </c>
      <c r="E586" s="2" t="s">
        <v>41</v>
      </c>
      <c r="F586" s="2" t="s">
        <v>1871</v>
      </c>
      <c r="G586" s="2" t="s">
        <v>91</v>
      </c>
      <c r="H586" s="2" t="s">
        <v>44</v>
      </c>
      <c r="I586" s="2" t="s">
        <v>58</v>
      </c>
      <c r="J586" s="2" t="s">
        <v>41</v>
      </c>
      <c r="K586" s="2" t="s">
        <v>165</v>
      </c>
      <c r="L586" s="2" t="s">
        <v>166</v>
      </c>
      <c r="M586" s="2" t="s">
        <v>48</v>
      </c>
      <c r="N586" s="2" t="s">
        <v>68</v>
      </c>
      <c r="O586" s="2" t="s">
        <v>1872</v>
      </c>
      <c r="P586" s="2" t="s">
        <v>64</v>
      </c>
      <c r="Q586" s="2" t="s">
        <v>41</v>
      </c>
      <c r="R586" s="2" t="n">
        <v>1</v>
      </c>
      <c r="S586" s="2" t="n">
        <v>984.93</v>
      </c>
      <c r="T586" s="2" t="n">
        <v>0.15</v>
      </c>
      <c r="U586" s="2" t="str">
        <f aca="false">IF(ISBLANK(T586),"Yes","No")</f>
        <v>No</v>
      </c>
      <c r="V586" s="2" t="n">
        <f aca="false">IF(ISBLANK(T586),0,IF(ISNUMBER(T586),T586,VALUE(LEFT(T586,LEN(T586)-1))/100))</f>
        <v>0.15</v>
      </c>
      <c r="W586" s="2" t="str">
        <f aca="false">IF(AND(V586&gt;=0,V586&lt;=0.25),"Valid","Invalid")</f>
        <v>Valid</v>
      </c>
      <c r="X586" s="2" t="n">
        <v>837.19</v>
      </c>
      <c r="Y586" s="2" t="n">
        <f aca="false">R586*S586*(1-V586)</f>
        <v>837.1905</v>
      </c>
      <c r="Z586" s="2" t="str">
        <f aca="false">IF(ABS(X586-Y586)&gt;1,"Mismatch","OK")</f>
        <v>OK</v>
      </c>
      <c r="AA586" s="2" t="n">
        <v>583.79</v>
      </c>
      <c r="AB586" s="2" t="n">
        <v>253.4</v>
      </c>
      <c r="AC586" s="2" t="n">
        <f aca="false">Y586-AA586</f>
        <v>253.4005</v>
      </c>
      <c r="AD586" s="2" t="str">
        <f aca="false">IF(ABS(AB586-AC586)&gt;1,"Mismatch","OK")</f>
        <v>OK</v>
      </c>
      <c r="AE586" s="4" t="n">
        <f aca="false">IF(Y586=0,0,AC586/Y586)</f>
        <v>0.302679617124179</v>
      </c>
      <c r="AF586" s="2" t="s">
        <v>131</v>
      </c>
      <c r="AG586" s="2" t="s">
        <v>123</v>
      </c>
      <c r="AH586" s="2" t="str">
        <f aca="false">IF(AND(AG586="Completed",AF586&lt;&gt;"Paid"),"Inconsistent","OK")</f>
        <v>OK</v>
      </c>
      <c r="AI586" s="2" t="n">
        <f aca="false">IF(OR(ISBLANK(B586),ISBLANK(C586)),"",C586-B586)</f>
        <v>6</v>
      </c>
      <c r="AJ586" s="2" t="str">
        <f aca="false">IF(AI586="","Unknown",IF(AI586&lt;0,"Invalid","OK"))</f>
        <v>OK</v>
      </c>
      <c r="AK586" s="2" t="str">
        <f aca="false">IF(ISBLANK(B586),"",TEXT(B586,"mmm"))</f>
        <v>Aug</v>
      </c>
      <c r="AL586" s="2" t="n">
        <f aca="false">IF(ISBLANK(B586),"",YEAR(B586))</f>
        <v>2024</v>
      </c>
      <c r="AM586" s="2" t="s">
        <v>41</v>
      </c>
      <c r="AN586" s="2" t="str">
        <f aca="false">IF(OR(W586="Invalid",AJ586="Invalid",AH586="Inconsistent",Z586="Mismatch",AD586="Mismatch",AM586="Yes",D586="Yes",E586="Yes"),"Invalid",IF(OR(J586="Yes",Q586="Yes",U586="Yes"),"Warning","Clean"))</f>
        <v>Clean</v>
      </c>
    </row>
    <row r="587" customFormat="false" ht="15" hidden="false" customHeight="false" outlineLevel="0" collapsed="false">
      <c r="A587" s="2" t="s">
        <v>1873</v>
      </c>
      <c r="B587" s="3" t="n">
        <v>45830</v>
      </c>
      <c r="C587" s="3" t="n">
        <v>45833</v>
      </c>
      <c r="D587" s="2" t="s">
        <v>41</v>
      </c>
      <c r="E587" s="2" t="s">
        <v>41</v>
      </c>
      <c r="F587" s="2" t="s">
        <v>1874</v>
      </c>
      <c r="G587" s="2" t="s">
        <v>182</v>
      </c>
      <c r="H587" s="2" t="s">
        <v>57</v>
      </c>
      <c r="I587" s="2" t="s">
        <v>83</v>
      </c>
      <c r="J587" s="2" t="s">
        <v>41</v>
      </c>
      <c r="K587" s="2" t="s">
        <v>84</v>
      </c>
      <c r="L587" s="2" t="s">
        <v>85</v>
      </c>
      <c r="M587" s="2" t="s">
        <v>94</v>
      </c>
      <c r="N587" s="2" t="s">
        <v>191</v>
      </c>
      <c r="O587" s="2" t="s">
        <v>1875</v>
      </c>
      <c r="P587" s="2" t="s">
        <v>70</v>
      </c>
      <c r="Q587" s="2" t="s">
        <v>41</v>
      </c>
      <c r="R587" s="2" t="n">
        <v>8</v>
      </c>
      <c r="S587" s="2" t="n">
        <v>3453.66</v>
      </c>
      <c r="T587" s="2" t="n">
        <v>0</v>
      </c>
      <c r="U587" s="2" t="str">
        <f aca="false">IF(ISBLANK(T587),"Yes","No")</f>
        <v>No</v>
      </c>
      <c r="V587" s="2" t="n">
        <f aca="false">IF(ISBLANK(T587),0,IF(ISNUMBER(T587),T587,VALUE(LEFT(T587,LEN(T587)-1))/100))</f>
        <v>0</v>
      </c>
      <c r="W587" s="2" t="str">
        <f aca="false">IF(AND(V587&gt;=0,V587&lt;=0.25),"Valid","Invalid")</f>
        <v>Valid</v>
      </c>
      <c r="X587" s="2" t="n">
        <v>27629.28</v>
      </c>
      <c r="Y587" s="2" t="n">
        <f aca="false">R587*S587*(1-V587)</f>
        <v>27629.28</v>
      </c>
      <c r="Z587" s="2" t="str">
        <f aca="false">IF(ABS(X587-Y587)&gt;1,"Mismatch","OK")</f>
        <v>OK</v>
      </c>
      <c r="AA587" s="2" t="n">
        <v>22026.48</v>
      </c>
      <c r="AB587" s="2" t="n">
        <v>5602.8</v>
      </c>
      <c r="AC587" s="2" t="n">
        <f aca="false">Y587-AA587</f>
        <v>5602.8</v>
      </c>
      <c r="AD587" s="2" t="str">
        <f aca="false">IF(ABS(AB587-AC587)&gt;1,"Mismatch","OK")</f>
        <v>OK</v>
      </c>
      <c r="AE587" s="4" t="n">
        <f aca="false">IF(Y587=0,0,AC587/Y587)</f>
        <v>0.202784871701326</v>
      </c>
      <c r="AF587" s="2" t="s">
        <v>52</v>
      </c>
      <c r="AG587" s="2" t="s">
        <v>53</v>
      </c>
      <c r="AH587" s="2" t="str">
        <f aca="false">IF(AND(AG587="Completed",AF587&lt;&gt;"Paid"),"Inconsistent","OK")</f>
        <v>OK</v>
      </c>
      <c r="AI587" s="2" t="n">
        <f aca="false">IF(OR(ISBLANK(B587),ISBLANK(C587)),"",C587-B587)</f>
        <v>3</v>
      </c>
      <c r="AJ587" s="2" t="str">
        <f aca="false">IF(AI587="","Unknown",IF(AI587&lt;0,"Invalid","OK"))</f>
        <v>OK</v>
      </c>
      <c r="AK587" s="2" t="str">
        <f aca="false">IF(ISBLANK(B587),"",TEXT(B587,"mmm"))</f>
        <v>Jun</v>
      </c>
      <c r="AL587" s="2" t="n">
        <f aca="false">IF(ISBLANK(B587),"",YEAR(B587))</f>
        <v>2025</v>
      </c>
      <c r="AM587" s="2" t="s">
        <v>41</v>
      </c>
      <c r="AN587" s="2" t="str">
        <f aca="false">IF(OR(W587="Invalid",AJ587="Invalid",AH587="Inconsistent",Z587="Mismatch",AD587="Mismatch",AM587="Yes",D587="Yes",E587="Yes"),"Invalid",IF(OR(J587="Yes",Q587="Yes",U587="Yes"),"Warning","Clean"))</f>
        <v>Clean</v>
      </c>
    </row>
    <row r="588" customFormat="false" ht="15" hidden="false" customHeight="false" outlineLevel="0" collapsed="false">
      <c r="A588" s="2" t="s">
        <v>1876</v>
      </c>
      <c r="B588" s="3" t="n">
        <v>45759</v>
      </c>
      <c r="C588" s="3" t="n">
        <v>45759</v>
      </c>
      <c r="D588" s="2" t="s">
        <v>41</v>
      </c>
      <c r="E588" s="2" t="s">
        <v>41</v>
      </c>
      <c r="F588" s="2" t="s">
        <v>1877</v>
      </c>
      <c r="G588" s="2" t="s">
        <v>56</v>
      </c>
      <c r="H588" s="2" t="s">
        <v>115</v>
      </c>
      <c r="I588" s="2" t="s">
        <v>45</v>
      </c>
      <c r="J588" s="2" t="s">
        <v>41</v>
      </c>
      <c r="K588" s="2" t="s">
        <v>142</v>
      </c>
      <c r="L588" s="2" t="s">
        <v>143</v>
      </c>
      <c r="M588" s="2" t="s">
        <v>48</v>
      </c>
      <c r="N588" s="2" t="s">
        <v>173</v>
      </c>
      <c r="O588" s="2" t="s">
        <v>1878</v>
      </c>
      <c r="P588" s="2" t="s">
        <v>51</v>
      </c>
      <c r="Q588" s="2" t="s">
        <v>41</v>
      </c>
      <c r="R588" s="2" t="n">
        <v>7</v>
      </c>
      <c r="S588" s="2" t="n">
        <v>1334.2</v>
      </c>
      <c r="T588" s="2" t="n">
        <v>0.2</v>
      </c>
      <c r="U588" s="2" t="str">
        <f aca="false">IF(ISBLANK(T588),"Yes","No")</f>
        <v>No</v>
      </c>
      <c r="V588" s="2" t="n">
        <f aca="false">IF(ISBLANK(T588),0,IF(ISNUMBER(T588),T588,VALUE(LEFT(T588,LEN(T588)-1))/100))</f>
        <v>0.2</v>
      </c>
      <c r="W588" s="2" t="str">
        <f aca="false">IF(AND(V588&gt;=0,V588&lt;=0.25),"Valid","Invalid")</f>
        <v>Valid</v>
      </c>
      <c r="X588" s="2" t="n">
        <v>7471.52</v>
      </c>
      <c r="Y588" s="2" t="n">
        <f aca="false">R588*S588*(1-V588)</f>
        <v>7471.52</v>
      </c>
      <c r="Z588" s="2" t="str">
        <f aca="false">IF(ABS(X588-Y588)&gt;1,"Mismatch","OK")</f>
        <v>OK</v>
      </c>
      <c r="AA588" s="2" t="n">
        <v>6184.32</v>
      </c>
      <c r="AB588" s="2" t="n">
        <v>1287.2</v>
      </c>
      <c r="AC588" s="2" t="n">
        <f aca="false">Y588-AA588</f>
        <v>1287.2</v>
      </c>
      <c r="AD588" s="2" t="str">
        <f aca="false">IF(ABS(AB588-AC588)&gt;1,"Mismatch","OK")</f>
        <v>OK</v>
      </c>
      <c r="AE588" s="4" t="n">
        <f aca="false">IF(Y588=0,0,AC588/Y588)</f>
        <v>0.172280874574384</v>
      </c>
      <c r="AF588" s="2" t="s">
        <v>52</v>
      </c>
      <c r="AG588" s="2" t="s">
        <v>53</v>
      </c>
      <c r="AH588" s="2" t="str">
        <f aca="false">IF(AND(AG588="Completed",AF588&lt;&gt;"Paid"),"Inconsistent","OK")</f>
        <v>OK</v>
      </c>
      <c r="AI588" s="2" t="n">
        <f aca="false">IF(OR(ISBLANK(B588),ISBLANK(C588)),"",C588-B588)</f>
        <v>0</v>
      </c>
      <c r="AJ588" s="2" t="str">
        <f aca="false">IF(AI588="","Unknown",IF(AI588&lt;0,"Invalid","OK"))</f>
        <v>OK</v>
      </c>
      <c r="AK588" s="2" t="str">
        <f aca="false">IF(ISBLANK(B588),"",TEXT(B588,"mmm"))</f>
        <v>Apr</v>
      </c>
      <c r="AL588" s="2" t="n">
        <f aca="false">IF(ISBLANK(B588),"",YEAR(B588))</f>
        <v>2025</v>
      </c>
      <c r="AM588" s="2" t="s">
        <v>41</v>
      </c>
      <c r="AN588" s="2" t="str">
        <f aca="false">IF(OR(W588="Invalid",AJ588="Invalid",AH588="Inconsistent",Z588="Mismatch",AD588="Mismatch",AM588="Yes",D588="Yes",E588="Yes"),"Invalid",IF(OR(J588="Yes",Q588="Yes",U588="Yes"),"Warning","Clean"))</f>
        <v>Clean</v>
      </c>
    </row>
    <row r="589" customFormat="false" ht="15" hidden="false" customHeight="false" outlineLevel="0" collapsed="false">
      <c r="A589" s="2" t="s">
        <v>1879</v>
      </c>
      <c r="B589" s="3" t="n">
        <v>45861</v>
      </c>
      <c r="C589" s="3" t="n">
        <v>45869</v>
      </c>
      <c r="D589" s="2" t="s">
        <v>41</v>
      </c>
      <c r="E589" s="2" t="s">
        <v>41</v>
      </c>
      <c r="F589" s="2" t="s">
        <v>1880</v>
      </c>
      <c r="G589" s="2" t="s">
        <v>286</v>
      </c>
      <c r="H589" s="2" t="s">
        <v>115</v>
      </c>
      <c r="I589" s="2" t="s">
        <v>83</v>
      </c>
      <c r="J589" s="2" t="s">
        <v>41</v>
      </c>
      <c r="K589" s="2" t="s">
        <v>92</v>
      </c>
      <c r="L589" s="2" t="s">
        <v>93</v>
      </c>
      <c r="M589" s="2" t="s">
        <v>94</v>
      </c>
      <c r="N589" s="2" t="s">
        <v>95</v>
      </c>
      <c r="O589" s="2" t="s">
        <v>1881</v>
      </c>
      <c r="P589" s="2" t="s">
        <v>70</v>
      </c>
      <c r="Q589" s="2" t="s">
        <v>41</v>
      </c>
      <c r="R589" s="2" t="n">
        <v>1</v>
      </c>
      <c r="S589" s="2" t="n">
        <v>4253.84</v>
      </c>
      <c r="T589" s="2" t="n">
        <v>0.15</v>
      </c>
      <c r="U589" s="2" t="str">
        <f aca="false">IF(ISBLANK(T589),"Yes","No")</f>
        <v>No</v>
      </c>
      <c r="V589" s="2" t="n">
        <f aca="false">IF(ISBLANK(T589),0,IF(ISNUMBER(T589),T589,VALUE(LEFT(T589,LEN(T589)-1))/100))</f>
        <v>0.15</v>
      </c>
      <c r="W589" s="2" t="str">
        <f aca="false">IF(AND(V589&gt;=0,V589&lt;=0.25),"Valid","Invalid")</f>
        <v>Valid</v>
      </c>
      <c r="X589" s="2" t="n">
        <v>3615.76</v>
      </c>
      <c r="Y589" s="2" t="n">
        <f aca="false">R589*S589*(1-V589)</f>
        <v>3615.764</v>
      </c>
      <c r="Z589" s="2" t="str">
        <f aca="false">IF(ABS(X589-Y589)&gt;1,"Mismatch","OK")</f>
        <v>OK</v>
      </c>
      <c r="AA589" s="2" t="n">
        <v>2951.52</v>
      </c>
      <c r="AB589" s="2" t="n">
        <v>664.24</v>
      </c>
      <c r="AC589" s="2" t="n">
        <f aca="false">Y589-AA589</f>
        <v>664.244</v>
      </c>
      <c r="AD589" s="2" t="str">
        <f aca="false">IF(ABS(AB589-AC589)&gt;1,"Mismatch","OK")</f>
        <v>OK</v>
      </c>
      <c r="AE589" s="4" t="n">
        <f aca="false">IF(Y589=0,0,AC589/Y589)</f>
        <v>0.183707786238261</v>
      </c>
      <c r="AF589" s="2" t="s">
        <v>122</v>
      </c>
      <c r="AG589" s="2" t="s">
        <v>88</v>
      </c>
      <c r="AH589" s="2" t="str">
        <f aca="false">IF(AND(AG589="Completed",AF589&lt;&gt;"Paid"),"Inconsistent","OK")</f>
        <v>OK</v>
      </c>
      <c r="AI589" s="2" t="n">
        <f aca="false">IF(OR(ISBLANK(B589),ISBLANK(C589)),"",C589-B589)</f>
        <v>8</v>
      </c>
      <c r="AJ589" s="2" t="str">
        <f aca="false">IF(AI589="","Unknown",IF(AI589&lt;0,"Invalid","OK"))</f>
        <v>OK</v>
      </c>
      <c r="AK589" s="2" t="str">
        <f aca="false">IF(ISBLANK(B589),"",TEXT(B589,"mmm"))</f>
        <v>Jul</v>
      </c>
      <c r="AL589" s="2" t="n">
        <f aca="false">IF(ISBLANK(B589),"",YEAR(B589))</f>
        <v>2025</v>
      </c>
      <c r="AM589" s="2" t="s">
        <v>41</v>
      </c>
      <c r="AN589" s="2" t="str">
        <f aca="false">IF(OR(W589="Invalid",AJ589="Invalid",AH589="Inconsistent",Z589="Mismatch",AD589="Mismatch",AM589="Yes",D589="Yes",E589="Yes"),"Invalid",IF(OR(J589="Yes",Q589="Yes",U589="Yes"),"Warning","Clean"))</f>
        <v>Clean</v>
      </c>
    </row>
    <row r="590" customFormat="false" ht="15" hidden="false" customHeight="false" outlineLevel="0" collapsed="false">
      <c r="A590" s="2" t="s">
        <v>1882</v>
      </c>
      <c r="B590" s="3" t="n">
        <v>45727</v>
      </c>
      <c r="C590" s="3" t="n">
        <v>45731</v>
      </c>
      <c r="D590" s="2" t="s">
        <v>41</v>
      </c>
      <c r="E590" s="2" t="s">
        <v>41</v>
      </c>
      <c r="F590" s="2" t="s">
        <v>1883</v>
      </c>
      <c r="G590" s="2" t="s">
        <v>148</v>
      </c>
      <c r="H590" s="2" t="s">
        <v>115</v>
      </c>
      <c r="I590" s="2" t="s">
        <v>74</v>
      </c>
      <c r="J590" s="2" t="s">
        <v>41</v>
      </c>
      <c r="K590" s="2" t="s">
        <v>195</v>
      </c>
      <c r="L590" s="2" t="s">
        <v>196</v>
      </c>
      <c r="M590" s="2" t="s">
        <v>94</v>
      </c>
      <c r="N590" s="2" t="s">
        <v>95</v>
      </c>
      <c r="O590" s="2" t="s">
        <v>1884</v>
      </c>
      <c r="P590" s="2" t="s">
        <v>51</v>
      </c>
      <c r="Q590" s="2" t="s">
        <v>41</v>
      </c>
      <c r="R590" s="2" t="n">
        <v>8</v>
      </c>
      <c r="S590" s="2" t="n">
        <v>4446.36</v>
      </c>
      <c r="T590" s="2" t="n">
        <v>0.1</v>
      </c>
      <c r="U590" s="2" t="str">
        <f aca="false">IF(ISBLANK(T590),"Yes","No")</f>
        <v>No</v>
      </c>
      <c r="V590" s="2" t="n">
        <f aca="false">IF(ISBLANK(T590),0,IF(ISNUMBER(T590),T590,VALUE(LEFT(T590,LEN(T590)-1))/100))</f>
        <v>0.1</v>
      </c>
      <c r="W590" s="2" t="str">
        <f aca="false">IF(AND(V590&gt;=0,V590&lt;=0.25),"Valid","Invalid")</f>
        <v>Valid</v>
      </c>
      <c r="X590" s="2" t="n">
        <v>32013.79</v>
      </c>
      <c r="Y590" s="2" t="n">
        <f aca="false">R590*S590*(1-V590)</f>
        <v>32013.792</v>
      </c>
      <c r="Z590" s="2" t="str">
        <f aca="false">IF(ABS(X590-Y590)&gt;1,"Mismatch","OK")</f>
        <v>OK</v>
      </c>
      <c r="AA590" s="2" t="n">
        <v>20896.88</v>
      </c>
      <c r="AB590" s="2" t="n">
        <v>11116.91</v>
      </c>
      <c r="AC590" s="2" t="n">
        <f aca="false">Y590-AA590</f>
        <v>11116.912</v>
      </c>
      <c r="AD590" s="2" t="str">
        <f aca="false">IF(ABS(AB590-AC590)&gt;1,"Mismatch","OK")</f>
        <v>OK</v>
      </c>
      <c r="AE590" s="4" t="n">
        <f aca="false">IF(Y590=0,0,AC590/Y590)</f>
        <v>0.347253833597719</v>
      </c>
      <c r="AF590" s="2" t="s">
        <v>122</v>
      </c>
      <c r="AG590" s="2" t="s">
        <v>88</v>
      </c>
      <c r="AH590" s="2" t="str">
        <f aca="false">IF(AND(AG590="Completed",AF590&lt;&gt;"Paid"),"Inconsistent","OK")</f>
        <v>OK</v>
      </c>
      <c r="AI590" s="2" t="n">
        <f aca="false">IF(OR(ISBLANK(B590),ISBLANK(C590)),"",C590-B590)</f>
        <v>4</v>
      </c>
      <c r="AJ590" s="2" t="str">
        <f aca="false">IF(AI590="","Unknown",IF(AI590&lt;0,"Invalid","OK"))</f>
        <v>OK</v>
      </c>
      <c r="AK590" s="2" t="str">
        <f aca="false">IF(ISBLANK(B590),"",TEXT(B590,"mmm"))</f>
        <v>Mar</v>
      </c>
      <c r="AL590" s="2" t="n">
        <f aca="false">IF(ISBLANK(B590),"",YEAR(B590))</f>
        <v>2025</v>
      </c>
      <c r="AM590" s="2" t="s">
        <v>41</v>
      </c>
      <c r="AN590" s="2" t="str">
        <f aca="false">IF(OR(W590="Invalid",AJ590="Invalid",AH590="Inconsistent",Z590="Mismatch",AD590="Mismatch",AM590="Yes",D590="Yes",E590="Yes"),"Invalid",IF(OR(J590="Yes",Q590="Yes",U590="Yes"),"Warning","Clean"))</f>
        <v>Clean</v>
      </c>
    </row>
    <row r="591" customFormat="false" ht="15" hidden="false" customHeight="false" outlineLevel="0" collapsed="false">
      <c r="A591" s="2" t="s">
        <v>1885</v>
      </c>
      <c r="B591" s="3" t="n">
        <v>45632</v>
      </c>
      <c r="C591" s="3" t="n">
        <v>45638</v>
      </c>
      <c r="D591" s="2" t="s">
        <v>41</v>
      </c>
      <c r="E591" s="2" t="s">
        <v>41</v>
      </c>
      <c r="F591" s="2" t="s">
        <v>1886</v>
      </c>
      <c r="G591" s="2" t="s">
        <v>161</v>
      </c>
      <c r="H591" s="2" t="s">
        <v>110</v>
      </c>
      <c r="I591" s="2" t="s">
        <v>45</v>
      </c>
      <c r="J591" s="2" t="s">
        <v>41</v>
      </c>
      <c r="K591" s="2" t="s">
        <v>156</v>
      </c>
      <c r="L591" s="2" t="s">
        <v>157</v>
      </c>
      <c r="M591" s="2" t="s">
        <v>94</v>
      </c>
      <c r="N591" s="2" t="s">
        <v>191</v>
      </c>
      <c r="O591" s="2" t="s">
        <v>1887</v>
      </c>
      <c r="P591" s="2" t="s">
        <v>70</v>
      </c>
      <c r="Q591" s="2" t="s">
        <v>41</v>
      </c>
      <c r="R591" s="2" t="n">
        <v>3</v>
      </c>
      <c r="S591" s="2" t="n">
        <v>524.75</v>
      </c>
      <c r="T591" s="2" t="n">
        <v>0</v>
      </c>
      <c r="U591" s="2" t="str">
        <f aca="false">IF(ISBLANK(T591),"Yes","No")</f>
        <v>No</v>
      </c>
      <c r="V591" s="2" t="n">
        <f aca="false">IF(ISBLANK(T591),0,IF(ISNUMBER(T591),T591,VALUE(LEFT(T591,LEN(T591)-1))/100))</f>
        <v>0</v>
      </c>
      <c r="W591" s="2" t="str">
        <f aca="false">IF(AND(V591&gt;=0,V591&lt;=0.25),"Valid","Invalid")</f>
        <v>Valid</v>
      </c>
      <c r="X591" s="2" t="n">
        <v>1574.25</v>
      </c>
      <c r="Y591" s="2" t="n">
        <f aca="false">R591*S591*(1-V591)</f>
        <v>1574.25</v>
      </c>
      <c r="Z591" s="2" t="str">
        <f aca="false">IF(ABS(X591-Y591)&gt;1,"Mismatch","OK")</f>
        <v>OK</v>
      </c>
      <c r="AA591" s="2" t="n">
        <v>1326.12</v>
      </c>
      <c r="AB591" s="2" t="n">
        <v>248.13</v>
      </c>
      <c r="AC591" s="2" t="n">
        <f aca="false">Y591-AA591</f>
        <v>248.13</v>
      </c>
      <c r="AD591" s="2" t="str">
        <f aca="false">IF(ABS(AB591-AC591)&gt;1,"Mismatch","OK")</f>
        <v>OK</v>
      </c>
      <c r="AE591" s="4" t="n">
        <f aca="false">IF(Y591=0,0,AC591/Y591)</f>
        <v>0.157617913292044</v>
      </c>
      <c r="AF591" s="2" t="s">
        <v>52</v>
      </c>
      <c r="AG591" s="2" t="s">
        <v>53</v>
      </c>
      <c r="AH591" s="2" t="str">
        <f aca="false">IF(AND(AG591="Completed",AF591&lt;&gt;"Paid"),"Inconsistent","OK")</f>
        <v>OK</v>
      </c>
      <c r="AI591" s="2" t="n">
        <f aca="false">IF(OR(ISBLANK(B591),ISBLANK(C591)),"",C591-B591)</f>
        <v>6</v>
      </c>
      <c r="AJ591" s="2" t="str">
        <f aca="false">IF(AI591="","Unknown",IF(AI591&lt;0,"Invalid","OK"))</f>
        <v>OK</v>
      </c>
      <c r="AK591" s="2" t="str">
        <f aca="false">IF(ISBLANK(B591),"",TEXT(B591,"mmm"))</f>
        <v>Dec</v>
      </c>
      <c r="AL591" s="2" t="n">
        <f aca="false">IF(ISBLANK(B591),"",YEAR(B591))</f>
        <v>2024</v>
      </c>
      <c r="AM591" s="2" t="s">
        <v>41</v>
      </c>
      <c r="AN591" s="2" t="str">
        <f aca="false">IF(OR(W591="Invalid",AJ591="Invalid",AH591="Inconsistent",Z591="Mismatch",AD591="Mismatch",AM591="Yes",D591="Yes",E591="Yes"),"Invalid",IF(OR(J591="Yes",Q591="Yes",U591="Yes"),"Warning","Clean"))</f>
        <v>Clean</v>
      </c>
    </row>
    <row r="592" customFormat="false" ht="15" hidden="false" customHeight="false" outlineLevel="0" collapsed="false">
      <c r="A592" s="2" t="s">
        <v>1888</v>
      </c>
      <c r="B592" s="3" t="n">
        <v>45441</v>
      </c>
      <c r="C592" s="3" t="n">
        <v>45441</v>
      </c>
      <c r="D592" s="2" t="s">
        <v>41</v>
      </c>
      <c r="E592" s="2" t="s">
        <v>41</v>
      </c>
      <c r="F592" s="2" t="s">
        <v>1889</v>
      </c>
      <c r="G592" s="2" t="s">
        <v>148</v>
      </c>
      <c r="H592" s="2" t="s">
        <v>115</v>
      </c>
      <c r="I592" s="2" t="s">
        <v>45</v>
      </c>
      <c r="J592" s="2" t="s">
        <v>41</v>
      </c>
      <c r="K592" s="2" t="s">
        <v>372</v>
      </c>
      <c r="L592" s="2" t="s">
        <v>373</v>
      </c>
      <c r="M592" s="2" t="s">
        <v>61</v>
      </c>
      <c r="N592" s="2" t="s">
        <v>86</v>
      </c>
      <c r="O592" s="2" t="s">
        <v>1890</v>
      </c>
      <c r="P592" s="2" t="s">
        <v>64</v>
      </c>
      <c r="Q592" s="2" t="s">
        <v>41</v>
      </c>
      <c r="R592" s="2" t="n">
        <v>6</v>
      </c>
      <c r="S592" s="2" t="n">
        <v>3430.35</v>
      </c>
      <c r="T592" s="2" t="n">
        <v>0</v>
      </c>
      <c r="U592" s="2" t="str">
        <f aca="false">IF(ISBLANK(T592),"Yes","No")</f>
        <v>No</v>
      </c>
      <c r="V592" s="2" t="n">
        <f aca="false">IF(ISBLANK(T592),0,IF(ISNUMBER(T592),T592,VALUE(LEFT(T592,LEN(T592)-1))/100))</f>
        <v>0</v>
      </c>
      <c r="W592" s="2" t="str">
        <f aca="false">IF(AND(V592&gt;=0,V592&lt;=0.25),"Valid","Invalid")</f>
        <v>Valid</v>
      </c>
      <c r="X592" s="2" t="n">
        <v>20582.1</v>
      </c>
      <c r="Y592" s="2" t="n">
        <f aca="false">R592*S592*(1-V592)</f>
        <v>20582.1</v>
      </c>
      <c r="Z592" s="2" t="str">
        <f aca="false">IF(ABS(X592-Y592)&gt;1,"Mismatch","OK")</f>
        <v>OK</v>
      </c>
      <c r="AA592" s="2" t="n">
        <v>15897.65</v>
      </c>
      <c r="AB592" s="2" t="n">
        <v>4684.45</v>
      </c>
      <c r="AC592" s="2" t="n">
        <f aca="false">Y592-AA592</f>
        <v>4684.45</v>
      </c>
      <c r="AD592" s="2" t="str">
        <f aca="false">IF(ABS(AB592-AC592)&gt;1,"Mismatch","OK")</f>
        <v>OK</v>
      </c>
      <c r="AE592" s="4" t="n">
        <f aca="false">IF(Y592=0,0,AC592/Y592)</f>
        <v>0.227598252850778</v>
      </c>
      <c r="AF592" s="2" t="s">
        <v>131</v>
      </c>
      <c r="AG592" s="2" t="s">
        <v>88</v>
      </c>
      <c r="AH592" s="2" t="str">
        <f aca="false">IF(AND(AG592="Completed",AF592&lt;&gt;"Paid"),"Inconsistent","OK")</f>
        <v>OK</v>
      </c>
      <c r="AI592" s="2" t="n">
        <f aca="false">IF(OR(ISBLANK(B592),ISBLANK(C592)),"",C592-B592)</f>
        <v>0</v>
      </c>
      <c r="AJ592" s="2" t="str">
        <f aca="false">IF(AI592="","Unknown",IF(AI592&lt;0,"Invalid","OK"))</f>
        <v>OK</v>
      </c>
      <c r="AK592" s="2" t="str">
        <f aca="false">IF(ISBLANK(B592),"",TEXT(B592,"mmm"))</f>
        <v>May</v>
      </c>
      <c r="AL592" s="2" t="n">
        <f aca="false">IF(ISBLANK(B592),"",YEAR(B592))</f>
        <v>2024</v>
      </c>
      <c r="AM592" s="2" t="s">
        <v>41</v>
      </c>
      <c r="AN592" s="2" t="str">
        <f aca="false">IF(OR(W592="Invalid",AJ592="Invalid",AH592="Inconsistent",Z592="Mismatch",AD592="Mismatch",AM592="Yes",D592="Yes",E592="Yes"),"Invalid",IF(OR(J592="Yes",Q592="Yes",U592="Yes"),"Warning","Clean"))</f>
        <v>Clean</v>
      </c>
    </row>
    <row r="593" customFormat="false" ht="15" hidden="false" customHeight="false" outlineLevel="0" collapsed="false">
      <c r="A593" s="2" t="s">
        <v>1891</v>
      </c>
      <c r="B593" s="3" t="n">
        <v>45344</v>
      </c>
      <c r="C593" s="3" t="n">
        <v>45346</v>
      </c>
      <c r="D593" s="2" t="s">
        <v>41</v>
      </c>
      <c r="E593" s="2" t="s">
        <v>41</v>
      </c>
      <c r="F593" s="2" t="s">
        <v>1892</v>
      </c>
      <c r="G593" s="2" t="s">
        <v>152</v>
      </c>
      <c r="H593" s="2" t="s">
        <v>44</v>
      </c>
      <c r="I593" s="2" t="s">
        <v>74</v>
      </c>
      <c r="J593" s="2" t="s">
        <v>41</v>
      </c>
      <c r="K593" s="2" t="s">
        <v>195</v>
      </c>
      <c r="L593" s="2" t="s">
        <v>196</v>
      </c>
      <c r="M593" s="2" t="s">
        <v>94</v>
      </c>
      <c r="N593" s="2" t="s">
        <v>100</v>
      </c>
      <c r="O593" s="2" t="s">
        <v>1893</v>
      </c>
      <c r="P593" s="2" t="s">
        <v>70</v>
      </c>
      <c r="Q593" s="2" t="s">
        <v>41</v>
      </c>
      <c r="R593" s="2" t="n">
        <v>3</v>
      </c>
      <c r="S593" s="2" t="n">
        <v>3545.08</v>
      </c>
      <c r="T593" s="2" t="n">
        <v>0</v>
      </c>
      <c r="U593" s="2" t="str">
        <f aca="false">IF(ISBLANK(T593),"Yes","No")</f>
        <v>No</v>
      </c>
      <c r="V593" s="2" t="n">
        <f aca="false">IF(ISBLANK(T593),0,IF(ISNUMBER(T593),T593,VALUE(LEFT(T593,LEN(T593)-1))/100))</f>
        <v>0</v>
      </c>
      <c r="W593" s="2" t="str">
        <f aca="false">IF(AND(V593&gt;=0,V593&lt;=0.25),"Valid","Invalid")</f>
        <v>Valid</v>
      </c>
      <c r="X593" s="2" t="n">
        <v>10635.24</v>
      </c>
      <c r="Y593" s="2" t="n">
        <f aca="false">R593*S593*(1-V593)</f>
        <v>10635.24</v>
      </c>
      <c r="Z593" s="2" t="str">
        <f aca="false">IF(ABS(X593-Y593)&gt;1,"Mismatch","OK")</f>
        <v>OK</v>
      </c>
      <c r="AA593" s="2" t="n">
        <v>6031.88</v>
      </c>
      <c r="AB593" s="2" t="n">
        <v>4603.36</v>
      </c>
      <c r="AC593" s="2" t="n">
        <f aca="false">Y593-AA593</f>
        <v>4603.36</v>
      </c>
      <c r="AD593" s="2" t="str">
        <f aca="false">IF(ABS(AB593-AC593)&gt;1,"Mismatch","OK")</f>
        <v>OK</v>
      </c>
      <c r="AE593" s="4" t="n">
        <f aca="false">IF(Y593=0,0,AC593/Y593)</f>
        <v>0.432840255603071</v>
      </c>
      <c r="AF593" s="2" t="s">
        <v>175</v>
      </c>
      <c r="AG593" s="2" t="s">
        <v>123</v>
      </c>
      <c r="AH593" s="2" t="str">
        <f aca="false">IF(AND(AG593="Completed",AF593&lt;&gt;"Paid"),"Inconsistent","OK")</f>
        <v>OK</v>
      </c>
      <c r="AI593" s="2" t="n">
        <f aca="false">IF(OR(ISBLANK(B593),ISBLANK(C593)),"",C593-B593)</f>
        <v>2</v>
      </c>
      <c r="AJ593" s="2" t="str">
        <f aca="false">IF(AI593="","Unknown",IF(AI593&lt;0,"Invalid","OK"))</f>
        <v>OK</v>
      </c>
      <c r="AK593" s="2" t="str">
        <f aca="false">IF(ISBLANK(B593),"",TEXT(B593,"mmm"))</f>
        <v>Feb</v>
      </c>
      <c r="AL593" s="2" t="n">
        <f aca="false">IF(ISBLANK(B593),"",YEAR(B593))</f>
        <v>2024</v>
      </c>
      <c r="AM593" s="2" t="s">
        <v>41</v>
      </c>
      <c r="AN593" s="2" t="str">
        <f aca="false">IF(OR(W593="Invalid",AJ593="Invalid",AH593="Inconsistent",Z593="Mismatch",AD593="Mismatch",AM593="Yes",D593="Yes",E593="Yes"),"Invalid",IF(OR(J593="Yes",Q593="Yes",U593="Yes"),"Warning","Clean"))</f>
        <v>Clean</v>
      </c>
    </row>
    <row r="594" customFormat="false" ht="15" hidden="false" customHeight="false" outlineLevel="0" collapsed="false">
      <c r="A594" s="2" t="s">
        <v>1894</v>
      </c>
      <c r="B594" s="3" t="n">
        <v>45355</v>
      </c>
      <c r="C594" s="3" t="n">
        <v>45360</v>
      </c>
      <c r="D594" s="2" t="s">
        <v>41</v>
      </c>
      <c r="E594" s="2" t="s">
        <v>41</v>
      </c>
      <c r="F594" s="2" t="s">
        <v>1895</v>
      </c>
      <c r="G594" s="2" t="s">
        <v>56</v>
      </c>
      <c r="H594" s="2" t="s">
        <v>44</v>
      </c>
      <c r="I594" s="2" t="s">
        <v>58</v>
      </c>
      <c r="J594" s="2" t="s">
        <v>41</v>
      </c>
      <c r="K594" s="2" t="s">
        <v>119</v>
      </c>
      <c r="L594" s="2" t="s">
        <v>120</v>
      </c>
      <c r="M594" s="2" t="s">
        <v>94</v>
      </c>
      <c r="N594" s="2" t="s">
        <v>95</v>
      </c>
      <c r="O594" s="2" t="s">
        <v>1896</v>
      </c>
      <c r="P594" s="2" t="s">
        <v>64</v>
      </c>
      <c r="Q594" s="2" t="s">
        <v>41</v>
      </c>
      <c r="R594" s="2" t="n">
        <v>8</v>
      </c>
      <c r="S594" s="2" t="n">
        <v>4401.41</v>
      </c>
      <c r="T594" s="2" t="n">
        <v>0.15</v>
      </c>
      <c r="U594" s="2" t="str">
        <f aca="false">IF(ISBLANK(T594),"Yes","No")</f>
        <v>No</v>
      </c>
      <c r="V594" s="2" t="n">
        <f aca="false">IF(ISBLANK(T594),0,IF(ISNUMBER(T594),T594,VALUE(LEFT(T594,LEN(T594)-1))/100))</f>
        <v>0.15</v>
      </c>
      <c r="W594" s="2" t="str">
        <f aca="false">IF(AND(V594&gt;=0,V594&lt;=0.25),"Valid","Invalid")</f>
        <v>Valid</v>
      </c>
      <c r="X594" s="2" t="n">
        <v>29929.59</v>
      </c>
      <c r="Y594" s="2" t="n">
        <f aca="false">R594*S594*(1-V594)</f>
        <v>29929.588</v>
      </c>
      <c r="Z594" s="2" t="str">
        <f aca="false">IF(ABS(X594-Y594)&gt;1,"Mismatch","OK")</f>
        <v>OK</v>
      </c>
      <c r="AA594" s="2" t="n">
        <v>22436.03</v>
      </c>
      <c r="AB594" s="2" t="n">
        <v>7493.56</v>
      </c>
      <c r="AC594" s="2" t="n">
        <f aca="false">Y594-AA594</f>
        <v>7493.558</v>
      </c>
      <c r="AD594" s="2" t="str">
        <f aca="false">IF(ABS(AB594-AC594)&gt;1,"Mismatch","OK")</f>
        <v>OK</v>
      </c>
      <c r="AE594" s="4" t="n">
        <f aca="false">IF(Y594=0,0,AC594/Y594)</f>
        <v>0.250372908574619</v>
      </c>
      <c r="AF594" s="2" t="s">
        <v>52</v>
      </c>
      <c r="AG594" s="2" t="s">
        <v>53</v>
      </c>
      <c r="AH594" s="2" t="str">
        <f aca="false">IF(AND(AG594="Completed",AF594&lt;&gt;"Paid"),"Inconsistent","OK")</f>
        <v>OK</v>
      </c>
      <c r="AI594" s="2" t="n">
        <f aca="false">IF(OR(ISBLANK(B594),ISBLANK(C594)),"",C594-B594)</f>
        <v>5</v>
      </c>
      <c r="AJ594" s="2" t="str">
        <f aca="false">IF(AI594="","Unknown",IF(AI594&lt;0,"Invalid","OK"))</f>
        <v>OK</v>
      </c>
      <c r="AK594" s="2" t="str">
        <f aca="false">IF(ISBLANK(B594),"",TEXT(B594,"mmm"))</f>
        <v>Mar</v>
      </c>
      <c r="AL594" s="2" t="n">
        <f aca="false">IF(ISBLANK(B594),"",YEAR(B594))</f>
        <v>2024</v>
      </c>
      <c r="AM594" s="2" t="s">
        <v>41</v>
      </c>
      <c r="AN594" s="2" t="str">
        <f aca="false">IF(OR(W594="Invalid",AJ594="Invalid",AH594="Inconsistent",Z594="Mismatch",AD594="Mismatch",AM594="Yes",D594="Yes",E594="Yes"),"Invalid",IF(OR(J594="Yes",Q594="Yes",U594="Yes"),"Warning","Clean"))</f>
        <v>Clean</v>
      </c>
    </row>
    <row r="595" customFormat="false" ht="15" hidden="false" customHeight="false" outlineLevel="0" collapsed="false">
      <c r="A595" s="2" t="s">
        <v>1897</v>
      </c>
      <c r="B595" s="3" t="n">
        <v>45927</v>
      </c>
      <c r="C595" s="3" t="n">
        <v>45929</v>
      </c>
      <c r="D595" s="2" t="s">
        <v>41</v>
      </c>
      <c r="E595" s="2" t="s">
        <v>41</v>
      </c>
      <c r="F595" s="2" t="s">
        <v>1688</v>
      </c>
      <c r="G595" s="2" t="s">
        <v>73</v>
      </c>
      <c r="H595" s="2" t="s">
        <v>115</v>
      </c>
      <c r="I595" s="2" t="s">
        <v>45</v>
      </c>
      <c r="J595" s="2" t="s">
        <v>41</v>
      </c>
      <c r="K595" s="2" t="s">
        <v>156</v>
      </c>
      <c r="L595" s="2" t="s">
        <v>157</v>
      </c>
      <c r="M595" s="2" t="s">
        <v>61</v>
      </c>
      <c r="N595" s="2" t="s">
        <v>62</v>
      </c>
      <c r="O595" s="2" t="s">
        <v>1898</v>
      </c>
      <c r="P595" s="2" t="s">
        <v>51</v>
      </c>
      <c r="Q595" s="2" t="s">
        <v>41</v>
      </c>
      <c r="R595" s="2" t="n">
        <v>9</v>
      </c>
      <c r="S595" s="2" t="n">
        <v>4100.11</v>
      </c>
      <c r="T595" s="2" t="n">
        <v>0.25</v>
      </c>
      <c r="U595" s="2" t="str">
        <f aca="false">IF(ISBLANK(T595),"Yes","No")</f>
        <v>No</v>
      </c>
      <c r="V595" s="2" t="n">
        <f aca="false">IF(ISBLANK(T595),0,IF(ISNUMBER(T595),T595,VALUE(LEFT(T595,LEN(T595)-1))/100))</f>
        <v>0.25</v>
      </c>
      <c r="W595" s="2" t="str">
        <f aca="false">IF(AND(V595&gt;=0,V595&lt;=0.25),"Valid","Invalid")</f>
        <v>Valid</v>
      </c>
      <c r="X595" s="2" t="n">
        <v>27675.74</v>
      </c>
      <c r="Y595" s="2" t="n">
        <f aca="false">R595*S595*(1-V595)</f>
        <v>27675.7425</v>
      </c>
      <c r="Z595" s="2" t="str">
        <f aca="false">IF(ABS(X595-Y595)&gt;1,"Mismatch","OK")</f>
        <v>OK</v>
      </c>
      <c r="AA595" s="2" t="n">
        <v>15571.08</v>
      </c>
      <c r="AB595" s="2" t="n">
        <v>12104.66</v>
      </c>
      <c r="AC595" s="2" t="n">
        <f aca="false">Y595-AA595</f>
        <v>12104.6625</v>
      </c>
      <c r="AD595" s="2" t="str">
        <f aca="false">IF(ABS(AB595-AC595)&gt;1,"Mismatch","OK")</f>
        <v>OK</v>
      </c>
      <c r="AE595" s="4" t="n">
        <f aca="false">IF(Y595=0,0,AC595/Y595)</f>
        <v>0.437374444425475</v>
      </c>
      <c r="AF595" s="2" t="s">
        <v>52</v>
      </c>
      <c r="AG595" s="2" t="s">
        <v>53</v>
      </c>
      <c r="AH595" s="2" t="str">
        <f aca="false">IF(AND(AG595="Completed",AF595&lt;&gt;"Paid"),"Inconsistent","OK")</f>
        <v>OK</v>
      </c>
      <c r="AI595" s="2" t="n">
        <f aca="false">IF(OR(ISBLANK(B595),ISBLANK(C595)),"",C595-B595)</f>
        <v>2</v>
      </c>
      <c r="AJ595" s="2" t="str">
        <f aca="false">IF(AI595="","Unknown",IF(AI595&lt;0,"Invalid","OK"))</f>
        <v>OK</v>
      </c>
      <c r="AK595" s="2" t="str">
        <f aca="false">IF(ISBLANK(B595),"",TEXT(B595,"mmm"))</f>
        <v>Sep</v>
      </c>
      <c r="AL595" s="2" t="n">
        <f aca="false">IF(ISBLANK(B595),"",YEAR(B595))</f>
        <v>2025</v>
      </c>
      <c r="AM595" s="2" t="s">
        <v>41</v>
      </c>
      <c r="AN595" s="2" t="str">
        <f aca="false">IF(OR(W595="Invalid",AJ595="Invalid",AH595="Inconsistent",Z595="Mismatch",AD595="Mismatch",AM595="Yes",D595="Yes",E595="Yes"),"Invalid",IF(OR(J595="Yes",Q595="Yes",U595="Yes"),"Warning","Clean"))</f>
        <v>Clean</v>
      </c>
    </row>
    <row r="596" customFormat="false" ht="15" hidden="false" customHeight="false" outlineLevel="0" collapsed="false">
      <c r="A596" s="2" t="s">
        <v>1899</v>
      </c>
      <c r="B596" s="3" t="n">
        <v>45554</v>
      </c>
      <c r="C596" s="3" t="n">
        <v>45556</v>
      </c>
      <c r="D596" s="2" t="s">
        <v>41</v>
      </c>
      <c r="E596" s="2" t="s">
        <v>41</v>
      </c>
      <c r="F596" s="2" t="s">
        <v>1900</v>
      </c>
      <c r="G596" s="2" t="s">
        <v>43</v>
      </c>
      <c r="H596" s="2" t="s">
        <v>57</v>
      </c>
      <c r="I596" s="2" t="s">
        <v>58</v>
      </c>
      <c r="J596" s="2" t="s">
        <v>41</v>
      </c>
      <c r="K596" s="2" t="s">
        <v>119</v>
      </c>
      <c r="L596" s="2" t="s">
        <v>120</v>
      </c>
      <c r="M596" s="2" t="s">
        <v>61</v>
      </c>
      <c r="N596" s="2" t="s">
        <v>86</v>
      </c>
      <c r="O596" s="2" t="s">
        <v>1901</v>
      </c>
      <c r="P596" s="2" t="s">
        <v>70</v>
      </c>
      <c r="Q596" s="2" t="s">
        <v>41</v>
      </c>
      <c r="R596" s="2" t="n">
        <v>3</v>
      </c>
      <c r="S596" s="2" t="n">
        <v>3981.76</v>
      </c>
      <c r="T596" s="2" t="n">
        <v>0</v>
      </c>
      <c r="U596" s="2" t="str">
        <f aca="false">IF(ISBLANK(T596),"Yes","No")</f>
        <v>No</v>
      </c>
      <c r="V596" s="2" t="n">
        <f aca="false">IF(ISBLANK(T596),0,IF(ISNUMBER(T596),T596,VALUE(LEFT(T596,LEN(T596)-1))/100))</f>
        <v>0</v>
      </c>
      <c r="W596" s="2" t="str">
        <f aca="false">IF(AND(V596&gt;=0,V596&lt;=0.25),"Valid","Invalid")</f>
        <v>Valid</v>
      </c>
      <c r="X596" s="2" t="n">
        <v>11945.28</v>
      </c>
      <c r="Y596" s="2" t="n">
        <f aca="false">R596*S596*(1-V596)</f>
        <v>11945.28</v>
      </c>
      <c r="Z596" s="2" t="str">
        <f aca="false">IF(ABS(X596-Y596)&gt;1,"Mismatch","OK")</f>
        <v>OK</v>
      </c>
      <c r="AA596" s="2" t="n">
        <v>9700.31</v>
      </c>
      <c r="AB596" s="2" t="n">
        <v>2244.97</v>
      </c>
      <c r="AC596" s="2" t="n">
        <f aca="false">Y596-AA596</f>
        <v>2244.97</v>
      </c>
      <c r="AD596" s="2" t="str">
        <f aca="false">IF(ABS(AB596-AC596)&gt;1,"Mismatch","OK")</f>
        <v>OK</v>
      </c>
      <c r="AE596" s="4" t="n">
        <f aca="false">IF(Y596=0,0,AC596/Y596)</f>
        <v>0.187937829837392</v>
      </c>
      <c r="AF596" s="2" t="s">
        <v>52</v>
      </c>
      <c r="AG596" s="2" t="s">
        <v>53</v>
      </c>
      <c r="AH596" s="2" t="str">
        <f aca="false">IF(AND(AG596="Completed",AF596&lt;&gt;"Paid"),"Inconsistent","OK")</f>
        <v>OK</v>
      </c>
      <c r="AI596" s="2" t="n">
        <f aca="false">IF(OR(ISBLANK(B596),ISBLANK(C596)),"",C596-B596)</f>
        <v>2</v>
      </c>
      <c r="AJ596" s="2" t="str">
        <f aca="false">IF(AI596="","Unknown",IF(AI596&lt;0,"Invalid","OK"))</f>
        <v>OK</v>
      </c>
      <c r="AK596" s="2" t="str">
        <f aca="false">IF(ISBLANK(B596),"",TEXT(B596,"mmm"))</f>
        <v>Sep</v>
      </c>
      <c r="AL596" s="2" t="n">
        <f aca="false">IF(ISBLANK(B596),"",YEAR(B596))</f>
        <v>2024</v>
      </c>
      <c r="AM596" s="2" t="s">
        <v>41</v>
      </c>
      <c r="AN596" s="2" t="str">
        <f aca="false">IF(OR(W596="Invalid",AJ596="Invalid",AH596="Inconsistent",Z596="Mismatch",AD596="Mismatch",AM596="Yes",D596="Yes",E596="Yes"),"Invalid",IF(OR(J596="Yes",Q596="Yes",U596="Yes"),"Warning","Clean"))</f>
        <v>Clean</v>
      </c>
    </row>
    <row r="597" customFormat="false" ht="15" hidden="false" customHeight="false" outlineLevel="0" collapsed="false">
      <c r="A597" s="2" t="s">
        <v>1902</v>
      </c>
      <c r="B597" s="3" t="n">
        <v>45699</v>
      </c>
      <c r="C597" s="3" t="n">
        <v>45704</v>
      </c>
      <c r="D597" s="2" t="s">
        <v>41</v>
      </c>
      <c r="E597" s="2" t="s">
        <v>41</v>
      </c>
      <c r="F597" s="2" t="s">
        <v>1903</v>
      </c>
      <c r="G597" s="2" t="s">
        <v>56</v>
      </c>
      <c r="H597" s="2" t="s">
        <v>110</v>
      </c>
      <c r="I597" s="2" t="s">
        <v>45</v>
      </c>
      <c r="J597" s="2" t="s">
        <v>41</v>
      </c>
      <c r="K597" s="2" t="s">
        <v>156</v>
      </c>
      <c r="L597" s="2" t="s">
        <v>157</v>
      </c>
      <c r="M597" s="2" t="s">
        <v>94</v>
      </c>
      <c r="N597" s="2" t="s">
        <v>191</v>
      </c>
      <c r="O597" s="2" t="s">
        <v>1904</v>
      </c>
      <c r="P597" s="2" t="s">
        <v>70</v>
      </c>
      <c r="Q597" s="2" t="s">
        <v>41</v>
      </c>
      <c r="R597" s="2" t="n">
        <v>8</v>
      </c>
      <c r="S597" s="2" t="n">
        <v>1825.56</v>
      </c>
      <c r="T597" s="2" t="n">
        <v>0.1</v>
      </c>
      <c r="U597" s="2" t="str">
        <f aca="false">IF(ISBLANK(T597),"Yes","No")</f>
        <v>No</v>
      </c>
      <c r="V597" s="2" t="n">
        <f aca="false">IF(ISBLANK(T597),0,IF(ISNUMBER(T597),T597,VALUE(LEFT(T597,LEN(T597)-1))/100))</f>
        <v>0.1</v>
      </c>
      <c r="W597" s="2" t="str">
        <f aca="false">IF(AND(V597&gt;=0,V597&lt;=0.25),"Valid","Invalid")</f>
        <v>Valid</v>
      </c>
      <c r="X597" s="2" t="n">
        <v>13144.03</v>
      </c>
      <c r="Y597" s="2" t="n">
        <f aca="false">R597*S597*(1-V597)</f>
        <v>13144.032</v>
      </c>
      <c r="Z597" s="2" t="str">
        <f aca="false">IF(ABS(X597-Y597)&gt;1,"Mismatch","OK")</f>
        <v>OK</v>
      </c>
      <c r="AA597" s="2" t="n">
        <v>9764</v>
      </c>
      <c r="AB597" s="2" t="n">
        <v>3380.03</v>
      </c>
      <c r="AC597" s="2" t="n">
        <f aca="false">Y597-AA597</f>
        <v>3380.032</v>
      </c>
      <c r="AD597" s="2" t="str">
        <f aca="false">IF(ABS(AB597-AC597)&gt;1,"Mismatch","OK")</f>
        <v>OK</v>
      </c>
      <c r="AE597" s="4" t="n">
        <f aca="false">IF(Y597=0,0,AC597/Y597)</f>
        <v>0.25715336055177</v>
      </c>
      <c r="AF597" s="2" t="s">
        <v>52</v>
      </c>
      <c r="AG597" s="2" t="s">
        <v>53</v>
      </c>
      <c r="AH597" s="2" t="str">
        <f aca="false">IF(AND(AG597="Completed",AF597&lt;&gt;"Paid"),"Inconsistent","OK")</f>
        <v>OK</v>
      </c>
      <c r="AI597" s="2" t="n">
        <f aca="false">IF(OR(ISBLANK(B597),ISBLANK(C597)),"",C597-B597)</f>
        <v>5</v>
      </c>
      <c r="AJ597" s="2" t="str">
        <f aca="false">IF(AI597="","Unknown",IF(AI597&lt;0,"Invalid","OK"))</f>
        <v>OK</v>
      </c>
      <c r="AK597" s="2" t="str">
        <f aca="false">IF(ISBLANK(B597),"",TEXT(B597,"mmm"))</f>
        <v>Feb</v>
      </c>
      <c r="AL597" s="2" t="n">
        <f aca="false">IF(ISBLANK(B597),"",YEAR(B597))</f>
        <v>2025</v>
      </c>
      <c r="AM597" s="2" t="s">
        <v>41</v>
      </c>
      <c r="AN597" s="2" t="str">
        <f aca="false">IF(OR(W597="Invalid",AJ597="Invalid",AH597="Inconsistent",Z597="Mismatch",AD597="Mismatch",AM597="Yes",D597="Yes",E597="Yes"),"Invalid",IF(OR(J597="Yes",Q597="Yes",U597="Yes"),"Warning","Clean"))</f>
        <v>Clean</v>
      </c>
    </row>
    <row r="598" customFormat="false" ht="15" hidden="false" customHeight="false" outlineLevel="0" collapsed="false">
      <c r="A598" s="2" t="s">
        <v>1905</v>
      </c>
      <c r="B598" s="3" t="n">
        <v>45392</v>
      </c>
      <c r="C598" s="3" t="n">
        <v>45398</v>
      </c>
      <c r="D598" s="2" t="s">
        <v>41</v>
      </c>
      <c r="E598" s="2" t="s">
        <v>41</v>
      </c>
      <c r="F598" s="2" t="s">
        <v>1906</v>
      </c>
      <c r="G598" s="2" t="s">
        <v>109</v>
      </c>
      <c r="H598" s="2" t="s">
        <v>44</v>
      </c>
      <c r="I598" s="2" t="s">
        <v>74</v>
      </c>
      <c r="J598" s="2" t="s">
        <v>41</v>
      </c>
      <c r="K598" s="2" t="s">
        <v>205</v>
      </c>
      <c r="L598" s="2" t="s">
        <v>206</v>
      </c>
      <c r="M598" s="2" t="s">
        <v>61</v>
      </c>
      <c r="N598" s="2" t="s">
        <v>86</v>
      </c>
      <c r="O598" s="2" t="s">
        <v>1907</v>
      </c>
      <c r="P598" s="2" t="s">
        <v>51</v>
      </c>
      <c r="Q598" s="2" t="s">
        <v>41</v>
      </c>
      <c r="R598" s="2" t="n">
        <v>9</v>
      </c>
      <c r="S598" s="2" t="n">
        <v>2723.26</v>
      </c>
      <c r="T598" s="2" t="n">
        <v>0.25</v>
      </c>
      <c r="U598" s="2" t="str">
        <f aca="false">IF(ISBLANK(T598),"Yes","No")</f>
        <v>No</v>
      </c>
      <c r="V598" s="2" t="n">
        <f aca="false">IF(ISBLANK(T598),0,IF(ISNUMBER(T598),T598,VALUE(LEFT(T598,LEN(T598)-1))/100))</f>
        <v>0.25</v>
      </c>
      <c r="W598" s="2" t="str">
        <f aca="false">IF(AND(V598&gt;=0,V598&lt;=0.25),"Valid","Invalid")</f>
        <v>Valid</v>
      </c>
      <c r="X598" s="2" t="n">
        <v>18382.01</v>
      </c>
      <c r="Y598" s="2" t="n">
        <f aca="false">R598*S598*(1-V598)</f>
        <v>18382.005</v>
      </c>
      <c r="Z598" s="2" t="str">
        <f aca="false">IF(ABS(X598-Y598)&gt;1,"Mismatch","OK")</f>
        <v>OK</v>
      </c>
      <c r="AA598" s="2" t="n">
        <v>13108.2</v>
      </c>
      <c r="AB598" s="2" t="n">
        <v>5273.81</v>
      </c>
      <c r="AC598" s="2" t="n">
        <f aca="false">Y598-AA598</f>
        <v>5273.805</v>
      </c>
      <c r="AD598" s="2" t="str">
        <f aca="false">IF(ABS(AB598-AC598)&gt;1,"Mismatch","OK")</f>
        <v>OK</v>
      </c>
      <c r="AE598" s="4" t="n">
        <f aca="false">IF(Y598=0,0,AC598/Y598)</f>
        <v>0.286900422451196</v>
      </c>
      <c r="AF598" s="2" t="s">
        <v>52</v>
      </c>
      <c r="AG598" s="2" t="s">
        <v>53</v>
      </c>
      <c r="AH598" s="2" t="str">
        <f aca="false">IF(AND(AG598="Completed",AF598&lt;&gt;"Paid"),"Inconsistent","OK")</f>
        <v>OK</v>
      </c>
      <c r="AI598" s="2" t="n">
        <f aca="false">IF(OR(ISBLANK(B598),ISBLANK(C598)),"",C598-B598)</f>
        <v>6</v>
      </c>
      <c r="AJ598" s="2" t="str">
        <f aca="false">IF(AI598="","Unknown",IF(AI598&lt;0,"Invalid","OK"))</f>
        <v>OK</v>
      </c>
      <c r="AK598" s="2" t="str">
        <f aca="false">IF(ISBLANK(B598),"",TEXT(B598,"mmm"))</f>
        <v>Apr</v>
      </c>
      <c r="AL598" s="2" t="n">
        <f aca="false">IF(ISBLANK(B598),"",YEAR(B598))</f>
        <v>2024</v>
      </c>
      <c r="AM598" s="2" t="s">
        <v>41</v>
      </c>
      <c r="AN598" s="2" t="str">
        <f aca="false">IF(OR(W598="Invalid",AJ598="Invalid",AH598="Inconsistent",Z598="Mismatch",AD598="Mismatch",AM598="Yes",D598="Yes",E598="Yes"),"Invalid",IF(OR(J598="Yes",Q598="Yes",U598="Yes"),"Warning","Clean"))</f>
        <v>Clean</v>
      </c>
    </row>
    <row r="599" customFormat="false" ht="15" hidden="false" customHeight="false" outlineLevel="0" collapsed="false">
      <c r="A599" s="2" t="s">
        <v>1908</v>
      </c>
      <c r="B599" s="3" t="n">
        <v>45846</v>
      </c>
      <c r="C599" s="3" t="n">
        <v>45846</v>
      </c>
      <c r="D599" s="2" t="s">
        <v>41</v>
      </c>
      <c r="E599" s="2" t="s">
        <v>41</v>
      </c>
      <c r="F599" s="2" t="s">
        <v>1909</v>
      </c>
      <c r="G599" s="2" t="s">
        <v>109</v>
      </c>
      <c r="H599" s="2" t="s">
        <v>44</v>
      </c>
      <c r="I599" s="2" t="s">
        <v>74</v>
      </c>
      <c r="J599" s="2" t="s">
        <v>41</v>
      </c>
      <c r="K599" s="2" t="s">
        <v>75</v>
      </c>
      <c r="L599" s="2" t="s">
        <v>76</v>
      </c>
      <c r="M599" s="2" t="s">
        <v>94</v>
      </c>
      <c r="N599" s="2" t="s">
        <v>100</v>
      </c>
      <c r="O599" s="2" t="s">
        <v>1910</v>
      </c>
      <c r="P599" s="2" t="s">
        <v>64</v>
      </c>
      <c r="Q599" s="2" t="s">
        <v>41</v>
      </c>
      <c r="R599" s="2" t="n">
        <v>9</v>
      </c>
      <c r="S599" s="2" t="n">
        <v>274.88</v>
      </c>
      <c r="T599" s="2" t="n">
        <v>0.25</v>
      </c>
      <c r="U599" s="2" t="str">
        <f aca="false">IF(ISBLANK(T599),"Yes","No")</f>
        <v>No</v>
      </c>
      <c r="V599" s="2" t="n">
        <f aca="false">IF(ISBLANK(T599),0,IF(ISNUMBER(T599),T599,VALUE(LEFT(T599,LEN(T599)-1))/100))</f>
        <v>0.25</v>
      </c>
      <c r="W599" s="2" t="str">
        <f aca="false">IF(AND(V599&gt;=0,V599&lt;=0.25),"Valid","Invalid")</f>
        <v>Valid</v>
      </c>
      <c r="X599" s="2" t="n">
        <v>1855.44</v>
      </c>
      <c r="Y599" s="2" t="n">
        <f aca="false">R599*S599*(1-V599)</f>
        <v>1855.44</v>
      </c>
      <c r="Z599" s="2" t="str">
        <f aca="false">IF(ABS(X599-Y599)&gt;1,"Mismatch","OK")</f>
        <v>OK</v>
      </c>
      <c r="AA599" s="2" t="n">
        <v>1262.74</v>
      </c>
      <c r="AB599" s="2" t="n">
        <v>592.7</v>
      </c>
      <c r="AC599" s="2" t="n">
        <f aca="false">Y599-AA599</f>
        <v>592.7</v>
      </c>
      <c r="AD599" s="2" t="str">
        <f aca="false">IF(ABS(AB599-AC599)&gt;1,"Mismatch","OK")</f>
        <v>OK</v>
      </c>
      <c r="AE599" s="4" t="n">
        <f aca="false">IF(Y599=0,0,AC599/Y599)</f>
        <v>0.319439054887251</v>
      </c>
      <c r="AF599" s="2" t="s">
        <v>52</v>
      </c>
      <c r="AG599" s="2" t="s">
        <v>53</v>
      </c>
      <c r="AH599" s="2" t="str">
        <f aca="false">IF(AND(AG599="Completed",AF599&lt;&gt;"Paid"),"Inconsistent","OK")</f>
        <v>OK</v>
      </c>
      <c r="AI599" s="2" t="n">
        <f aca="false">IF(OR(ISBLANK(B599),ISBLANK(C599)),"",C599-B599)</f>
        <v>0</v>
      </c>
      <c r="AJ599" s="2" t="str">
        <f aca="false">IF(AI599="","Unknown",IF(AI599&lt;0,"Invalid","OK"))</f>
        <v>OK</v>
      </c>
      <c r="AK599" s="2" t="str">
        <f aca="false">IF(ISBLANK(B599),"",TEXT(B599,"mmm"))</f>
        <v>Jul</v>
      </c>
      <c r="AL599" s="2" t="n">
        <f aca="false">IF(ISBLANK(B599),"",YEAR(B599))</f>
        <v>2025</v>
      </c>
      <c r="AM599" s="2" t="s">
        <v>41</v>
      </c>
      <c r="AN599" s="2" t="str">
        <f aca="false">IF(OR(W599="Invalid",AJ599="Invalid",AH599="Inconsistent",Z599="Mismatch",AD599="Mismatch",AM599="Yes",D599="Yes",E599="Yes"),"Invalid",IF(OR(J599="Yes",Q599="Yes",U599="Yes"),"Warning","Clean"))</f>
        <v>Clean</v>
      </c>
    </row>
    <row r="600" customFormat="false" ht="15" hidden="false" customHeight="false" outlineLevel="0" collapsed="false">
      <c r="A600" s="2" t="s">
        <v>1911</v>
      </c>
      <c r="B600" s="3" t="n">
        <v>45521</v>
      </c>
      <c r="C600" s="3" t="n">
        <v>45528</v>
      </c>
      <c r="D600" s="2" t="s">
        <v>41</v>
      </c>
      <c r="E600" s="2" t="s">
        <v>41</v>
      </c>
      <c r="F600" s="2" t="s">
        <v>1912</v>
      </c>
      <c r="G600" s="2" t="s">
        <v>82</v>
      </c>
      <c r="H600" s="2" t="s">
        <v>110</v>
      </c>
      <c r="I600" s="2" t="s">
        <v>58</v>
      </c>
      <c r="J600" s="2" t="s">
        <v>41</v>
      </c>
      <c r="K600" s="2" t="s">
        <v>119</v>
      </c>
      <c r="L600" s="2" t="s">
        <v>120</v>
      </c>
      <c r="M600" s="2" t="s">
        <v>94</v>
      </c>
      <c r="N600" s="2" t="s">
        <v>100</v>
      </c>
      <c r="O600" s="2" t="s">
        <v>1913</v>
      </c>
      <c r="P600" s="2" t="s">
        <v>64</v>
      </c>
      <c r="Q600" s="2" t="s">
        <v>41</v>
      </c>
      <c r="R600" s="2" t="n">
        <v>3</v>
      </c>
      <c r="S600" s="2" t="n">
        <v>1490.69</v>
      </c>
      <c r="T600" s="2" t="n">
        <v>0.25</v>
      </c>
      <c r="U600" s="2" t="str">
        <f aca="false">IF(ISBLANK(T600),"Yes","No")</f>
        <v>No</v>
      </c>
      <c r="V600" s="2" t="n">
        <f aca="false">IF(ISBLANK(T600),0,IF(ISNUMBER(T600),T600,VALUE(LEFT(T600,LEN(T600)-1))/100))</f>
        <v>0.25</v>
      </c>
      <c r="W600" s="2" t="str">
        <f aca="false">IF(AND(V600&gt;=0,V600&lt;=0.25),"Valid","Invalid")</f>
        <v>Valid</v>
      </c>
      <c r="X600" s="2" t="n">
        <v>3354.05</v>
      </c>
      <c r="Y600" s="2" t="n">
        <f aca="false">R600*S600*(1-V600)</f>
        <v>3354.0525</v>
      </c>
      <c r="Z600" s="2" t="str">
        <f aca="false">IF(ABS(X600-Y600)&gt;1,"Mismatch","OK")</f>
        <v>OK</v>
      </c>
      <c r="AA600" s="2" t="n">
        <v>2672.67</v>
      </c>
      <c r="AB600" s="2" t="n">
        <v>681.38</v>
      </c>
      <c r="AC600" s="2" t="n">
        <f aca="false">Y600-AA600</f>
        <v>681.3825</v>
      </c>
      <c r="AD600" s="2" t="str">
        <f aca="false">IF(ABS(AB600-AC600)&gt;1,"Mismatch","OK")</f>
        <v>OK</v>
      </c>
      <c r="AE600" s="4" t="n">
        <f aca="false">IF(Y600=0,0,AC600/Y600)</f>
        <v>0.203152007906853</v>
      </c>
      <c r="AF600" s="2" t="s">
        <v>52</v>
      </c>
      <c r="AG600" s="2" t="s">
        <v>53</v>
      </c>
      <c r="AH600" s="2" t="str">
        <f aca="false">IF(AND(AG600="Completed",AF600&lt;&gt;"Paid"),"Inconsistent","OK")</f>
        <v>OK</v>
      </c>
      <c r="AI600" s="2" t="n">
        <f aca="false">IF(OR(ISBLANK(B600),ISBLANK(C600)),"",C600-B600)</f>
        <v>7</v>
      </c>
      <c r="AJ600" s="2" t="str">
        <f aca="false">IF(AI600="","Unknown",IF(AI600&lt;0,"Invalid","OK"))</f>
        <v>OK</v>
      </c>
      <c r="AK600" s="2" t="str">
        <f aca="false">IF(ISBLANK(B600),"",TEXT(B600,"mmm"))</f>
        <v>Aug</v>
      </c>
      <c r="AL600" s="2" t="n">
        <f aca="false">IF(ISBLANK(B600),"",YEAR(B600))</f>
        <v>2024</v>
      </c>
      <c r="AM600" s="2" t="s">
        <v>41</v>
      </c>
      <c r="AN600" s="2" t="str">
        <f aca="false">IF(OR(W600="Invalid",AJ600="Invalid",AH600="Inconsistent",Z600="Mismatch",AD600="Mismatch",AM600="Yes",D600="Yes",E600="Yes"),"Invalid",IF(OR(J600="Yes",Q600="Yes",U600="Yes"),"Warning","Clean"))</f>
        <v>Clean</v>
      </c>
    </row>
    <row r="601" customFormat="false" ht="15" hidden="false" customHeight="false" outlineLevel="0" collapsed="false">
      <c r="A601" s="2" t="s">
        <v>1914</v>
      </c>
      <c r="B601" s="3" t="n">
        <v>45523</v>
      </c>
      <c r="C601" s="3" t="n">
        <v>45525</v>
      </c>
      <c r="D601" s="2" t="s">
        <v>41</v>
      </c>
      <c r="E601" s="2" t="s">
        <v>41</v>
      </c>
      <c r="F601" s="2" t="s">
        <v>1915</v>
      </c>
      <c r="G601" s="2" t="s">
        <v>73</v>
      </c>
      <c r="H601" s="2" t="s">
        <v>44</v>
      </c>
      <c r="I601" s="2" t="s">
        <v>45</v>
      </c>
      <c r="J601" s="2" t="s">
        <v>41</v>
      </c>
      <c r="K601" s="2" t="s">
        <v>142</v>
      </c>
      <c r="L601" s="2" t="s">
        <v>143</v>
      </c>
      <c r="M601" s="2" t="s">
        <v>94</v>
      </c>
      <c r="N601" s="2" t="s">
        <v>191</v>
      </c>
      <c r="O601" s="2" t="s">
        <v>1916</v>
      </c>
      <c r="P601" s="2" t="s">
        <v>70</v>
      </c>
      <c r="Q601" s="2" t="s">
        <v>41</v>
      </c>
      <c r="R601" s="2" t="n">
        <v>3</v>
      </c>
      <c r="S601" s="2" t="n">
        <v>1103.54</v>
      </c>
      <c r="T601" s="2" t="n">
        <v>0.25</v>
      </c>
      <c r="U601" s="2" t="str">
        <f aca="false">IF(ISBLANK(T601),"Yes","No")</f>
        <v>No</v>
      </c>
      <c r="V601" s="2" t="n">
        <f aca="false">IF(ISBLANK(T601),0,IF(ISNUMBER(T601),T601,VALUE(LEFT(T601,LEN(T601)-1))/100))</f>
        <v>0.25</v>
      </c>
      <c r="W601" s="2" t="str">
        <f aca="false">IF(AND(V601&gt;=0,V601&lt;=0.25),"Valid","Invalid")</f>
        <v>Valid</v>
      </c>
      <c r="X601" s="2" t="n">
        <v>2482.97</v>
      </c>
      <c r="Y601" s="2" t="n">
        <f aca="false">R601*S601*(1-V601)</f>
        <v>2482.965</v>
      </c>
      <c r="Z601" s="2" t="str">
        <f aca="false">IF(ABS(X601-Y601)&gt;1,"Mismatch","OK")</f>
        <v>OK</v>
      </c>
      <c r="AA601" s="2" t="n">
        <v>1621.72</v>
      </c>
      <c r="AB601" s="2" t="n">
        <v>861.25</v>
      </c>
      <c r="AC601" s="2" t="n">
        <f aca="false">Y601-AA601</f>
        <v>861.245</v>
      </c>
      <c r="AD601" s="2" t="str">
        <f aca="false">IF(ABS(AB601-AC601)&gt;1,"Mismatch","OK")</f>
        <v>OK</v>
      </c>
      <c r="AE601" s="4" t="n">
        <f aca="false">IF(Y601=0,0,AC601/Y601)</f>
        <v>0.346861514358841</v>
      </c>
      <c r="AF601" s="2" t="s">
        <v>52</v>
      </c>
      <c r="AG601" s="2" t="s">
        <v>53</v>
      </c>
      <c r="AH601" s="2" t="str">
        <f aca="false">IF(AND(AG601="Completed",AF601&lt;&gt;"Paid"),"Inconsistent","OK")</f>
        <v>OK</v>
      </c>
      <c r="AI601" s="2" t="n">
        <f aca="false">IF(OR(ISBLANK(B601),ISBLANK(C601)),"",C601-B601)</f>
        <v>2</v>
      </c>
      <c r="AJ601" s="2" t="str">
        <f aca="false">IF(AI601="","Unknown",IF(AI601&lt;0,"Invalid","OK"))</f>
        <v>OK</v>
      </c>
      <c r="AK601" s="2" t="str">
        <f aca="false">IF(ISBLANK(B601),"",TEXT(B601,"mmm"))</f>
        <v>Aug</v>
      </c>
      <c r="AL601" s="2" t="n">
        <f aca="false">IF(ISBLANK(B601),"",YEAR(B601))</f>
        <v>2024</v>
      </c>
      <c r="AM601" s="2" t="s">
        <v>41</v>
      </c>
      <c r="AN601" s="2" t="str">
        <f aca="false">IF(OR(W601="Invalid",AJ601="Invalid",AH601="Inconsistent",Z601="Mismatch",AD601="Mismatch",AM601="Yes",D601="Yes",E601="Yes"),"Invalid",IF(OR(J601="Yes",Q601="Yes",U601="Yes"),"Warning","Clean"))</f>
        <v>Clean</v>
      </c>
    </row>
    <row r="602" customFormat="false" ht="15" hidden="false" customHeight="false" outlineLevel="0" collapsed="false">
      <c r="A602" s="2" t="s">
        <v>1917</v>
      </c>
      <c r="B602" s="3" t="n">
        <v>45721</v>
      </c>
      <c r="C602" s="3" t="n">
        <v>45728</v>
      </c>
      <c r="D602" s="2" t="s">
        <v>41</v>
      </c>
      <c r="E602" s="2" t="s">
        <v>41</v>
      </c>
      <c r="F602" s="2" t="s">
        <v>1918</v>
      </c>
      <c r="G602" s="2" t="s">
        <v>82</v>
      </c>
      <c r="H602" s="2" t="s">
        <v>110</v>
      </c>
      <c r="I602" s="2" t="s">
        <v>83</v>
      </c>
      <c r="J602" s="2" t="s">
        <v>41</v>
      </c>
      <c r="K602" s="2" t="s">
        <v>92</v>
      </c>
      <c r="L602" s="2" t="s">
        <v>93</v>
      </c>
      <c r="M602" s="2" t="s">
        <v>48</v>
      </c>
      <c r="N602" s="2" t="s">
        <v>144</v>
      </c>
      <c r="O602" s="2" t="s">
        <v>1919</v>
      </c>
      <c r="P602" s="2" t="s">
        <v>64</v>
      </c>
      <c r="Q602" s="2" t="s">
        <v>41</v>
      </c>
      <c r="R602" s="2" t="n">
        <v>3</v>
      </c>
      <c r="S602" s="2" t="n">
        <v>3682.75</v>
      </c>
      <c r="T602" s="2"/>
      <c r="U602" s="2" t="str">
        <f aca="false">IF(ISBLANK(T602),"Yes","No")</f>
        <v>Yes</v>
      </c>
      <c r="V602" s="2" t="n">
        <f aca="false">IF(ISBLANK(T602),0,IF(ISNUMBER(T602),T602,VALUE(LEFT(T602,LEN(T602)-1))/100))</f>
        <v>0</v>
      </c>
      <c r="W602" s="2" t="str">
        <f aca="false">IF(AND(V602&gt;=0,V602&lt;=0.25),"Valid","Invalid")</f>
        <v>Valid</v>
      </c>
      <c r="X602" s="2" t="n">
        <v>11048.25</v>
      </c>
      <c r="Y602" s="2" t="n">
        <f aca="false">R602*S602*(1-V602)</f>
        <v>11048.25</v>
      </c>
      <c r="Z602" s="2" t="str">
        <f aca="false">IF(ABS(X602-Y602)&gt;1,"Mismatch","OK")</f>
        <v>OK</v>
      </c>
      <c r="AA602" s="2" t="n">
        <v>9062.72</v>
      </c>
      <c r="AB602" s="2" t="n">
        <v>1985.53</v>
      </c>
      <c r="AC602" s="2" t="n">
        <f aca="false">Y602-AA602</f>
        <v>1985.53</v>
      </c>
      <c r="AD602" s="2" t="str">
        <f aca="false">IF(ABS(AB602-AC602)&gt;1,"Mismatch","OK")</f>
        <v>OK</v>
      </c>
      <c r="AE602" s="4" t="n">
        <f aca="false">IF(Y602=0,0,AC602/Y602)</f>
        <v>0.17971443441269</v>
      </c>
      <c r="AF602" s="2" t="s">
        <v>52</v>
      </c>
      <c r="AG602" s="2" t="s">
        <v>53</v>
      </c>
      <c r="AH602" s="2" t="str">
        <f aca="false">IF(AND(AG602="Completed",AF602&lt;&gt;"Paid"),"Inconsistent","OK")</f>
        <v>OK</v>
      </c>
      <c r="AI602" s="2" t="n">
        <f aca="false">IF(OR(ISBLANK(B602),ISBLANK(C602)),"",C602-B602)</f>
        <v>7</v>
      </c>
      <c r="AJ602" s="2" t="str">
        <f aca="false">IF(AI602="","Unknown",IF(AI602&lt;0,"Invalid","OK"))</f>
        <v>OK</v>
      </c>
      <c r="AK602" s="2" t="str">
        <f aca="false">IF(ISBLANK(B602),"",TEXT(B602,"mmm"))</f>
        <v>Mar</v>
      </c>
      <c r="AL602" s="2" t="n">
        <f aca="false">IF(ISBLANK(B602),"",YEAR(B602))</f>
        <v>2025</v>
      </c>
      <c r="AM602" s="2" t="s">
        <v>41</v>
      </c>
      <c r="AN602" s="2" t="str">
        <f aca="false">IF(OR(W602="Invalid",AJ602="Invalid",AH602="Inconsistent",Z602="Mismatch",AD602="Mismatch",AM602="Yes",D602="Yes",E602="Yes"),"Invalid",IF(OR(J602="Yes",Q602="Yes",U602="Yes"),"Warning","Clean"))</f>
        <v>Warning</v>
      </c>
    </row>
    <row r="603" customFormat="false" ht="15" hidden="false" customHeight="false" outlineLevel="0" collapsed="false">
      <c r="A603" s="2" t="s">
        <v>1920</v>
      </c>
      <c r="B603" s="3" t="n">
        <v>45317</v>
      </c>
      <c r="C603" s="3" t="n">
        <v>45322</v>
      </c>
      <c r="D603" s="2" t="s">
        <v>41</v>
      </c>
      <c r="E603" s="2" t="s">
        <v>41</v>
      </c>
      <c r="F603" s="2" t="s">
        <v>1921</v>
      </c>
      <c r="G603" s="2" t="s">
        <v>82</v>
      </c>
      <c r="H603" s="2" t="s">
        <v>115</v>
      </c>
      <c r="I603" s="2" t="s">
        <v>58</v>
      </c>
      <c r="J603" s="2" t="s">
        <v>41</v>
      </c>
      <c r="K603" s="2" t="s">
        <v>119</v>
      </c>
      <c r="L603" s="2" t="s">
        <v>120</v>
      </c>
      <c r="M603" s="2" t="s">
        <v>48</v>
      </c>
      <c r="N603" s="2" t="s">
        <v>49</v>
      </c>
      <c r="O603" s="2" t="s">
        <v>1922</v>
      </c>
      <c r="P603" s="2" t="s">
        <v>51</v>
      </c>
      <c r="Q603" s="2" t="s">
        <v>41</v>
      </c>
      <c r="R603" s="2" t="n">
        <v>5</v>
      </c>
      <c r="S603" s="2" t="n">
        <v>1615.03</v>
      </c>
      <c r="T603" s="2" t="n">
        <v>0.2</v>
      </c>
      <c r="U603" s="2" t="str">
        <f aca="false">IF(ISBLANK(T603),"Yes","No")</f>
        <v>No</v>
      </c>
      <c r="V603" s="2" t="n">
        <f aca="false">IF(ISBLANK(T603),0,IF(ISNUMBER(T603),T603,VALUE(LEFT(T603,LEN(T603)-1))/100))</f>
        <v>0.2</v>
      </c>
      <c r="W603" s="2" t="str">
        <f aca="false">IF(AND(V603&gt;=0,V603&lt;=0.25),"Valid","Invalid")</f>
        <v>Valid</v>
      </c>
      <c r="X603" s="2" t="n">
        <v>6460.12</v>
      </c>
      <c r="Y603" s="2" t="n">
        <f aca="false">R603*S603*(1-V603)</f>
        <v>6460.12</v>
      </c>
      <c r="Z603" s="2" t="str">
        <f aca="false">IF(ABS(X603-Y603)&gt;1,"Mismatch","OK")</f>
        <v>OK</v>
      </c>
      <c r="AA603" s="2" t="n">
        <v>3604.03</v>
      </c>
      <c r="AB603" s="2" t="n">
        <v>2856.09</v>
      </c>
      <c r="AC603" s="2" t="n">
        <f aca="false">Y603-AA603</f>
        <v>2856.09</v>
      </c>
      <c r="AD603" s="2" t="str">
        <f aca="false">IF(ABS(AB603-AC603)&gt;1,"Mismatch","OK")</f>
        <v>OK</v>
      </c>
      <c r="AE603" s="4" t="n">
        <f aca="false">IF(Y603=0,0,AC603/Y603)</f>
        <v>0.44211098245853</v>
      </c>
      <c r="AF603" s="2" t="s">
        <v>52</v>
      </c>
      <c r="AG603" s="2" t="s">
        <v>53</v>
      </c>
      <c r="AH603" s="2" t="str">
        <f aca="false">IF(AND(AG603="Completed",AF603&lt;&gt;"Paid"),"Inconsistent","OK")</f>
        <v>OK</v>
      </c>
      <c r="AI603" s="2" t="n">
        <f aca="false">IF(OR(ISBLANK(B603),ISBLANK(C603)),"",C603-B603)</f>
        <v>5</v>
      </c>
      <c r="AJ603" s="2" t="str">
        <f aca="false">IF(AI603="","Unknown",IF(AI603&lt;0,"Invalid","OK"))</f>
        <v>OK</v>
      </c>
      <c r="AK603" s="2" t="str">
        <f aca="false">IF(ISBLANK(B603),"",TEXT(B603,"mmm"))</f>
        <v>Jan</v>
      </c>
      <c r="AL603" s="2" t="n">
        <f aca="false">IF(ISBLANK(B603),"",YEAR(B603))</f>
        <v>2024</v>
      </c>
      <c r="AM603" s="2" t="s">
        <v>41</v>
      </c>
      <c r="AN603" s="2" t="str">
        <f aca="false">IF(OR(W603="Invalid",AJ603="Invalid",AH603="Inconsistent",Z603="Mismatch",AD603="Mismatch",AM603="Yes",D603="Yes",E603="Yes"),"Invalid",IF(OR(J603="Yes",Q603="Yes",U603="Yes"),"Warning","Clean"))</f>
        <v>Clean</v>
      </c>
    </row>
    <row r="604" customFormat="false" ht="15" hidden="false" customHeight="false" outlineLevel="0" collapsed="false">
      <c r="A604" s="2" t="s">
        <v>1923</v>
      </c>
      <c r="B604" s="3" t="n">
        <v>45588</v>
      </c>
      <c r="C604" s="3" t="n">
        <v>45595</v>
      </c>
      <c r="D604" s="2" t="s">
        <v>41</v>
      </c>
      <c r="E604" s="2" t="s">
        <v>41</v>
      </c>
      <c r="F604" s="2" t="s">
        <v>1924</v>
      </c>
      <c r="G604" s="2" t="s">
        <v>148</v>
      </c>
      <c r="H604" s="2" t="s">
        <v>44</v>
      </c>
      <c r="I604" s="2" t="s">
        <v>58</v>
      </c>
      <c r="J604" s="2" t="s">
        <v>41</v>
      </c>
      <c r="K604" s="2" t="s">
        <v>250</v>
      </c>
      <c r="L604" s="2" t="s">
        <v>251</v>
      </c>
      <c r="M604" s="2" t="s">
        <v>94</v>
      </c>
      <c r="N604" s="2" t="s">
        <v>100</v>
      </c>
      <c r="O604" s="2" t="s">
        <v>1925</v>
      </c>
      <c r="P604" s="2" t="s">
        <v>51</v>
      </c>
      <c r="Q604" s="2" t="s">
        <v>41</v>
      </c>
      <c r="R604" s="2" t="n">
        <v>9</v>
      </c>
      <c r="S604" s="2" t="n">
        <v>3423.82</v>
      </c>
      <c r="T604" s="2" t="n">
        <v>0.15</v>
      </c>
      <c r="U604" s="2" t="str">
        <f aca="false">IF(ISBLANK(T604),"Yes","No")</f>
        <v>No</v>
      </c>
      <c r="V604" s="2" t="n">
        <f aca="false">IF(ISBLANK(T604),0,IF(ISNUMBER(T604),T604,VALUE(LEFT(T604,LEN(T604)-1))/100))</f>
        <v>0.15</v>
      </c>
      <c r="W604" s="2" t="str">
        <f aca="false">IF(AND(V604&gt;=0,V604&lt;=0.25),"Valid","Invalid")</f>
        <v>Valid</v>
      </c>
      <c r="X604" s="2" t="n">
        <v>26192.22</v>
      </c>
      <c r="Y604" s="2" t="n">
        <f aca="false">R604*S604*(1-V604)</f>
        <v>26192.223</v>
      </c>
      <c r="Z604" s="2" t="str">
        <f aca="false">IF(ABS(X604-Y604)&gt;1,"Mismatch","OK")</f>
        <v>OK</v>
      </c>
      <c r="AA604" s="2" t="n">
        <v>20795.55</v>
      </c>
      <c r="AB604" s="2" t="n">
        <v>5396.67</v>
      </c>
      <c r="AC604" s="2" t="n">
        <f aca="false">Y604-AA604</f>
        <v>5396.673</v>
      </c>
      <c r="AD604" s="2" t="str">
        <f aca="false">IF(ABS(AB604-AC604)&gt;1,"Mismatch","OK")</f>
        <v>OK</v>
      </c>
      <c r="AE604" s="4" t="n">
        <f aca="false">IF(Y604=0,0,AC604/Y604)</f>
        <v>0.20604104508426</v>
      </c>
      <c r="AF604" s="2" t="s">
        <v>52</v>
      </c>
      <c r="AG604" s="2" t="s">
        <v>53</v>
      </c>
      <c r="AH604" s="2" t="str">
        <f aca="false">IF(AND(AG604="Completed",AF604&lt;&gt;"Paid"),"Inconsistent","OK")</f>
        <v>OK</v>
      </c>
      <c r="AI604" s="2" t="n">
        <f aca="false">IF(OR(ISBLANK(B604),ISBLANK(C604)),"",C604-B604)</f>
        <v>7</v>
      </c>
      <c r="AJ604" s="2" t="str">
        <f aca="false">IF(AI604="","Unknown",IF(AI604&lt;0,"Invalid","OK"))</f>
        <v>OK</v>
      </c>
      <c r="AK604" s="2" t="str">
        <f aca="false">IF(ISBLANK(B604),"",TEXT(B604,"mmm"))</f>
        <v>Oct</v>
      </c>
      <c r="AL604" s="2" t="n">
        <f aca="false">IF(ISBLANK(B604),"",YEAR(B604))</f>
        <v>2024</v>
      </c>
      <c r="AM604" s="2" t="s">
        <v>41</v>
      </c>
      <c r="AN604" s="2" t="str">
        <f aca="false">IF(OR(W604="Invalid",AJ604="Invalid",AH604="Inconsistent",Z604="Mismatch",AD604="Mismatch",AM604="Yes",D604="Yes",E604="Yes"),"Invalid",IF(OR(J604="Yes",Q604="Yes",U604="Yes"),"Warning","Clean"))</f>
        <v>Clean</v>
      </c>
    </row>
    <row r="605" customFormat="false" ht="15" hidden="false" customHeight="false" outlineLevel="0" collapsed="false">
      <c r="A605" s="2" t="s">
        <v>1926</v>
      </c>
      <c r="B605" s="3" t="n">
        <v>45660</v>
      </c>
      <c r="C605" s="3" t="n">
        <v>45668</v>
      </c>
      <c r="D605" s="2" t="s">
        <v>41</v>
      </c>
      <c r="E605" s="2" t="s">
        <v>41</v>
      </c>
      <c r="F605" s="2" t="s">
        <v>356</v>
      </c>
      <c r="G605" s="2" t="s">
        <v>91</v>
      </c>
      <c r="H605" s="2" t="s">
        <v>110</v>
      </c>
      <c r="I605" s="2" t="s">
        <v>58</v>
      </c>
      <c r="J605" s="2" t="s">
        <v>41</v>
      </c>
      <c r="K605" s="2" t="s">
        <v>165</v>
      </c>
      <c r="L605" s="2" t="s">
        <v>166</v>
      </c>
      <c r="M605" s="2" t="s">
        <v>94</v>
      </c>
      <c r="N605" s="2" t="s">
        <v>95</v>
      </c>
      <c r="O605" s="2" t="s">
        <v>1927</v>
      </c>
      <c r="P605" s="2" t="s">
        <v>70</v>
      </c>
      <c r="Q605" s="2" t="s">
        <v>41</v>
      </c>
      <c r="R605" s="2" t="n">
        <v>8</v>
      </c>
      <c r="S605" s="2" t="n">
        <v>2574.29</v>
      </c>
      <c r="T605" s="2" t="n">
        <v>0.05</v>
      </c>
      <c r="U605" s="2" t="str">
        <f aca="false">IF(ISBLANK(T605),"Yes","No")</f>
        <v>No</v>
      </c>
      <c r="V605" s="2" t="n">
        <f aca="false">IF(ISBLANK(T605),0,IF(ISNUMBER(T605),T605,VALUE(LEFT(T605,LEN(T605)-1))/100))</f>
        <v>0.05</v>
      </c>
      <c r="W605" s="2" t="str">
        <f aca="false">IF(AND(V605&gt;=0,V605&lt;=0.25),"Valid","Invalid")</f>
        <v>Valid</v>
      </c>
      <c r="X605" s="2" t="n">
        <v>19564.6</v>
      </c>
      <c r="Y605" s="2" t="n">
        <f aca="false">R605*S605*(1-V605)</f>
        <v>19564.604</v>
      </c>
      <c r="Z605" s="2" t="str">
        <f aca="false">IF(ABS(X605-Y605)&gt;1,"Mismatch","OK")</f>
        <v>OK</v>
      </c>
      <c r="AA605" s="2" t="n">
        <v>11154.59</v>
      </c>
      <c r="AB605" s="2" t="n">
        <v>8410.01</v>
      </c>
      <c r="AC605" s="2" t="n">
        <f aca="false">Y605-AA605</f>
        <v>8410.014</v>
      </c>
      <c r="AD605" s="2" t="str">
        <f aca="false">IF(ABS(AB605-AC605)&gt;1,"Mismatch","OK")</f>
        <v>OK</v>
      </c>
      <c r="AE605" s="4" t="n">
        <f aca="false">IF(Y605=0,0,AC605/Y605)</f>
        <v>0.429858636545876</v>
      </c>
      <c r="AF605" s="2" t="s">
        <v>131</v>
      </c>
      <c r="AG605" s="2" t="s">
        <v>88</v>
      </c>
      <c r="AH605" s="2" t="str">
        <f aca="false">IF(AND(AG605="Completed",AF605&lt;&gt;"Paid"),"Inconsistent","OK")</f>
        <v>OK</v>
      </c>
      <c r="AI605" s="2" t="n">
        <f aca="false">IF(OR(ISBLANK(B605),ISBLANK(C605)),"",C605-B605)</f>
        <v>8</v>
      </c>
      <c r="AJ605" s="2" t="str">
        <f aca="false">IF(AI605="","Unknown",IF(AI605&lt;0,"Invalid","OK"))</f>
        <v>OK</v>
      </c>
      <c r="AK605" s="2" t="str">
        <f aca="false">IF(ISBLANK(B605),"",TEXT(B605,"mmm"))</f>
        <v>Jan</v>
      </c>
      <c r="AL605" s="2" t="n">
        <f aca="false">IF(ISBLANK(B605),"",YEAR(B605))</f>
        <v>2025</v>
      </c>
      <c r="AM605" s="2" t="s">
        <v>41</v>
      </c>
      <c r="AN605" s="2" t="str">
        <f aca="false">IF(OR(W605="Invalid",AJ605="Invalid",AH605="Inconsistent",Z605="Mismatch",AD605="Mismatch",AM605="Yes",D605="Yes",E605="Yes"),"Invalid",IF(OR(J605="Yes",Q605="Yes",U605="Yes"),"Warning","Clean"))</f>
        <v>Clean</v>
      </c>
    </row>
    <row r="606" customFormat="false" ht="15" hidden="false" customHeight="false" outlineLevel="0" collapsed="false">
      <c r="A606" s="2" t="s">
        <v>1928</v>
      </c>
      <c r="B606" s="3" t="n">
        <v>45693</v>
      </c>
      <c r="C606" s="3" t="n">
        <v>45694</v>
      </c>
      <c r="D606" s="2" t="s">
        <v>41</v>
      </c>
      <c r="E606" s="2" t="s">
        <v>41</v>
      </c>
      <c r="F606" s="2" t="s">
        <v>1929</v>
      </c>
      <c r="G606" s="2" t="s">
        <v>82</v>
      </c>
      <c r="H606" s="2" t="s">
        <v>44</v>
      </c>
      <c r="I606" s="2" t="s">
        <v>83</v>
      </c>
      <c r="J606" s="2" t="s">
        <v>41</v>
      </c>
      <c r="K606" s="2" t="s">
        <v>92</v>
      </c>
      <c r="L606" s="2" t="s">
        <v>93</v>
      </c>
      <c r="M606" s="2" t="s">
        <v>48</v>
      </c>
      <c r="N606" s="2" t="s">
        <v>173</v>
      </c>
      <c r="O606" s="2" t="s">
        <v>1930</v>
      </c>
      <c r="P606" s="2" t="s">
        <v>64</v>
      </c>
      <c r="Q606" s="2" t="s">
        <v>41</v>
      </c>
      <c r="R606" s="2" t="n">
        <v>3</v>
      </c>
      <c r="S606" s="2" t="n">
        <v>1076.3</v>
      </c>
      <c r="T606" s="2" t="n">
        <v>0</v>
      </c>
      <c r="U606" s="2" t="str">
        <f aca="false">IF(ISBLANK(T606),"Yes","No")</f>
        <v>No</v>
      </c>
      <c r="V606" s="2" t="n">
        <f aca="false">IF(ISBLANK(T606),0,IF(ISNUMBER(T606),T606,VALUE(LEFT(T606,LEN(T606)-1))/100))</f>
        <v>0</v>
      </c>
      <c r="W606" s="2" t="str">
        <f aca="false">IF(AND(V606&gt;=0,V606&lt;=0.25),"Valid","Invalid")</f>
        <v>Valid</v>
      </c>
      <c r="X606" s="2" t="n">
        <v>3228.9</v>
      </c>
      <c r="Y606" s="2" t="n">
        <f aca="false">R606*S606*(1-V606)</f>
        <v>3228.9</v>
      </c>
      <c r="Z606" s="2" t="str">
        <f aca="false">IF(ABS(X606-Y606)&gt;1,"Mismatch","OK")</f>
        <v>OK</v>
      </c>
      <c r="AA606" s="2" t="n">
        <v>1853.23</v>
      </c>
      <c r="AB606" s="2" t="n">
        <v>1375.67</v>
      </c>
      <c r="AC606" s="2" t="n">
        <f aca="false">Y606-AA606</f>
        <v>1375.67</v>
      </c>
      <c r="AD606" s="2" t="str">
        <f aca="false">IF(ABS(AB606-AC606)&gt;1,"Mismatch","OK")</f>
        <v>OK</v>
      </c>
      <c r="AE606" s="4" t="n">
        <f aca="false">IF(Y606=0,0,AC606/Y606)</f>
        <v>0.42604911889498</v>
      </c>
      <c r="AF606" s="2" t="s">
        <v>52</v>
      </c>
      <c r="AG606" s="2" t="s">
        <v>53</v>
      </c>
      <c r="AH606" s="2" t="str">
        <f aca="false">IF(AND(AG606="Completed",AF606&lt;&gt;"Paid"),"Inconsistent","OK")</f>
        <v>OK</v>
      </c>
      <c r="AI606" s="2" t="n">
        <f aca="false">IF(OR(ISBLANK(B606),ISBLANK(C606)),"",C606-B606)</f>
        <v>1</v>
      </c>
      <c r="AJ606" s="2" t="str">
        <f aca="false">IF(AI606="","Unknown",IF(AI606&lt;0,"Invalid","OK"))</f>
        <v>OK</v>
      </c>
      <c r="AK606" s="2" t="str">
        <f aca="false">IF(ISBLANK(B606),"",TEXT(B606,"mmm"))</f>
        <v>Feb</v>
      </c>
      <c r="AL606" s="2" t="n">
        <f aca="false">IF(ISBLANK(B606),"",YEAR(B606))</f>
        <v>2025</v>
      </c>
      <c r="AM606" s="2" t="s">
        <v>41</v>
      </c>
      <c r="AN606" s="2" t="str">
        <f aca="false">IF(OR(W606="Invalid",AJ606="Invalid",AH606="Inconsistent",Z606="Mismatch",AD606="Mismatch",AM606="Yes",D606="Yes",E606="Yes"),"Invalid",IF(OR(J606="Yes",Q606="Yes",U606="Yes"),"Warning","Clean"))</f>
        <v>Clean</v>
      </c>
    </row>
    <row r="607" customFormat="false" ht="15" hidden="false" customHeight="false" outlineLevel="0" collapsed="false">
      <c r="A607" s="2" t="s">
        <v>1931</v>
      </c>
      <c r="B607" s="3" t="n">
        <v>45847</v>
      </c>
      <c r="C607" s="3" t="n">
        <v>45851</v>
      </c>
      <c r="D607" s="2" t="s">
        <v>41</v>
      </c>
      <c r="E607" s="2" t="s">
        <v>41</v>
      </c>
      <c r="F607" s="2" t="s">
        <v>1932</v>
      </c>
      <c r="G607" s="2" t="s">
        <v>286</v>
      </c>
      <c r="H607" s="2" t="s">
        <v>110</v>
      </c>
      <c r="I607" s="2" t="s">
        <v>83</v>
      </c>
      <c r="J607" s="2" t="s">
        <v>41</v>
      </c>
      <c r="K607" s="2" t="s">
        <v>210</v>
      </c>
      <c r="L607" s="2" t="s">
        <v>211</v>
      </c>
      <c r="M607" s="2" t="s">
        <v>61</v>
      </c>
      <c r="N607" s="2" t="s">
        <v>77</v>
      </c>
      <c r="O607" s="2" t="s">
        <v>1933</v>
      </c>
      <c r="P607" s="2" t="s">
        <v>51</v>
      </c>
      <c r="Q607" s="2" t="s">
        <v>41</v>
      </c>
      <c r="R607" s="2" t="n">
        <v>5</v>
      </c>
      <c r="S607" s="2" t="n">
        <v>1680.01</v>
      </c>
      <c r="T607" s="2" t="s">
        <v>790</v>
      </c>
      <c r="U607" s="2" t="str">
        <f aca="false">IF(ISBLANK(T607),"Yes","No")</f>
        <v>No</v>
      </c>
      <c r="V607" s="2" t="n">
        <f aca="false">IF(ISBLANK(T607),0,IF(ISNUMBER(T607),T607,VALUE(LEFT(T607,LEN(T607)-1))/100))</f>
        <v>0.85</v>
      </c>
      <c r="W607" s="2" t="str">
        <f aca="false">IF(AND(V607&gt;=0,V607&lt;=0.25),"Valid","Invalid")</f>
        <v>Invalid</v>
      </c>
      <c r="X607" s="2" t="n">
        <v>7560.04</v>
      </c>
      <c r="Y607" s="2" t="n">
        <f aca="false">R607*S607*(1-V607)</f>
        <v>1260.0075</v>
      </c>
      <c r="Z607" s="2" t="str">
        <f aca="false">IF(ABS(X607-Y607)&gt;1,"Mismatch","OK")</f>
        <v>Mismatch</v>
      </c>
      <c r="AA607" s="2" t="n">
        <v>6448.05</v>
      </c>
      <c r="AB607" s="2" t="n">
        <v>1111.99</v>
      </c>
      <c r="AC607" s="2" t="n">
        <f aca="false">Y607-AA607</f>
        <v>-5188.0425</v>
      </c>
      <c r="AD607" s="2" t="str">
        <f aca="false">IF(ABS(AB607-AC607)&gt;1,"Mismatch","OK")</f>
        <v>Mismatch</v>
      </c>
      <c r="AE607" s="4" t="n">
        <f aca="false">IF(Y607=0,0,AC607/Y607)</f>
        <v>-4.11746953887179</v>
      </c>
      <c r="AF607" s="2" t="s">
        <v>52</v>
      </c>
      <c r="AG607" s="2" t="s">
        <v>88</v>
      </c>
      <c r="AH607" s="2" t="str">
        <f aca="false">IF(AND(AG607="Completed",AF607&lt;&gt;"Paid"),"Inconsistent","OK")</f>
        <v>OK</v>
      </c>
      <c r="AI607" s="2" t="n">
        <f aca="false">IF(OR(ISBLANK(B607),ISBLANK(C607)),"",C607-B607)</f>
        <v>4</v>
      </c>
      <c r="AJ607" s="2" t="str">
        <f aca="false">IF(AI607="","Unknown",IF(AI607&lt;0,"Invalid","OK"))</f>
        <v>OK</v>
      </c>
      <c r="AK607" s="2" t="str">
        <f aca="false">IF(ISBLANK(B607),"",TEXT(B607,"mmm"))</f>
        <v>Jul</v>
      </c>
      <c r="AL607" s="2" t="n">
        <f aca="false">IF(ISBLANK(B607),"",YEAR(B607))</f>
        <v>2025</v>
      </c>
      <c r="AM607" s="2" t="s">
        <v>41</v>
      </c>
      <c r="AN607" s="2" t="str">
        <f aca="false">IF(OR(W607="Invalid",AJ607="Invalid",AH607="Inconsistent",Z607="Mismatch",AD607="Mismatch",AM607="Yes",D607="Yes",E607="Yes"),"Invalid",IF(OR(J607="Yes",Q607="Yes",U607="Yes"),"Warning","Clean"))</f>
        <v>Invalid</v>
      </c>
    </row>
    <row r="608" customFormat="false" ht="15" hidden="false" customHeight="false" outlineLevel="0" collapsed="false">
      <c r="A608" s="2" t="s">
        <v>1934</v>
      </c>
      <c r="B608" s="3" t="n">
        <v>45710</v>
      </c>
      <c r="C608" s="3" t="n">
        <v>45716</v>
      </c>
      <c r="D608" s="2" t="s">
        <v>41</v>
      </c>
      <c r="E608" s="2" t="s">
        <v>41</v>
      </c>
      <c r="F608" s="2" t="s">
        <v>1935</v>
      </c>
      <c r="G608" s="2" t="s">
        <v>138</v>
      </c>
      <c r="H608" s="2" t="s">
        <v>115</v>
      </c>
      <c r="I608" s="2" t="s">
        <v>83</v>
      </c>
      <c r="J608" s="2" t="s">
        <v>41</v>
      </c>
      <c r="K608" s="2" t="s">
        <v>92</v>
      </c>
      <c r="L608" s="2" t="s">
        <v>93</v>
      </c>
      <c r="M608" s="2" t="s">
        <v>94</v>
      </c>
      <c r="N608" s="2" t="s">
        <v>100</v>
      </c>
      <c r="O608" s="2" t="s">
        <v>1936</v>
      </c>
      <c r="P608" s="2" t="s">
        <v>64</v>
      </c>
      <c r="Q608" s="2" t="s">
        <v>41</v>
      </c>
      <c r="R608" s="2" t="n">
        <v>3</v>
      </c>
      <c r="S608" s="2" t="n">
        <v>3890.81</v>
      </c>
      <c r="T608" s="2" t="n">
        <v>0.25</v>
      </c>
      <c r="U608" s="2" t="str">
        <f aca="false">IF(ISBLANK(T608),"Yes","No")</f>
        <v>No</v>
      </c>
      <c r="V608" s="2" t="n">
        <f aca="false">IF(ISBLANK(T608),0,IF(ISNUMBER(T608),T608,VALUE(LEFT(T608,LEN(T608)-1))/100))</f>
        <v>0.25</v>
      </c>
      <c r="W608" s="2" t="str">
        <f aca="false">IF(AND(V608&gt;=0,V608&lt;=0.25),"Valid","Invalid")</f>
        <v>Valid</v>
      </c>
      <c r="X608" s="2" t="n">
        <v>8754.32</v>
      </c>
      <c r="Y608" s="2" t="n">
        <f aca="false">R608*S608*(1-V608)</f>
        <v>8754.3225</v>
      </c>
      <c r="Z608" s="2" t="str">
        <f aca="false">IF(ABS(X608-Y608)&gt;1,"Mismatch","OK")</f>
        <v>OK</v>
      </c>
      <c r="AA608" s="2" t="n">
        <v>6238.9</v>
      </c>
      <c r="AB608" s="2" t="n">
        <v>2515.42</v>
      </c>
      <c r="AC608" s="2" t="n">
        <f aca="false">Y608-AA608</f>
        <v>2515.4225</v>
      </c>
      <c r="AD608" s="2" t="str">
        <f aca="false">IF(ABS(AB608-AC608)&gt;1,"Mismatch","OK")</f>
        <v>OK</v>
      </c>
      <c r="AE608" s="4" t="n">
        <f aca="false">IF(Y608=0,0,AC608/Y608)</f>
        <v>0.287334913695492</v>
      </c>
      <c r="AF608" s="2" t="s">
        <v>52</v>
      </c>
      <c r="AG608" s="2" t="s">
        <v>53</v>
      </c>
      <c r="AH608" s="2" t="str">
        <f aca="false">IF(AND(AG608="Completed",AF608&lt;&gt;"Paid"),"Inconsistent","OK")</f>
        <v>OK</v>
      </c>
      <c r="AI608" s="2" t="n">
        <f aca="false">IF(OR(ISBLANK(B608),ISBLANK(C608)),"",C608-B608)</f>
        <v>6</v>
      </c>
      <c r="AJ608" s="2" t="str">
        <f aca="false">IF(AI608="","Unknown",IF(AI608&lt;0,"Invalid","OK"))</f>
        <v>OK</v>
      </c>
      <c r="AK608" s="2" t="str">
        <f aca="false">IF(ISBLANK(B608),"",TEXT(B608,"mmm"))</f>
        <v>Feb</v>
      </c>
      <c r="AL608" s="2" t="n">
        <f aca="false">IF(ISBLANK(B608),"",YEAR(B608))</f>
        <v>2025</v>
      </c>
      <c r="AM608" s="2" t="s">
        <v>41</v>
      </c>
      <c r="AN608" s="2" t="str">
        <f aca="false">IF(OR(W608="Invalid",AJ608="Invalid",AH608="Inconsistent",Z608="Mismatch",AD608="Mismatch",AM608="Yes",D608="Yes",E608="Yes"),"Invalid",IF(OR(J608="Yes",Q608="Yes",U608="Yes"),"Warning","Clean"))</f>
        <v>Clean</v>
      </c>
    </row>
    <row r="609" customFormat="false" ht="15" hidden="false" customHeight="false" outlineLevel="0" collapsed="false">
      <c r="A609" s="2" t="s">
        <v>1937</v>
      </c>
      <c r="B609" s="3" t="n">
        <v>45704</v>
      </c>
      <c r="C609" s="3" t="n">
        <v>45710</v>
      </c>
      <c r="D609" s="2" t="s">
        <v>41</v>
      </c>
      <c r="E609" s="2" t="s">
        <v>41</v>
      </c>
      <c r="F609" s="2" t="s">
        <v>1938</v>
      </c>
      <c r="G609" s="2" t="s">
        <v>152</v>
      </c>
      <c r="H609" s="2" t="s">
        <v>115</v>
      </c>
      <c r="I609" s="2" t="s">
        <v>58</v>
      </c>
      <c r="J609" s="2" t="s">
        <v>41</v>
      </c>
      <c r="K609" s="2" t="s">
        <v>165</v>
      </c>
      <c r="L609" s="2" t="s">
        <v>166</v>
      </c>
      <c r="M609" s="2" t="s">
        <v>48</v>
      </c>
      <c r="N609" s="2" t="s">
        <v>144</v>
      </c>
      <c r="O609" s="2" t="s">
        <v>1939</v>
      </c>
      <c r="P609" s="2" t="s">
        <v>64</v>
      </c>
      <c r="Q609" s="2" t="s">
        <v>41</v>
      </c>
      <c r="R609" s="2" t="n">
        <v>5</v>
      </c>
      <c r="S609" s="2" t="n">
        <v>954.67</v>
      </c>
      <c r="T609" s="2" t="n">
        <v>0.15</v>
      </c>
      <c r="U609" s="2" t="str">
        <f aca="false">IF(ISBLANK(T609),"Yes","No")</f>
        <v>No</v>
      </c>
      <c r="V609" s="2" t="n">
        <f aca="false">IF(ISBLANK(T609),0,IF(ISNUMBER(T609),T609,VALUE(LEFT(T609,LEN(T609)-1))/100))</f>
        <v>0.15</v>
      </c>
      <c r="W609" s="2" t="str">
        <f aca="false">IF(AND(V609&gt;=0,V609&lt;=0.25),"Valid","Invalid")</f>
        <v>Valid</v>
      </c>
      <c r="X609" s="2" t="n">
        <v>4057.35</v>
      </c>
      <c r="Y609" s="2" t="n">
        <f aca="false">R609*S609*(1-V609)</f>
        <v>4057.3475</v>
      </c>
      <c r="Z609" s="2" t="str">
        <f aca="false">IF(ABS(X609-Y609)&gt;1,"Mismatch","OK")</f>
        <v>OK</v>
      </c>
      <c r="AA609" s="2" t="n">
        <v>2862.03</v>
      </c>
      <c r="AB609" s="2" t="n">
        <v>1195.32</v>
      </c>
      <c r="AC609" s="2" t="n">
        <f aca="false">Y609-AA609</f>
        <v>1195.3175</v>
      </c>
      <c r="AD609" s="2" t="str">
        <f aca="false">IF(ABS(AB609-AC609)&gt;1,"Mismatch","OK")</f>
        <v>OK</v>
      </c>
      <c r="AE609" s="4" t="n">
        <f aca="false">IF(Y609=0,0,AC609/Y609)</f>
        <v>0.29460565061287</v>
      </c>
      <c r="AF609" s="2" t="s">
        <v>52</v>
      </c>
      <c r="AG609" s="2" t="s">
        <v>53</v>
      </c>
      <c r="AH609" s="2" t="str">
        <f aca="false">IF(AND(AG609="Completed",AF609&lt;&gt;"Paid"),"Inconsistent","OK")</f>
        <v>OK</v>
      </c>
      <c r="AI609" s="2" t="n">
        <f aca="false">IF(OR(ISBLANK(B609),ISBLANK(C609)),"",C609-B609)</f>
        <v>6</v>
      </c>
      <c r="AJ609" s="2" t="str">
        <f aca="false">IF(AI609="","Unknown",IF(AI609&lt;0,"Invalid","OK"))</f>
        <v>OK</v>
      </c>
      <c r="AK609" s="2" t="str">
        <f aca="false">IF(ISBLANK(B609),"",TEXT(B609,"mmm"))</f>
        <v>Feb</v>
      </c>
      <c r="AL609" s="2" t="n">
        <f aca="false">IF(ISBLANK(B609),"",YEAR(B609))</f>
        <v>2025</v>
      </c>
      <c r="AM609" s="2" t="s">
        <v>41</v>
      </c>
      <c r="AN609" s="2" t="str">
        <f aca="false">IF(OR(W609="Invalid",AJ609="Invalid",AH609="Inconsistent",Z609="Mismatch",AD609="Mismatch",AM609="Yes",D609="Yes",E609="Yes"),"Invalid",IF(OR(J609="Yes",Q609="Yes",U609="Yes"),"Warning","Clean"))</f>
        <v>Clean</v>
      </c>
    </row>
    <row r="610" customFormat="false" ht="15" hidden="false" customHeight="false" outlineLevel="0" collapsed="false">
      <c r="A610" s="2" t="s">
        <v>1940</v>
      </c>
      <c r="B610" s="3" t="n">
        <v>45464</v>
      </c>
      <c r="C610" s="3" t="n">
        <v>45466</v>
      </c>
      <c r="D610" s="2" t="s">
        <v>41</v>
      </c>
      <c r="E610" s="2" t="s">
        <v>41</v>
      </c>
      <c r="F610" s="2" t="s">
        <v>1717</v>
      </c>
      <c r="G610" s="2" t="s">
        <v>43</v>
      </c>
      <c r="H610" s="2" t="s">
        <v>115</v>
      </c>
      <c r="I610" s="2" t="s">
        <v>83</v>
      </c>
      <c r="J610" s="2" t="s">
        <v>41</v>
      </c>
      <c r="K610" s="2" t="s">
        <v>210</v>
      </c>
      <c r="L610" s="2" t="s">
        <v>211</v>
      </c>
      <c r="M610" s="2" t="s">
        <v>61</v>
      </c>
      <c r="N610" s="2" t="s">
        <v>77</v>
      </c>
      <c r="O610" s="2" t="s">
        <v>1941</v>
      </c>
      <c r="P610" s="2" t="s">
        <v>51</v>
      </c>
      <c r="Q610" s="2" t="s">
        <v>41</v>
      </c>
      <c r="R610" s="2" t="n">
        <v>9</v>
      </c>
      <c r="S610" s="2" t="n">
        <v>2153.75</v>
      </c>
      <c r="T610" s="2" t="n">
        <v>0</v>
      </c>
      <c r="U610" s="2" t="str">
        <f aca="false">IF(ISBLANK(T610),"Yes","No")</f>
        <v>No</v>
      </c>
      <c r="V610" s="2" t="n">
        <f aca="false">IF(ISBLANK(T610),0,IF(ISNUMBER(T610),T610,VALUE(LEFT(T610,LEN(T610)-1))/100))</f>
        <v>0</v>
      </c>
      <c r="W610" s="2" t="str">
        <f aca="false">IF(AND(V610&gt;=0,V610&lt;=0.25),"Valid","Invalid")</f>
        <v>Valid</v>
      </c>
      <c r="X610" s="2" t="n">
        <v>19383.75</v>
      </c>
      <c r="Y610" s="2" t="n">
        <f aca="false">R610*S610*(1-V610)</f>
        <v>19383.75</v>
      </c>
      <c r="Z610" s="2" t="str">
        <f aca="false">IF(ABS(X610-Y610)&gt;1,"Mismatch","OK")</f>
        <v>OK</v>
      </c>
      <c r="AA610" s="2" t="n">
        <v>11667.43</v>
      </c>
      <c r="AB610" s="2" t="n">
        <v>7716.32</v>
      </c>
      <c r="AC610" s="2" t="n">
        <f aca="false">Y610-AA610</f>
        <v>7716.32</v>
      </c>
      <c r="AD610" s="2" t="str">
        <f aca="false">IF(ABS(AB610-AC610)&gt;1,"Mismatch","OK")</f>
        <v>OK</v>
      </c>
      <c r="AE610" s="4" t="n">
        <f aca="false">IF(Y610=0,0,AC610/Y610)</f>
        <v>0.398081898497453</v>
      </c>
      <c r="AF610" s="2" t="s">
        <v>52</v>
      </c>
      <c r="AG610" s="2" t="s">
        <v>53</v>
      </c>
      <c r="AH610" s="2" t="str">
        <f aca="false">IF(AND(AG610="Completed",AF610&lt;&gt;"Paid"),"Inconsistent","OK")</f>
        <v>OK</v>
      </c>
      <c r="AI610" s="2" t="n">
        <f aca="false">IF(OR(ISBLANK(B610),ISBLANK(C610)),"",C610-B610)</f>
        <v>2</v>
      </c>
      <c r="AJ610" s="2" t="str">
        <f aca="false">IF(AI610="","Unknown",IF(AI610&lt;0,"Invalid","OK"))</f>
        <v>OK</v>
      </c>
      <c r="AK610" s="2" t="str">
        <f aca="false">IF(ISBLANK(B610),"",TEXT(B610,"mmm"))</f>
        <v>Jun</v>
      </c>
      <c r="AL610" s="2" t="n">
        <f aca="false">IF(ISBLANK(B610),"",YEAR(B610))</f>
        <v>2024</v>
      </c>
      <c r="AM610" s="2" t="s">
        <v>41</v>
      </c>
      <c r="AN610" s="2" t="str">
        <f aca="false">IF(OR(W610="Invalid",AJ610="Invalid",AH610="Inconsistent",Z610="Mismatch",AD610="Mismatch",AM610="Yes",D610="Yes",E610="Yes"),"Invalid",IF(OR(J610="Yes",Q610="Yes",U610="Yes"),"Warning","Clean"))</f>
        <v>Clean</v>
      </c>
    </row>
    <row r="611" customFormat="false" ht="15" hidden="false" customHeight="false" outlineLevel="0" collapsed="false">
      <c r="A611" s="2" t="s">
        <v>1942</v>
      </c>
      <c r="B611" s="3" t="n">
        <v>45665</v>
      </c>
      <c r="C611" s="3" t="n">
        <v>45669</v>
      </c>
      <c r="D611" s="2" t="s">
        <v>41</v>
      </c>
      <c r="E611" s="2" t="s">
        <v>41</v>
      </c>
      <c r="F611" s="2" t="s">
        <v>1943</v>
      </c>
      <c r="G611" s="2" t="s">
        <v>152</v>
      </c>
      <c r="H611" s="2" t="s">
        <v>115</v>
      </c>
      <c r="I611" s="2" t="s">
        <v>74</v>
      </c>
      <c r="J611" s="2" t="s">
        <v>41</v>
      </c>
      <c r="K611" s="2" t="s">
        <v>195</v>
      </c>
      <c r="L611" s="2" t="s">
        <v>196</v>
      </c>
      <c r="M611" s="2" t="s">
        <v>61</v>
      </c>
      <c r="N611" s="2" t="s">
        <v>86</v>
      </c>
      <c r="O611" s="2" t="s">
        <v>1944</v>
      </c>
      <c r="P611" s="2" t="s">
        <v>79</v>
      </c>
      <c r="Q611" s="2" t="s">
        <v>41</v>
      </c>
      <c r="R611" s="2" t="n">
        <v>7</v>
      </c>
      <c r="S611" s="2" t="n">
        <v>4337.48</v>
      </c>
      <c r="T611" s="2" t="n">
        <v>0</v>
      </c>
      <c r="U611" s="2" t="str">
        <f aca="false">IF(ISBLANK(T611),"Yes","No")</f>
        <v>No</v>
      </c>
      <c r="V611" s="2" t="n">
        <f aca="false">IF(ISBLANK(T611),0,IF(ISNUMBER(T611),T611,VALUE(LEFT(T611,LEN(T611)-1))/100))</f>
        <v>0</v>
      </c>
      <c r="W611" s="2" t="str">
        <f aca="false">IF(AND(V611&gt;=0,V611&lt;=0.25),"Valid","Invalid")</f>
        <v>Valid</v>
      </c>
      <c r="X611" s="2" t="n">
        <v>30362.36</v>
      </c>
      <c r="Y611" s="2" t="n">
        <f aca="false">R611*S611*(1-V611)</f>
        <v>30362.36</v>
      </c>
      <c r="Z611" s="2" t="str">
        <f aca="false">IF(ABS(X611-Y611)&gt;1,"Mismatch","OK")</f>
        <v>OK</v>
      </c>
      <c r="AA611" s="2" t="n">
        <v>25065.4</v>
      </c>
      <c r="AB611" s="2" t="n">
        <v>5296.96</v>
      </c>
      <c r="AC611" s="2" t="n">
        <f aca="false">Y611-AA611</f>
        <v>5296.96</v>
      </c>
      <c r="AD611" s="2" t="str">
        <f aca="false">IF(ABS(AB611-AC611)&gt;1,"Mismatch","OK")</f>
        <v>OK</v>
      </c>
      <c r="AE611" s="4" t="n">
        <f aca="false">IF(Y611=0,0,AC611/Y611)</f>
        <v>0.174458111951772</v>
      </c>
      <c r="AF611" s="2" t="s">
        <v>52</v>
      </c>
      <c r="AG611" s="2" t="s">
        <v>53</v>
      </c>
      <c r="AH611" s="2" t="str">
        <f aca="false">IF(AND(AG611="Completed",AF611&lt;&gt;"Paid"),"Inconsistent","OK")</f>
        <v>OK</v>
      </c>
      <c r="AI611" s="2" t="n">
        <f aca="false">IF(OR(ISBLANK(B611),ISBLANK(C611)),"",C611-B611)</f>
        <v>4</v>
      </c>
      <c r="AJ611" s="2" t="str">
        <f aca="false">IF(AI611="","Unknown",IF(AI611&lt;0,"Invalid","OK"))</f>
        <v>OK</v>
      </c>
      <c r="AK611" s="2" t="str">
        <f aca="false">IF(ISBLANK(B611),"",TEXT(B611,"mmm"))</f>
        <v>Jan</v>
      </c>
      <c r="AL611" s="2" t="n">
        <f aca="false">IF(ISBLANK(B611),"",YEAR(B611))</f>
        <v>2025</v>
      </c>
      <c r="AM611" s="2" t="s">
        <v>41</v>
      </c>
      <c r="AN611" s="2" t="str">
        <f aca="false">IF(OR(W611="Invalid",AJ611="Invalid",AH611="Inconsistent",Z611="Mismatch",AD611="Mismatch",AM611="Yes",D611="Yes",E611="Yes"),"Invalid",IF(OR(J611="Yes",Q611="Yes",U611="Yes"),"Warning","Clean"))</f>
        <v>Clean</v>
      </c>
    </row>
    <row r="612" customFormat="false" ht="15" hidden="false" customHeight="false" outlineLevel="0" collapsed="false">
      <c r="A612" s="2" t="s">
        <v>1945</v>
      </c>
      <c r="B612" s="3" t="n">
        <v>45432</v>
      </c>
      <c r="C612" s="3" t="n">
        <v>45432</v>
      </c>
      <c r="D612" s="2" t="s">
        <v>41</v>
      </c>
      <c r="E612" s="2" t="s">
        <v>41</v>
      </c>
      <c r="F612" s="2" t="s">
        <v>1389</v>
      </c>
      <c r="G612" s="2" t="s">
        <v>43</v>
      </c>
      <c r="H612" s="2" t="s">
        <v>115</v>
      </c>
      <c r="I612" s="2" t="s">
        <v>83</v>
      </c>
      <c r="J612" s="2" t="s">
        <v>41</v>
      </c>
      <c r="K612" s="2" t="s">
        <v>92</v>
      </c>
      <c r="L612" s="2" t="s">
        <v>93</v>
      </c>
      <c r="M612" s="2" t="s">
        <v>61</v>
      </c>
      <c r="N612" s="2" t="s">
        <v>86</v>
      </c>
      <c r="O612" s="2" t="s">
        <v>1946</v>
      </c>
      <c r="P612" s="2" t="s">
        <v>79</v>
      </c>
      <c r="Q612" s="2" t="s">
        <v>41</v>
      </c>
      <c r="R612" s="2" t="n">
        <v>1</v>
      </c>
      <c r="S612" s="2" t="n">
        <v>3032.95</v>
      </c>
      <c r="T612" s="2" t="n">
        <v>0.1</v>
      </c>
      <c r="U612" s="2" t="str">
        <f aca="false">IF(ISBLANK(T612),"Yes","No")</f>
        <v>No</v>
      </c>
      <c r="V612" s="2" t="n">
        <f aca="false">IF(ISBLANK(T612),0,IF(ISNUMBER(T612),T612,VALUE(LEFT(T612,LEN(T612)-1))/100))</f>
        <v>0.1</v>
      </c>
      <c r="W612" s="2" t="str">
        <f aca="false">IF(AND(V612&gt;=0,V612&lt;=0.25),"Valid","Invalid")</f>
        <v>Valid</v>
      </c>
      <c r="X612" s="2" t="n">
        <v>2729.65</v>
      </c>
      <c r="Y612" s="2" t="n">
        <f aca="false">R612*S612*(1-V612)</f>
        <v>2729.655</v>
      </c>
      <c r="Z612" s="2" t="str">
        <f aca="false">IF(ABS(X612-Y612)&gt;1,"Mismatch","OK")</f>
        <v>OK</v>
      </c>
      <c r="AA612" s="2" t="n">
        <v>1715.36</v>
      </c>
      <c r="AB612" s="2" t="n">
        <v>1014.29</v>
      </c>
      <c r="AC612" s="2" t="n">
        <f aca="false">Y612-AA612</f>
        <v>1014.295</v>
      </c>
      <c r="AD612" s="2" t="str">
        <f aca="false">IF(ABS(AB612-AC612)&gt;1,"Mismatch","OK")</f>
        <v>OK</v>
      </c>
      <c r="AE612" s="4" t="n">
        <f aca="false">IF(Y612=0,0,AC612/Y612)</f>
        <v>0.371583588402197</v>
      </c>
      <c r="AF612" s="2" t="s">
        <v>52</v>
      </c>
      <c r="AG612" s="2" t="s">
        <v>53</v>
      </c>
      <c r="AH612" s="2" t="str">
        <f aca="false">IF(AND(AG612="Completed",AF612&lt;&gt;"Paid"),"Inconsistent","OK")</f>
        <v>OK</v>
      </c>
      <c r="AI612" s="2" t="n">
        <f aca="false">IF(OR(ISBLANK(B612),ISBLANK(C612)),"",C612-B612)</f>
        <v>0</v>
      </c>
      <c r="AJ612" s="2" t="str">
        <f aca="false">IF(AI612="","Unknown",IF(AI612&lt;0,"Invalid","OK"))</f>
        <v>OK</v>
      </c>
      <c r="AK612" s="2" t="str">
        <f aca="false">IF(ISBLANK(B612),"",TEXT(B612,"mmm"))</f>
        <v>May</v>
      </c>
      <c r="AL612" s="2" t="n">
        <f aca="false">IF(ISBLANK(B612),"",YEAR(B612))</f>
        <v>2024</v>
      </c>
      <c r="AM612" s="2" t="s">
        <v>41</v>
      </c>
      <c r="AN612" s="2" t="str">
        <f aca="false">IF(OR(W612="Invalid",AJ612="Invalid",AH612="Inconsistent",Z612="Mismatch",AD612="Mismatch",AM612="Yes",D612="Yes",E612="Yes"),"Invalid",IF(OR(J612="Yes",Q612="Yes",U612="Yes"),"Warning","Clean"))</f>
        <v>Clean</v>
      </c>
    </row>
    <row r="613" customFormat="false" ht="15" hidden="false" customHeight="false" outlineLevel="0" collapsed="false">
      <c r="A613" s="2" t="s">
        <v>1947</v>
      </c>
      <c r="B613" s="3" t="n">
        <v>45846</v>
      </c>
      <c r="C613" s="3" t="n">
        <v>45853</v>
      </c>
      <c r="D613" s="2" t="s">
        <v>41</v>
      </c>
      <c r="E613" s="2" t="s">
        <v>41</v>
      </c>
      <c r="F613" s="2" t="s">
        <v>1948</v>
      </c>
      <c r="G613" s="2" t="s">
        <v>82</v>
      </c>
      <c r="H613" s="2" t="s">
        <v>57</v>
      </c>
      <c r="I613" s="2" t="s">
        <v>45</v>
      </c>
      <c r="J613" s="2" t="s">
        <v>41</v>
      </c>
      <c r="K613" s="2" t="s">
        <v>46</v>
      </c>
      <c r="L613" s="2" t="s">
        <v>47</v>
      </c>
      <c r="M613" s="2" t="s">
        <v>48</v>
      </c>
      <c r="N613" s="2" t="s">
        <v>173</v>
      </c>
      <c r="O613" s="2" t="s">
        <v>1949</v>
      </c>
      <c r="P613" s="2" t="s">
        <v>64</v>
      </c>
      <c r="Q613" s="2" t="s">
        <v>41</v>
      </c>
      <c r="R613" s="2" t="n">
        <v>8</v>
      </c>
      <c r="S613" s="2" t="n">
        <v>655.28</v>
      </c>
      <c r="T613" s="2" t="n">
        <v>0.1</v>
      </c>
      <c r="U613" s="2" t="str">
        <f aca="false">IF(ISBLANK(T613),"Yes","No")</f>
        <v>No</v>
      </c>
      <c r="V613" s="2" t="n">
        <f aca="false">IF(ISBLANK(T613),0,IF(ISNUMBER(T613),T613,VALUE(LEFT(T613,LEN(T613)-1))/100))</f>
        <v>0.1</v>
      </c>
      <c r="W613" s="2" t="str">
        <f aca="false">IF(AND(V613&gt;=0,V613&lt;=0.25),"Valid","Invalid")</f>
        <v>Valid</v>
      </c>
      <c r="X613" s="2" t="n">
        <v>4718.02</v>
      </c>
      <c r="Y613" s="2" t="n">
        <f aca="false">R613*S613*(1-V613)</f>
        <v>4718.016</v>
      </c>
      <c r="Z613" s="2" t="str">
        <f aca="false">IF(ABS(X613-Y613)&gt;1,"Mismatch","OK")</f>
        <v>OK</v>
      </c>
      <c r="AA613" s="2" t="n">
        <v>3908.23</v>
      </c>
      <c r="AB613" s="2" t="n">
        <v>809.79</v>
      </c>
      <c r="AC613" s="2" t="n">
        <f aca="false">Y613-AA613</f>
        <v>809.786</v>
      </c>
      <c r="AD613" s="2" t="str">
        <f aca="false">IF(ABS(AB613-AC613)&gt;1,"Mismatch","OK")</f>
        <v>OK</v>
      </c>
      <c r="AE613" s="4" t="n">
        <f aca="false">IF(Y613=0,0,AC613/Y613)</f>
        <v>0.171636976220513</v>
      </c>
      <c r="AF613" s="2" t="s">
        <v>52</v>
      </c>
      <c r="AG613" s="2" t="s">
        <v>53</v>
      </c>
      <c r="AH613" s="2" t="str">
        <f aca="false">IF(AND(AG613="Completed",AF613&lt;&gt;"Paid"),"Inconsistent","OK")</f>
        <v>OK</v>
      </c>
      <c r="AI613" s="2" t="n">
        <f aca="false">IF(OR(ISBLANK(B613),ISBLANK(C613)),"",C613-B613)</f>
        <v>7</v>
      </c>
      <c r="AJ613" s="2" t="str">
        <f aca="false">IF(AI613="","Unknown",IF(AI613&lt;0,"Invalid","OK"))</f>
        <v>OK</v>
      </c>
      <c r="AK613" s="2" t="str">
        <f aca="false">IF(ISBLANK(B613),"",TEXT(B613,"mmm"))</f>
        <v>Jul</v>
      </c>
      <c r="AL613" s="2" t="n">
        <f aca="false">IF(ISBLANK(B613),"",YEAR(B613))</f>
        <v>2025</v>
      </c>
      <c r="AM613" s="2" t="s">
        <v>41</v>
      </c>
      <c r="AN613" s="2" t="str">
        <f aca="false">IF(OR(W613="Invalid",AJ613="Invalid",AH613="Inconsistent",Z613="Mismatch",AD613="Mismatch",AM613="Yes",D613="Yes",E613="Yes"),"Invalid",IF(OR(J613="Yes",Q613="Yes",U613="Yes"),"Warning","Clean"))</f>
        <v>Clean</v>
      </c>
    </row>
    <row r="614" customFormat="false" ht="15" hidden="false" customHeight="false" outlineLevel="0" collapsed="false">
      <c r="A614" s="2" t="s">
        <v>1950</v>
      </c>
      <c r="B614" s="3" t="n">
        <v>45753</v>
      </c>
      <c r="C614" s="3" t="n">
        <v>45760</v>
      </c>
      <c r="D614" s="2" t="s">
        <v>41</v>
      </c>
      <c r="E614" s="2" t="s">
        <v>41</v>
      </c>
      <c r="F614" s="2" t="s">
        <v>1951</v>
      </c>
      <c r="G614" s="2" t="s">
        <v>109</v>
      </c>
      <c r="H614" s="2" t="s">
        <v>44</v>
      </c>
      <c r="I614" s="2" t="s">
        <v>225</v>
      </c>
      <c r="J614" s="2" t="s">
        <v>226</v>
      </c>
      <c r="K614" s="2" t="s">
        <v>59</v>
      </c>
      <c r="L614" s="2" t="s">
        <v>60</v>
      </c>
      <c r="M614" s="2" t="s">
        <v>94</v>
      </c>
      <c r="N614" s="2" t="s">
        <v>191</v>
      </c>
      <c r="O614" s="2" t="s">
        <v>1952</v>
      </c>
      <c r="P614" s="2" t="s">
        <v>79</v>
      </c>
      <c r="Q614" s="2" t="s">
        <v>41</v>
      </c>
      <c r="R614" s="2" t="n">
        <v>1</v>
      </c>
      <c r="S614" s="2" t="n">
        <v>3844.01</v>
      </c>
      <c r="T614" s="2" t="n">
        <v>0</v>
      </c>
      <c r="U614" s="2" t="str">
        <f aca="false">IF(ISBLANK(T614),"Yes","No")</f>
        <v>No</v>
      </c>
      <c r="V614" s="2" t="n">
        <f aca="false">IF(ISBLANK(T614),0,IF(ISNUMBER(T614),T614,VALUE(LEFT(T614,LEN(T614)-1))/100))</f>
        <v>0</v>
      </c>
      <c r="W614" s="2" t="str">
        <f aca="false">IF(AND(V614&gt;=0,V614&lt;=0.25),"Valid","Invalid")</f>
        <v>Valid</v>
      </c>
      <c r="X614" s="2" t="n">
        <v>3844.01</v>
      </c>
      <c r="Y614" s="2" t="n">
        <f aca="false">R614*S614*(1-V614)</f>
        <v>3844.01</v>
      </c>
      <c r="Z614" s="2" t="str">
        <f aca="false">IF(ABS(X614-Y614)&gt;1,"Mismatch","OK")</f>
        <v>OK</v>
      </c>
      <c r="AA614" s="2" t="n">
        <v>2195.79</v>
      </c>
      <c r="AB614" s="2" t="n">
        <v>1648.22</v>
      </c>
      <c r="AC614" s="2" t="n">
        <f aca="false">Y614-AA614</f>
        <v>1648.22</v>
      </c>
      <c r="AD614" s="2" t="str">
        <f aca="false">IF(ABS(AB614-AC614)&gt;1,"Mismatch","OK")</f>
        <v>OK</v>
      </c>
      <c r="AE614" s="4" t="n">
        <f aca="false">IF(Y614=0,0,AC614/Y614)</f>
        <v>0.428776199853799</v>
      </c>
      <c r="AF614" s="2" t="s">
        <v>52</v>
      </c>
      <c r="AG614" s="2" t="s">
        <v>53</v>
      </c>
      <c r="AH614" s="2" t="str">
        <f aca="false">IF(AND(AG614="Completed",AF614&lt;&gt;"Paid"),"Inconsistent","OK")</f>
        <v>OK</v>
      </c>
      <c r="AI614" s="2" t="n">
        <f aca="false">IF(OR(ISBLANK(B614),ISBLANK(C614)),"",C614-B614)</f>
        <v>7</v>
      </c>
      <c r="AJ614" s="2" t="str">
        <f aca="false">IF(AI614="","Unknown",IF(AI614&lt;0,"Invalid","OK"))</f>
        <v>OK</v>
      </c>
      <c r="AK614" s="2" t="str">
        <f aca="false">IF(ISBLANK(B614),"",TEXT(B614,"mmm"))</f>
        <v>Apr</v>
      </c>
      <c r="AL614" s="2" t="n">
        <f aca="false">IF(ISBLANK(B614),"",YEAR(B614))</f>
        <v>2025</v>
      </c>
      <c r="AM614" s="2" t="s">
        <v>41</v>
      </c>
      <c r="AN614" s="2" t="str">
        <f aca="false">IF(OR(W614="Invalid",AJ614="Invalid",AH614="Inconsistent",Z614="Mismatch",AD614="Mismatch",AM614="Yes",D614="Yes",E614="Yes"),"Invalid",IF(OR(J614="Yes",Q614="Yes",U614="Yes"),"Warning","Clean"))</f>
        <v>Warning</v>
      </c>
    </row>
    <row r="615" customFormat="false" ht="15" hidden="false" customHeight="false" outlineLevel="0" collapsed="false">
      <c r="A615" s="2" t="s">
        <v>1953</v>
      </c>
      <c r="B615" s="3" t="n">
        <v>45570</v>
      </c>
      <c r="C615" s="3" t="n">
        <v>45575</v>
      </c>
      <c r="D615" s="2" t="s">
        <v>41</v>
      </c>
      <c r="E615" s="2" t="s">
        <v>41</v>
      </c>
      <c r="F615" s="2" t="s">
        <v>1954</v>
      </c>
      <c r="G615" s="2" t="s">
        <v>182</v>
      </c>
      <c r="H615" s="2" t="s">
        <v>115</v>
      </c>
      <c r="I615" s="2" t="s">
        <v>83</v>
      </c>
      <c r="J615" s="2" t="s">
        <v>41</v>
      </c>
      <c r="K615" s="2" t="s">
        <v>200</v>
      </c>
      <c r="L615" s="2" t="s">
        <v>201</v>
      </c>
      <c r="M615" s="2" t="s">
        <v>94</v>
      </c>
      <c r="N615" s="2" t="s">
        <v>296</v>
      </c>
      <c r="O615" s="2" t="s">
        <v>1955</v>
      </c>
      <c r="P615" s="2" t="s">
        <v>64</v>
      </c>
      <c r="Q615" s="2" t="s">
        <v>41</v>
      </c>
      <c r="R615" s="2" t="n">
        <v>9</v>
      </c>
      <c r="S615" s="2" t="n">
        <v>3361.3</v>
      </c>
      <c r="T615" s="2" t="n">
        <v>0.25</v>
      </c>
      <c r="U615" s="2" t="str">
        <f aca="false">IF(ISBLANK(T615),"Yes","No")</f>
        <v>No</v>
      </c>
      <c r="V615" s="2" t="n">
        <f aca="false">IF(ISBLANK(T615),0,IF(ISNUMBER(T615),T615,VALUE(LEFT(T615,LEN(T615)-1))/100))</f>
        <v>0.25</v>
      </c>
      <c r="W615" s="2" t="str">
        <f aca="false">IF(AND(V615&gt;=0,V615&lt;=0.25),"Valid","Invalid")</f>
        <v>Valid</v>
      </c>
      <c r="X615" s="2" t="n">
        <v>22688.78</v>
      </c>
      <c r="Y615" s="2" t="n">
        <f aca="false">R615*S615*(1-V615)</f>
        <v>22688.775</v>
      </c>
      <c r="Z615" s="2" t="str">
        <f aca="false">IF(ABS(X615-Y615)&gt;1,"Mismatch","OK")</f>
        <v>OK</v>
      </c>
      <c r="AA615" s="2" t="n">
        <v>14672.41</v>
      </c>
      <c r="AB615" s="2" t="n">
        <v>8016.37</v>
      </c>
      <c r="AC615" s="2" t="n">
        <f aca="false">Y615-AA615</f>
        <v>8016.365</v>
      </c>
      <c r="AD615" s="2" t="str">
        <f aca="false">IF(ABS(AB615-AC615)&gt;1,"Mismatch","OK")</f>
        <v>OK</v>
      </c>
      <c r="AE615" s="4" t="n">
        <f aca="false">IF(Y615=0,0,AC615/Y615)</f>
        <v>0.353318546285553</v>
      </c>
      <c r="AF615" s="2" t="s">
        <v>52</v>
      </c>
      <c r="AG615" s="2" t="s">
        <v>53</v>
      </c>
      <c r="AH615" s="2" t="str">
        <f aca="false">IF(AND(AG615="Completed",AF615&lt;&gt;"Paid"),"Inconsistent","OK")</f>
        <v>OK</v>
      </c>
      <c r="AI615" s="2" t="n">
        <f aca="false">IF(OR(ISBLANK(B615),ISBLANK(C615)),"",C615-B615)</f>
        <v>5</v>
      </c>
      <c r="AJ615" s="2" t="str">
        <f aca="false">IF(AI615="","Unknown",IF(AI615&lt;0,"Invalid","OK"))</f>
        <v>OK</v>
      </c>
      <c r="AK615" s="2" t="str">
        <f aca="false">IF(ISBLANK(B615),"",TEXT(B615,"mmm"))</f>
        <v>Oct</v>
      </c>
      <c r="AL615" s="2" t="n">
        <f aca="false">IF(ISBLANK(B615),"",YEAR(B615))</f>
        <v>2024</v>
      </c>
      <c r="AM615" s="2" t="s">
        <v>41</v>
      </c>
      <c r="AN615" s="2" t="str">
        <f aca="false">IF(OR(W615="Invalid",AJ615="Invalid",AH615="Inconsistent",Z615="Mismatch",AD615="Mismatch",AM615="Yes",D615="Yes",E615="Yes"),"Invalid",IF(OR(J615="Yes",Q615="Yes",U615="Yes"),"Warning","Clean"))</f>
        <v>Clean</v>
      </c>
    </row>
    <row r="616" customFormat="false" ht="15" hidden="false" customHeight="false" outlineLevel="0" collapsed="false">
      <c r="A616" s="2" t="s">
        <v>1956</v>
      </c>
      <c r="B616" s="3" t="n">
        <v>45333</v>
      </c>
      <c r="C616" s="3" t="n">
        <v>45341</v>
      </c>
      <c r="D616" s="2" t="s">
        <v>41</v>
      </c>
      <c r="E616" s="2" t="s">
        <v>41</v>
      </c>
      <c r="F616" s="2" t="s">
        <v>1957</v>
      </c>
      <c r="G616" s="2" t="s">
        <v>82</v>
      </c>
      <c r="H616" s="2" t="s">
        <v>115</v>
      </c>
      <c r="I616" s="2" t="s">
        <v>74</v>
      </c>
      <c r="J616" s="2" t="s">
        <v>41</v>
      </c>
      <c r="K616" s="2" t="s">
        <v>75</v>
      </c>
      <c r="L616" s="2" t="s">
        <v>76</v>
      </c>
      <c r="M616" s="2" t="s">
        <v>61</v>
      </c>
      <c r="N616" s="2" t="s">
        <v>86</v>
      </c>
      <c r="O616" s="2" t="s">
        <v>1958</v>
      </c>
      <c r="P616" s="2" t="s">
        <v>79</v>
      </c>
      <c r="Q616" s="2" t="s">
        <v>41</v>
      </c>
      <c r="R616" s="2" t="n">
        <v>8</v>
      </c>
      <c r="S616" s="2" t="n">
        <v>3398.32</v>
      </c>
      <c r="T616" s="2" t="n">
        <v>0.25</v>
      </c>
      <c r="U616" s="2" t="str">
        <f aca="false">IF(ISBLANK(T616),"Yes","No")</f>
        <v>No</v>
      </c>
      <c r="V616" s="2" t="n">
        <f aca="false">IF(ISBLANK(T616),0,IF(ISNUMBER(T616),T616,VALUE(LEFT(T616,LEN(T616)-1))/100))</f>
        <v>0.25</v>
      </c>
      <c r="W616" s="2" t="str">
        <f aca="false">IF(AND(V616&gt;=0,V616&lt;=0.25),"Valid","Invalid")</f>
        <v>Valid</v>
      </c>
      <c r="X616" s="2" t="n">
        <v>20389.92</v>
      </c>
      <c r="Y616" s="2" t="n">
        <f aca="false">R616*S616*(1-V616)</f>
        <v>20389.92</v>
      </c>
      <c r="Z616" s="2" t="str">
        <f aca="false">IF(ABS(X616-Y616)&gt;1,"Mismatch","OK")</f>
        <v>OK</v>
      </c>
      <c r="AA616" s="2" t="n">
        <v>16661.08</v>
      </c>
      <c r="AB616" s="2" t="n">
        <v>3728.84</v>
      </c>
      <c r="AC616" s="2" t="n">
        <f aca="false">Y616-AA616</f>
        <v>3728.84</v>
      </c>
      <c r="AD616" s="2" t="str">
        <f aca="false">IF(ABS(AB616-AC616)&gt;1,"Mismatch","OK")</f>
        <v>OK</v>
      </c>
      <c r="AE616" s="4" t="n">
        <f aca="false">IF(Y616=0,0,AC616/Y616)</f>
        <v>0.182876637083422</v>
      </c>
      <c r="AF616" s="2" t="s">
        <v>122</v>
      </c>
      <c r="AG616" s="2" t="s">
        <v>88</v>
      </c>
      <c r="AH616" s="2" t="str">
        <f aca="false">IF(AND(AG616="Completed",AF616&lt;&gt;"Paid"),"Inconsistent","OK")</f>
        <v>OK</v>
      </c>
      <c r="AI616" s="2" t="n">
        <f aca="false">IF(OR(ISBLANK(B616),ISBLANK(C616)),"",C616-B616)</f>
        <v>8</v>
      </c>
      <c r="AJ616" s="2" t="str">
        <f aca="false">IF(AI616="","Unknown",IF(AI616&lt;0,"Invalid","OK"))</f>
        <v>OK</v>
      </c>
      <c r="AK616" s="2" t="str">
        <f aca="false">IF(ISBLANK(B616),"",TEXT(B616,"mmm"))</f>
        <v>Feb</v>
      </c>
      <c r="AL616" s="2" t="n">
        <f aca="false">IF(ISBLANK(B616),"",YEAR(B616))</f>
        <v>2024</v>
      </c>
      <c r="AM616" s="2" t="s">
        <v>41</v>
      </c>
      <c r="AN616" s="2" t="str">
        <f aca="false">IF(OR(W616="Invalid",AJ616="Invalid",AH616="Inconsistent",Z616="Mismatch",AD616="Mismatch",AM616="Yes",D616="Yes",E616="Yes"),"Invalid",IF(OR(J616="Yes",Q616="Yes",U616="Yes"),"Warning","Clean"))</f>
        <v>Clean</v>
      </c>
    </row>
    <row r="617" customFormat="false" ht="15" hidden="false" customHeight="false" outlineLevel="0" collapsed="false">
      <c r="A617" s="2" t="s">
        <v>1959</v>
      </c>
      <c r="B617" s="3" t="n">
        <v>45569</v>
      </c>
      <c r="C617" s="3" t="n">
        <v>45572</v>
      </c>
      <c r="D617" s="2" t="s">
        <v>41</v>
      </c>
      <c r="E617" s="2" t="s">
        <v>41</v>
      </c>
      <c r="F617" s="2" t="s">
        <v>1960</v>
      </c>
      <c r="G617" s="2" t="s">
        <v>138</v>
      </c>
      <c r="H617" s="2" t="s">
        <v>110</v>
      </c>
      <c r="I617" s="2" t="s">
        <v>74</v>
      </c>
      <c r="J617" s="2" t="s">
        <v>41</v>
      </c>
      <c r="K617" s="2" t="s">
        <v>205</v>
      </c>
      <c r="L617" s="2" t="s">
        <v>206</v>
      </c>
      <c r="M617" s="2" t="s">
        <v>48</v>
      </c>
      <c r="N617" s="2" t="s">
        <v>68</v>
      </c>
      <c r="O617" s="2" t="s">
        <v>1961</v>
      </c>
      <c r="P617" s="2" t="s">
        <v>51</v>
      </c>
      <c r="Q617" s="2" t="s">
        <v>41</v>
      </c>
      <c r="R617" s="2" t="n">
        <v>2</v>
      </c>
      <c r="S617" s="2" t="n">
        <v>3144.38</v>
      </c>
      <c r="T617" s="2" t="n">
        <v>0.1</v>
      </c>
      <c r="U617" s="2" t="str">
        <f aca="false">IF(ISBLANK(T617),"Yes","No")</f>
        <v>No</v>
      </c>
      <c r="V617" s="2" t="n">
        <f aca="false">IF(ISBLANK(T617),0,IF(ISNUMBER(T617),T617,VALUE(LEFT(T617,LEN(T617)-1))/100))</f>
        <v>0.1</v>
      </c>
      <c r="W617" s="2" t="str">
        <f aca="false">IF(AND(V617&gt;=0,V617&lt;=0.25),"Valid","Invalid")</f>
        <v>Valid</v>
      </c>
      <c r="X617" s="2" t="n">
        <v>5904.57</v>
      </c>
      <c r="Y617" s="2" t="n">
        <f aca="false">R617*S617*(1-V617)</f>
        <v>5659.884</v>
      </c>
      <c r="Z617" s="2" t="str">
        <f aca="false">IF(ABS(X617-Y617)&gt;1,"Mismatch","OK")</f>
        <v>Mismatch</v>
      </c>
      <c r="AA617" s="2" t="n">
        <v>4337.79</v>
      </c>
      <c r="AB617" s="2" t="n">
        <v>1322.09</v>
      </c>
      <c r="AC617" s="2" t="n">
        <f aca="false">Y617-AA617</f>
        <v>1322.094</v>
      </c>
      <c r="AD617" s="2" t="str">
        <f aca="false">IF(ABS(AB617-AC617)&gt;1,"Mismatch","OK")</f>
        <v>OK</v>
      </c>
      <c r="AE617" s="4" t="n">
        <f aca="false">IF(Y617=0,0,AC617/Y617)</f>
        <v>0.233590299730525</v>
      </c>
      <c r="AF617" s="2" t="s">
        <v>52</v>
      </c>
      <c r="AG617" s="2" t="s">
        <v>53</v>
      </c>
      <c r="AH617" s="2" t="str">
        <f aca="false">IF(AND(AG617="Completed",AF617&lt;&gt;"Paid"),"Inconsistent","OK")</f>
        <v>OK</v>
      </c>
      <c r="AI617" s="2" t="n">
        <f aca="false">IF(OR(ISBLANK(B617),ISBLANK(C617)),"",C617-B617)</f>
        <v>3</v>
      </c>
      <c r="AJ617" s="2" t="str">
        <f aca="false">IF(AI617="","Unknown",IF(AI617&lt;0,"Invalid","OK"))</f>
        <v>OK</v>
      </c>
      <c r="AK617" s="2" t="str">
        <f aca="false">IF(ISBLANK(B617),"",TEXT(B617,"mmm"))</f>
        <v>Oct</v>
      </c>
      <c r="AL617" s="2" t="n">
        <f aca="false">IF(ISBLANK(B617),"",YEAR(B617))</f>
        <v>2024</v>
      </c>
      <c r="AM617" s="2" t="s">
        <v>41</v>
      </c>
      <c r="AN617" s="2" t="str">
        <f aca="false">IF(OR(W617="Invalid",AJ617="Invalid",AH617="Inconsistent",Z617="Mismatch",AD617="Mismatch",AM617="Yes",D617="Yes",E617="Yes"),"Invalid",IF(OR(J617="Yes",Q617="Yes",U617="Yes"),"Warning","Clean"))</f>
        <v>Invalid</v>
      </c>
    </row>
    <row r="618" customFormat="false" ht="15" hidden="false" customHeight="false" outlineLevel="0" collapsed="false">
      <c r="A618" s="2" t="s">
        <v>1962</v>
      </c>
      <c r="B618" s="3" t="n">
        <v>45520</v>
      </c>
      <c r="C618" s="3" t="n">
        <v>45523</v>
      </c>
      <c r="D618" s="2" t="s">
        <v>41</v>
      </c>
      <c r="E618" s="2" t="s">
        <v>41</v>
      </c>
      <c r="F618" s="2" t="s">
        <v>1963</v>
      </c>
      <c r="G618" s="2" t="s">
        <v>286</v>
      </c>
      <c r="H618" s="2" t="s">
        <v>44</v>
      </c>
      <c r="I618" s="2" t="s">
        <v>74</v>
      </c>
      <c r="J618" s="2" t="s">
        <v>41</v>
      </c>
      <c r="K618" s="2" t="s">
        <v>75</v>
      </c>
      <c r="L618" s="2" t="s">
        <v>76</v>
      </c>
      <c r="M618" s="2" t="s">
        <v>48</v>
      </c>
      <c r="N618" s="2" t="s">
        <v>49</v>
      </c>
      <c r="O618" s="2" t="s">
        <v>1964</v>
      </c>
      <c r="P618" s="2" t="s">
        <v>79</v>
      </c>
      <c r="Q618" s="2" t="s">
        <v>41</v>
      </c>
      <c r="R618" s="2" t="n">
        <v>6</v>
      </c>
      <c r="S618" s="2" t="n">
        <v>3925.55</v>
      </c>
      <c r="T618" s="2" t="n">
        <v>0.2</v>
      </c>
      <c r="U618" s="2" t="str">
        <f aca="false">IF(ISBLANK(T618),"Yes","No")</f>
        <v>No</v>
      </c>
      <c r="V618" s="2" t="n">
        <f aca="false">IF(ISBLANK(T618),0,IF(ISNUMBER(T618),T618,VALUE(LEFT(T618,LEN(T618)-1))/100))</f>
        <v>0.2</v>
      </c>
      <c r="W618" s="2" t="str">
        <f aca="false">IF(AND(V618&gt;=0,V618&lt;=0.25),"Valid","Invalid")</f>
        <v>Valid</v>
      </c>
      <c r="X618" s="2" t="n">
        <v>18842.64</v>
      </c>
      <c r="Y618" s="2" t="n">
        <f aca="false">R618*S618*(1-V618)</f>
        <v>18842.64</v>
      </c>
      <c r="Z618" s="2" t="str">
        <f aca="false">IF(ABS(X618-Y618)&gt;1,"Mismatch","OK")</f>
        <v>OK</v>
      </c>
      <c r="AA618" s="2" t="n">
        <v>11840.58</v>
      </c>
      <c r="AB618" s="2" t="n">
        <v>7002.06</v>
      </c>
      <c r="AC618" s="2" t="n">
        <f aca="false">Y618-AA618</f>
        <v>7002.06</v>
      </c>
      <c r="AD618" s="2" t="str">
        <f aca="false">IF(ABS(AB618-AC618)&gt;1,"Mismatch","OK")</f>
        <v>OK</v>
      </c>
      <c r="AE618" s="4" t="n">
        <f aca="false">IF(Y618=0,0,AC618/Y618)</f>
        <v>0.371607163327432</v>
      </c>
      <c r="AF618" s="2" t="s">
        <v>52</v>
      </c>
      <c r="AG618" s="2" t="s">
        <v>53</v>
      </c>
      <c r="AH618" s="2" t="str">
        <f aca="false">IF(AND(AG618="Completed",AF618&lt;&gt;"Paid"),"Inconsistent","OK")</f>
        <v>OK</v>
      </c>
      <c r="AI618" s="2" t="n">
        <f aca="false">IF(OR(ISBLANK(B618),ISBLANK(C618)),"",C618-B618)</f>
        <v>3</v>
      </c>
      <c r="AJ618" s="2" t="str">
        <f aca="false">IF(AI618="","Unknown",IF(AI618&lt;0,"Invalid","OK"))</f>
        <v>OK</v>
      </c>
      <c r="AK618" s="2" t="str">
        <f aca="false">IF(ISBLANK(B618),"",TEXT(B618,"mmm"))</f>
        <v>Aug</v>
      </c>
      <c r="AL618" s="2" t="n">
        <f aca="false">IF(ISBLANK(B618),"",YEAR(B618))</f>
        <v>2024</v>
      </c>
      <c r="AM618" s="2" t="s">
        <v>41</v>
      </c>
      <c r="AN618" s="2" t="str">
        <f aca="false">IF(OR(W618="Invalid",AJ618="Invalid",AH618="Inconsistent",Z618="Mismatch",AD618="Mismatch",AM618="Yes",D618="Yes",E618="Yes"),"Invalid",IF(OR(J618="Yes",Q618="Yes",U618="Yes"),"Warning","Clean"))</f>
        <v>Clean</v>
      </c>
    </row>
    <row r="619" customFormat="false" ht="15" hidden="false" customHeight="false" outlineLevel="0" collapsed="false">
      <c r="A619" s="2" t="s">
        <v>1965</v>
      </c>
      <c r="B619" s="3" t="n">
        <v>45564</v>
      </c>
      <c r="C619" s="3" t="n">
        <v>45565</v>
      </c>
      <c r="D619" s="2" t="s">
        <v>41</v>
      </c>
      <c r="E619" s="2" t="s">
        <v>41</v>
      </c>
      <c r="F619" s="2" t="s">
        <v>1966</v>
      </c>
      <c r="G619" s="2" t="s">
        <v>56</v>
      </c>
      <c r="H619" s="2" t="s">
        <v>115</v>
      </c>
      <c r="I619" s="2" t="s">
        <v>74</v>
      </c>
      <c r="J619" s="2" t="s">
        <v>41</v>
      </c>
      <c r="K619" s="2" t="s">
        <v>75</v>
      </c>
      <c r="L619" s="2" t="s">
        <v>76</v>
      </c>
      <c r="M619" s="2" t="s">
        <v>94</v>
      </c>
      <c r="N619" s="2" t="s">
        <v>191</v>
      </c>
      <c r="O619" s="2" t="s">
        <v>1967</v>
      </c>
      <c r="P619" s="2" t="s">
        <v>79</v>
      </c>
      <c r="Q619" s="2" t="s">
        <v>41</v>
      </c>
      <c r="R619" s="2" t="n">
        <v>9</v>
      </c>
      <c r="S619" s="2" t="n">
        <v>2741.91</v>
      </c>
      <c r="T619" s="2" t="n">
        <v>0</v>
      </c>
      <c r="U619" s="2" t="str">
        <f aca="false">IF(ISBLANK(T619),"Yes","No")</f>
        <v>No</v>
      </c>
      <c r="V619" s="2" t="n">
        <f aca="false">IF(ISBLANK(T619),0,IF(ISNUMBER(T619),T619,VALUE(LEFT(T619,LEN(T619)-1))/100))</f>
        <v>0</v>
      </c>
      <c r="W619" s="2" t="str">
        <f aca="false">IF(AND(V619&gt;=0,V619&lt;=0.25),"Valid","Invalid")</f>
        <v>Valid</v>
      </c>
      <c r="X619" s="2" t="n">
        <v>24677.19</v>
      </c>
      <c r="Y619" s="2" t="n">
        <f aca="false">R619*S619*(1-V619)</f>
        <v>24677.19</v>
      </c>
      <c r="Z619" s="2" t="str">
        <f aca="false">IF(ABS(X619-Y619)&gt;1,"Mismatch","OK")</f>
        <v>OK</v>
      </c>
      <c r="AA619" s="2" t="n">
        <v>20350.85</v>
      </c>
      <c r="AB619" s="2" t="n">
        <v>4326.34</v>
      </c>
      <c r="AC619" s="2" t="n">
        <f aca="false">Y619-AA619</f>
        <v>4326.34</v>
      </c>
      <c r="AD619" s="2" t="str">
        <f aca="false">IF(ABS(AB619-AC619)&gt;1,"Mismatch","OK")</f>
        <v>OK</v>
      </c>
      <c r="AE619" s="4" t="n">
        <f aca="false">IF(Y619=0,0,AC619/Y619)</f>
        <v>0.175317367982335</v>
      </c>
      <c r="AF619" s="2" t="s">
        <v>52</v>
      </c>
      <c r="AG619" s="2" t="s">
        <v>53</v>
      </c>
      <c r="AH619" s="2" t="str">
        <f aca="false">IF(AND(AG619="Completed",AF619&lt;&gt;"Paid"),"Inconsistent","OK")</f>
        <v>OK</v>
      </c>
      <c r="AI619" s="2" t="n">
        <f aca="false">IF(OR(ISBLANK(B619),ISBLANK(C619)),"",C619-B619)</f>
        <v>1</v>
      </c>
      <c r="AJ619" s="2" t="str">
        <f aca="false">IF(AI619="","Unknown",IF(AI619&lt;0,"Invalid","OK"))</f>
        <v>OK</v>
      </c>
      <c r="AK619" s="2" t="str">
        <f aca="false">IF(ISBLANK(B619),"",TEXT(B619,"mmm"))</f>
        <v>Sep</v>
      </c>
      <c r="AL619" s="2" t="n">
        <f aca="false">IF(ISBLANK(B619),"",YEAR(B619))</f>
        <v>2024</v>
      </c>
      <c r="AM619" s="2" t="s">
        <v>41</v>
      </c>
      <c r="AN619" s="2" t="str">
        <f aca="false">IF(OR(W619="Invalid",AJ619="Invalid",AH619="Inconsistent",Z619="Mismatch",AD619="Mismatch",AM619="Yes",D619="Yes",E619="Yes"),"Invalid",IF(OR(J619="Yes",Q619="Yes",U619="Yes"),"Warning","Clean"))</f>
        <v>Clean</v>
      </c>
    </row>
    <row r="620" customFormat="false" ht="15" hidden="false" customHeight="false" outlineLevel="0" collapsed="false">
      <c r="A620" s="2" t="s">
        <v>1968</v>
      </c>
      <c r="B620" s="3" t="n">
        <v>45496</v>
      </c>
      <c r="C620" s="3" t="n">
        <v>45503</v>
      </c>
      <c r="D620" s="2" t="s">
        <v>41</v>
      </c>
      <c r="E620" s="2" t="s">
        <v>41</v>
      </c>
      <c r="F620" s="2" t="s">
        <v>1969</v>
      </c>
      <c r="G620" s="2" t="s">
        <v>286</v>
      </c>
      <c r="H620" s="2" t="s">
        <v>110</v>
      </c>
      <c r="I620" s="2" t="s">
        <v>45</v>
      </c>
      <c r="J620" s="2" t="s">
        <v>41</v>
      </c>
      <c r="K620" s="2" t="s">
        <v>46</v>
      </c>
      <c r="L620" s="2" t="s">
        <v>47</v>
      </c>
      <c r="M620" s="2" t="s">
        <v>61</v>
      </c>
      <c r="N620" s="2" t="s">
        <v>62</v>
      </c>
      <c r="O620" s="2" t="s">
        <v>1970</v>
      </c>
      <c r="P620" s="2" t="s">
        <v>64</v>
      </c>
      <c r="Q620" s="2" t="s">
        <v>41</v>
      </c>
      <c r="R620" s="2" t="n">
        <v>9</v>
      </c>
      <c r="S620" s="2" t="n">
        <v>1870.11</v>
      </c>
      <c r="T620" s="2" t="n">
        <v>0.25</v>
      </c>
      <c r="U620" s="2" t="str">
        <f aca="false">IF(ISBLANK(T620),"Yes","No")</f>
        <v>No</v>
      </c>
      <c r="V620" s="2" t="n">
        <f aca="false">IF(ISBLANK(T620),0,IF(ISNUMBER(T620),T620,VALUE(LEFT(T620,LEN(T620)-1))/100))</f>
        <v>0.25</v>
      </c>
      <c r="W620" s="2" t="str">
        <f aca="false">IF(AND(V620&gt;=0,V620&lt;=0.25),"Valid","Invalid")</f>
        <v>Valid</v>
      </c>
      <c r="X620" s="2" t="n">
        <v>12623.24</v>
      </c>
      <c r="Y620" s="2" t="n">
        <f aca="false">R620*S620*(1-V620)</f>
        <v>12623.2425</v>
      </c>
      <c r="Z620" s="2" t="str">
        <f aca="false">IF(ABS(X620-Y620)&gt;1,"Mismatch","OK")</f>
        <v>OK</v>
      </c>
      <c r="AA620" s="2" t="n">
        <v>10540.8</v>
      </c>
      <c r="AB620" s="2" t="n">
        <v>2082.44</v>
      </c>
      <c r="AC620" s="2" t="n">
        <f aca="false">Y620-AA620</f>
        <v>2082.4425</v>
      </c>
      <c r="AD620" s="2" t="str">
        <f aca="false">IF(ABS(AB620-AC620)&gt;1,"Mismatch","OK")</f>
        <v>OK</v>
      </c>
      <c r="AE620" s="4" t="n">
        <f aca="false">IF(Y620=0,0,AC620/Y620)</f>
        <v>0.164968905572399</v>
      </c>
      <c r="AF620" s="2" t="s">
        <v>175</v>
      </c>
      <c r="AG620" s="2" t="s">
        <v>88</v>
      </c>
      <c r="AH620" s="2" t="str">
        <f aca="false">IF(AND(AG620="Completed",AF620&lt;&gt;"Paid"),"Inconsistent","OK")</f>
        <v>OK</v>
      </c>
      <c r="AI620" s="2" t="n">
        <f aca="false">IF(OR(ISBLANK(B620),ISBLANK(C620)),"",C620-B620)</f>
        <v>7</v>
      </c>
      <c r="AJ620" s="2" t="str">
        <f aca="false">IF(AI620="","Unknown",IF(AI620&lt;0,"Invalid","OK"))</f>
        <v>OK</v>
      </c>
      <c r="AK620" s="2" t="str">
        <f aca="false">IF(ISBLANK(B620),"",TEXT(B620,"mmm"))</f>
        <v>Jul</v>
      </c>
      <c r="AL620" s="2" t="n">
        <f aca="false">IF(ISBLANK(B620),"",YEAR(B620))</f>
        <v>2024</v>
      </c>
      <c r="AM620" s="2" t="s">
        <v>41</v>
      </c>
      <c r="AN620" s="2" t="str">
        <f aca="false">IF(OR(W620="Invalid",AJ620="Invalid",AH620="Inconsistent",Z620="Mismatch",AD620="Mismatch",AM620="Yes",D620="Yes",E620="Yes"),"Invalid",IF(OR(J620="Yes",Q620="Yes",U620="Yes"),"Warning","Clean"))</f>
        <v>Clean</v>
      </c>
    </row>
    <row r="621" customFormat="false" ht="15" hidden="false" customHeight="false" outlineLevel="0" collapsed="false">
      <c r="A621" s="2" t="s">
        <v>1971</v>
      </c>
      <c r="B621" s="3" t="n">
        <v>45618</v>
      </c>
      <c r="C621" s="3" t="n">
        <v>45623</v>
      </c>
      <c r="D621" s="2" t="s">
        <v>41</v>
      </c>
      <c r="E621" s="2" t="s">
        <v>41</v>
      </c>
      <c r="F621" s="2" t="s">
        <v>1972</v>
      </c>
      <c r="G621" s="2" t="s">
        <v>134</v>
      </c>
      <c r="H621" s="2" t="s">
        <v>110</v>
      </c>
      <c r="I621" s="2" t="s">
        <v>74</v>
      </c>
      <c r="J621" s="2" t="s">
        <v>41</v>
      </c>
      <c r="K621" s="2" t="s">
        <v>269</v>
      </c>
      <c r="L621" s="2" t="s">
        <v>270</v>
      </c>
      <c r="M621" s="2" t="s">
        <v>48</v>
      </c>
      <c r="N621" s="2" t="s">
        <v>173</v>
      </c>
      <c r="O621" s="2" t="s">
        <v>1973</v>
      </c>
      <c r="P621" s="2" t="s">
        <v>70</v>
      </c>
      <c r="Q621" s="2" t="s">
        <v>41</v>
      </c>
      <c r="R621" s="2" t="n">
        <v>1</v>
      </c>
      <c r="S621" s="2" t="n">
        <v>4251.26</v>
      </c>
      <c r="T621" s="2" t="n">
        <v>0.2</v>
      </c>
      <c r="U621" s="2" t="str">
        <f aca="false">IF(ISBLANK(T621),"Yes","No")</f>
        <v>No</v>
      </c>
      <c r="V621" s="2" t="n">
        <f aca="false">IF(ISBLANK(T621),0,IF(ISNUMBER(T621),T621,VALUE(LEFT(T621,LEN(T621)-1))/100))</f>
        <v>0.2</v>
      </c>
      <c r="W621" s="2" t="str">
        <f aca="false">IF(AND(V621&gt;=0,V621&lt;=0.25),"Valid","Invalid")</f>
        <v>Valid</v>
      </c>
      <c r="X621" s="2" t="n">
        <v>3401.01</v>
      </c>
      <c r="Y621" s="2" t="n">
        <f aca="false">R621*S621*(1-V621)</f>
        <v>3401.008</v>
      </c>
      <c r="Z621" s="2" t="str">
        <f aca="false">IF(ABS(X621-Y621)&gt;1,"Mismatch","OK")</f>
        <v>OK</v>
      </c>
      <c r="AA621" s="2" t="n">
        <v>2917.54</v>
      </c>
      <c r="AB621" s="2" t="n">
        <v>483.47</v>
      </c>
      <c r="AC621" s="2" t="n">
        <f aca="false">Y621-AA621</f>
        <v>483.468</v>
      </c>
      <c r="AD621" s="2" t="str">
        <f aca="false">IF(ABS(AB621-AC621)&gt;1,"Mismatch","OK")</f>
        <v>OK</v>
      </c>
      <c r="AE621" s="4" t="n">
        <f aca="false">IF(Y621=0,0,AC621/Y621)</f>
        <v>0.142154326011583</v>
      </c>
      <c r="AF621" s="2" t="s">
        <v>122</v>
      </c>
      <c r="AG621" s="2" t="s">
        <v>123</v>
      </c>
      <c r="AH621" s="2" t="str">
        <f aca="false">IF(AND(AG621="Completed",AF621&lt;&gt;"Paid"),"Inconsistent","OK")</f>
        <v>OK</v>
      </c>
      <c r="AI621" s="2" t="n">
        <f aca="false">IF(OR(ISBLANK(B621),ISBLANK(C621)),"",C621-B621)</f>
        <v>5</v>
      </c>
      <c r="AJ621" s="2" t="str">
        <f aca="false">IF(AI621="","Unknown",IF(AI621&lt;0,"Invalid","OK"))</f>
        <v>OK</v>
      </c>
      <c r="AK621" s="2" t="str">
        <f aca="false">IF(ISBLANK(B621),"",TEXT(B621,"mmm"))</f>
        <v>Nov</v>
      </c>
      <c r="AL621" s="2" t="n">
        <f aca="false">IF(ISBLANK(B621),"",YEAR(B621))</f>
        <v>2024</v>
      </c>
      <c r="AM621" s="2" t="s">
        <v>41</v>
      </c>
      <c r="AN621" s="2" t="str">
        <f aca="false">IF(OR(W621="Invalid",AJ621="Invalid",AH621="Inconsistent",Z621="Mismatch",AD621="Mismatch",AM621="Yes",D621="Yes",E621="Yes"),"Invalid",IF(OR(J621="Yes",Q621="Yes",U621="Yes"),"Warning","Clean"))</f>
        <v>Clean</v>
      </c>
    </row>
    <row r="622" customFormat="false" ht="15" hidden="false" customHeight="false" outlineLevel="0" collapsed="false">
      <c r="A622" s="2" t="s">
        <v>1974</v>
      </c>
      <c r="B622" s="3" t="n">
        <v>45522</v>
      </c>
      <c r="C622" s="3" t="n">
        <v>45525</v>
      </c>
      <c r="D622" s="2" t="s">
        <v>41</v>
      </c>
      <c r="E622" s="2" t="s">
        <v>41</v>
      </c>
      <c r="F622" s="2" t="s">
        <v>1975</v>
      </c>
      <c r="G622" s="2" t="s">
        <v>91</v>
      </c>
      <c r="H622" s="2" t="s">
        <v>44</v>
      </c>
      <c r="I622" s="2" t="s">
        <v>45</v>
      </c>
      <c r="J622" s="2" t="s">
        <v>41</v>
      </c>
      <c r="K622" s="2" t="s">
        <v>156</v>
      </c>
      <c r="L622" s="2" t="s">
        <v>157</v>
      </c>
      <c r="M622" s="2" t="s">
        <v>94</v>
      </c>
      <c r="N622" s="2" t="s">
        <v>296</v>
      </c>
      <c r="O622" s="2" t="s">
        <v>1976</v>
      </c>
      <c r="P622" s="2" t="s">
        <v>79</v>
      </c>
      <c r="Q622" s="2" t="s">
        <v>41</v>
      </c>
      <c r="R622" s="2" t="n">
        <v>9</v>
      </c>
      <c r="S622" s="2" t="n">
        <v>734.34</v>
      </c>
      <c r="T622" s="2" t="n">
        <v>0</v>
      </c>
      <c r="U622" s="2" t="str">
        <f aca="false">IF(ISBLANK(T622),"Yes","No")</f>
        <v>No</v>
      </c>
      <c r="V622" s="2" t="n">
        <f aca="false">IF(ISBLANK(T622),0,IF(ISNUMBER(T622),T622,VALUE(LEFT(T622,LEN(T622)-1))/100))</f>
        <v>0</v>
      </c>
      <c r="W622" s="2" t="str">
        <f aca="false">IF(AND(V622&gt;=0,V622&lt;=0.25),"Valid","Invalid")</f>
        <v>Valid</v>
      </c>
      <c r="X622" s="2" t="n">
        <v>6609.06</v>
      </c>
      <c r="Y622" s="2" t="n">
        <f aca="false">R622*S622*(1-V622)</f>
        <v>6609.06</v>
      </c>
      <c r="Z622" s="2" t="str">
        <f aca="false">IF(ABS(X622-Y622)&gt;1,"Mismatch","OK")</f>
        <v>OK</v>
      </c>
      <c r="AA622" s="2" t="n">
        <v>4946.78</v>
      </c>
      <c r="AB622" s="2" t="n">
        <v>1662.28</v>
      </c>
      <c r="AC622" s="2" t="n">
        <f aca="false">Y622-AA622</f>
        <v>1662.28</v>
      </c>
      <c r="AD622" s="2" t="str">
        <f aca="false">IF(ABS(AB622-AC622)&gt;1,"Mismatch","OK")</f>
        <v>OK</v>
      </c>
      <c r="AE622" s="4" t="n">
        <f aca="false">IF(Y622=0,0,AC622/Y622)</f>
        <v>0.251515344088267</v>
      </c>
      <c r="AF622" s="2" t="s">
        <v>52</v>
      </c>
      <c r="AG622" s="2" t="s">
        <v>53</v>
      </c>
      <c r="AH622" s="2" t="str">
        <f aca="false">IF(AND(AG622="Completed",AF622&lt;&gt;"Paid"),"Inconsistent","OK")</f>
        <v>OK</v>
      </c>
      <c r="AI622" s="2" t="n">
        <f aca="false">IF(OR(ISBLANK(B622),ISBLANK(C622)),"",C622-B622)</f>
        <v>3</v>
      </c>
      <c r="AJ622" s="2" t="str">
        <f aca="false">IF(AI622="","Unknown",IF(AI622&lt;0,"Invalid","OK"))</f>
        <v>OK</v>
      </c>
      <c r="AK622" s="2" t="str">
        <f aca="false">IF(ISBLANK(B622),"",TEXT(B622,"mmm"))</f>
        <v>Aug</v>
      </c>
      <c r="AL622" s="2" t="n">
        <f aca="false">IF(ISBLANK(B622),"",YEAR(B622))</f>
        <v>2024</v>
      </c>
      <c r="AM622" s="2" t="s">
        <v>41</v>
      </c>
      <c r="AN622" s="2" t="str">
        <f aca="false">IF(OR(W622="Invalid",AJ622="Invalid",AH622="Inconsistent",Z622="Mismatch",AD622="Mismatch",AM622="Yes",D622="Yes",E622="Yes"),"Invalid",IF(OR(J622="Yes",Q622="Yes",U622="Yes"),"Warning","Clean"))</f>
        <v>Clean</v>
      </c>
    </row>
    <row r="623" customFormat="false" ht="15" hidden="false" customHeight="false" outlineLevel="0" collapsed="false">
      <c r="A623" s="2" t="s">
        <v>1977</v>
      </c>
      <c r="B623" s="3" t="n">
        <v>45624</v>
      </c>
      <c r="C623" s="3" t="n">
        <v>45632</v>
      </c>
      <c r="D623" s="2" t="s">
        <v>41</v>
      </c>
      <c r="E623" s="2" t="s">
        <v>41</v>
      </c>
      <c r="F623" s="2" t="s">
        <v>1978</v>
      </c>
      <c r="G623" s="2" t="s">
        <v>109</v>
      </c>
      <c r="H623" s="2" t="s">
        <v>44</v>
      </c>
      <c r="I623" s="2" t="s">
        <v>83</v>
      </c>
      <c r="J623" s="2" t="s">
        <v>41</v>
      </c>
      <c r="K623" s="2" t="s">
        <v>84</v>
      </c>
      <c r="L623" s="2" t="s">
        <v>85</v>
      </c>
      <c r="M623" s="2" t="s">
        <v>61</v>
      </c>
      <c r="N623" s="2" t="s">
        <v>86</v>
      </c>
      <c r="O623" s="2" t="s">
        <v>1979</v>
      </c>
      <c r="P623" s="2" t="s">
        <v>64</v>
      </c>
      <c r="Q623" s="2" t="s">
        <v>41</v>
      </c>
      <c r="R623" s="2" t="n">
        <v>5</v>
      </c>
      <c r="S623" s="2" t="n">
        <v>1092.84</v>
      </c>
      <c r="T623" s="2"/>
      <c r="U623" s="2" t="str">
        <f aca="false">IF(ISBLANK(T623),"Yes","No")</f>
        <v>Yes</v>
      </c>
      <c r="V623" s="2" t="n">
        <f aca="false">IF(ISBLANK(T623),0,IF(ISNUMBER(T623),T623,VALUE(LEFT(T623,LEN(T623)-1))/100))</f>
        <v>0</v>
      </c>
      <c r="W623" s="2" t="str">
        <f aca="false">IF(AND(V623&gt;=0,V623&lt;=0.25),"Valid","Invalid")</f>
        <v>Valid</v>
      </c>
      <c r="X623" s="2" t="n">
        <v>5464.2</v>
      </c>
      <c r="Y623" s="2" t="n">
        <f aca="false">R623*S623*(1-V623)</f>
        <v>5464.2</v>
      </c>
      <c r="Z623" s="2" t="str">
        <f aca="false">IF(ABS(X623-Y623)&gt;1,"Mismatch","OK")</f>
        <v>OK</v>
      </c>
      <c r="AA623" s="2" t="n">
        <v>3318.09</v>
      </c>
      <c r="AB623" s="2" t="n">
        <v>2146.11</v>
      </c>
      <c r="AC623" s="2" t="n">
        <f aca="false">Y623-AA623</f>
        <v>2146.11</v>
      </c>
      <c r="AD623" s="2" t="str">
        <f aca="false">IF(ABS(AB623-AC623)&gt;1,"Mismatch","OK")</f>
        <v>OK</v>
      </c>
      <c r="AE623" s="4" t="n">
        <f aca="false">IF(Y623=0,0,AC623/Y623)</f>
        <v>0.392758317777534</v>
      </c>
      <c r="AF623" s="2" t="s">
        <v>52</v>
      </c>
      <c r="AG623" s="2" t="s">
        <v>53</v>
      </c>
      <c r="AH623" s="2" t="str">
        <f aca="false">IF(AND(AG623="Completed",AF623&lt;&gt;"Paid"),"Inconsistent","OK")</f>
        <v>OK</v>
      </c>
      <c r="AI623" s="2" t="n">
        <f aca="false">IF(OR(ISBLANK(B623),ISBLANK(C623)),"",C623-B623)</f>
        <v>8</v>
      </c>
      <c r="AJ623" s="2" t="str">
        <f aca="false">IF(AI623="","Unknown",IF(AI623&lt;0,"Invalid","OK"))</f>
        <v>OK</v>
      </c>
      <c r="AK623" s="2" t="str">
        <f aca="false">IF(ISBLANK(B623),"",TEXT(B623,"mmm"))</f>
        <v>Nov</v>
      </c>
      <c r="AL623" s="2" t="n">
        <f aca="false">IF(ISBLANK(B623),"",YEAR(B623))</f>
        <v>2024</v>
      </c>
      <c r="AM623" s="2" t="s">
        <v>41</v>
      </c>
      <c r="AN623" s="2" t="str">
        <f aca="false">IF(OR(W623="Invalid",AJ623="Invalid",AH623="Inconsistent",Z623="Mismatch",AD623="Mismatch",AM623="Yes",D623="Yes",E623="Yes"),"Invalid",IF(OR(J623="Yes",Q623="Yes",U623="Yes"),"Warning","Clean"))</f>
        <v>Warning</v>
      </c>
    </row>
    <row r="624" customFormat="false" ht="15" hidden="false" customHeight="false" outlineLevel="0" collapsed="false">
      <c r="A624" s="2" t="s">
        <v>1980</v>
      </c>
      <c r="B624" s="3" t="n">
        <v>45686</v>
      </c>
      <c r="C624" s="3" t="n">
        <v>45694</v>
      </c>
      <c r="D624" s="2" t="s">
        <v>41</v>
      </c>
      <c r="E624" s="2" t="s">
        <v>41</v>
      </c>
      <c r="F624" s="2" t="s">
        <v>1981</v>
      </c>
      <c r="G624" s="2" t="s">
        <v>91</v>
      </c>
      <c r="H624" s="2" t="s">
        <v>44</v>
      </c>
      <c r="I624" s="2" t="s">
        <v>58</v>
      </c>
      <c r="J624" s="2" t="s">
        <v>41</v>
      </c>
      <c r="K624" s="2" t="s">
        <v>165</v>
      </c>
      <c r="L624" s="2" t="s">
        <v>166</v>
      </c>
      <c r="M624" s="2" t="s">
        <v>48</v>
      </c>
      <c r="N624" s="2" t="s">
        <v>144</v>
      </c>
      <c r="O624" s="2" t="s">
        <v>1982</v>
      </c>
      <c r="P624" s="2" t="s">
        <v>79</v>
      </c>
      <c r="Q624" s="2" t="s">
        <v>41</v>
      </c>
      <c r="R624" s="2" t="n">
        <v>4</v>
      </c>
      <c r="S624" s="2" t="n">
        <v>2759.01</v>
      </c>
      <c r="T624" s="2" t="n">
        <v>0.05</v>
      </c>
      <c r="U624" s="2" t="str">
        <f aca="false">IF(ISBLANK(T624),"Yes","No")</f>
        <v>No</v>
      </c>
      <c r="V624" s="2" t="n">
        <f aca="false">IF(ISBLANK(T624),0,IF(ISNUMBER(T624),T624,VALUE(LEFT(T624,LEN(T624)-1))/100))</f>
        <v>0.05</v>
      </c>
      <c r="W624" s="2" t="str">
        <f aca="false">IF(AND(V624&gt;=0,V624&lt;=0.25),"Valid","Invalid")</f>
        <v>Valid</v>
      </c>
      <c r="X624" s="2" t="n">
        <v>10484.24</v>
      </c>
      <c r="Y624" s="2" t="n">
        <f aca="false">R624*S624*(1-V624)</f>
        <v>10484.238</v>
      </c>
      <c r="Z624" s="2" t="str">
        <f aca="false">IF(ABS(X624-Y624)&gt;1,"Mismatch","OK")</f>
        <v>OK</v>
      </c>
      <c r="AA624" s="2" t="n">
        <v>6680.15</v>
      </c>
      <c r="AB624" s="2" t="n">
        <v>3804.09</v>
      </c>
      <c r="AC624" s="2" t="n">
        <f aca="false">Y624-AA624</f>
        <v>3804.088</v>
      </c>
      <c r="AD624" s="2" t="str">
        <f aca="false">IF(ABS(AB624-AC624)&gt;1,"Mismatch","OK")</f>
        <v>OK</v>
      </c>
      <c r="AE624" s="4" t="n">
        <f aca="false">IF(Y624=0,0,AC624/Y624)</f>
        <v>0.362838768063068</v>
      </c>
      <c r="AF624" s="2" t="s">
        <v>52</v>
      </c>
      <c r="AG624" s="2" t="s">
        <v>53</v>
      </c>
      <c r="AH624" s="2" t="str">
        <f aca="false">IF(AND(AG624="Completed",AF624&lt;&gt;"Paid"),"Inconsistent","OK")</f>
        <v>OK</v>
      </c>
      <c r="AI624" s="2" t="n">
        <f aca="false">IF(OR(ISBLANK(B624),ISBLANK(C624)),"",C624-B624)</f>
        <v>8</v>
      </c>
      <c r="AJ624" s="2" t="str">
        <f aca="false">IF(AI624="","Unknown",IF(AI624&lt;0,"Invalid","OK"))</f>
        <v>OK</v>
      </c>
      <c r="AK624" s="2" t="str">
        <f aca="false">IF(ISBLANK(B624),"",TEXT(B624,"mmm"))</f>
        <v>Jan</v>
      </c>
      <c r="AL624" s="2" t="n">
        <f aca="false">IF(ISBLANK(B624),"",YEAR(B624))</f>
        <v>2025</v>
      </c>
      <c r="AM624" s="2" t="s">
        <v>41</v>
      </c>
      <c r="AN624" s="2" t="str">
        <f aca="false">IF(OR(W624="Invalid",AJ624="Invalid",AH624="Inconsistent",Z624="Mismatch",AD624="Mismatch",AM624="Yes",D624="Yes",E624="Yes"),"Invalid",IF(OR(J624="Yes",Q624="Yes",U624="Yes"),"Warning","Clean"))</f>
        <v>Clean</v>
      </c>
    </row>
    <row r="625" customFormat="false" ht="15" hidden="false" customHeight="false" outlineLevel="0" collapsed="false">
      <c r="A625" s="2" t="s">
        <v>1983</v>
      </c>
      <c r="B625" s="3" t="n">
        <v>45512</v>
      </c>
      <c r="C625" s="3" t="n">
        <v>45518</v>
      </c>
      <c r="D625" s="2" t="s">
        <v>41</v>
      </c>
      <c r="E625" s="2" t="s">
        <v>41</v>
      </c>
      <c r="F625" s="2" t="s">
        <v>1984</v>
      </c>
      <c r="G625" s="2" t="s">
        <v>91</v>
      </c>
      <c r="H625" s="2" t="s">
        <v>115</v>
      </c>
      <c r="I625" s="2" t="s">
        <v>45</v>
      </c>
      <c r="J625" s="2" t="s">
        <v>41</v>
      </c>
      <c r="K625" s="2" t="s">
        <v>142</v>
      </c>
      <c r="L625" s="2" t="s">
        <v>143</v>
      </c>
      <c r="M625" s="2" t="s">
        <v>48</v>
      </c>
      <c r="N625" s="2" t="s">
        <v>144</v>
      </c>
      <c r="O625" s="2" t="s">
        <v>1985</v>
      </c>
      <c r="P625" s="2" t="s">
        <v>51</v>
      </c>
      <c r="Q625" s="2" t="s">
        <v>41</v>
      </c>
      <c r="R625" s="2" t="n">
        <v>8</v>
      </c>
      <c r="S625" s="2" t="n">
        <v>1359.19</v>
      </c>
      <c r="T625" s="2" t="n">
        <v>0.05</v>
      </c>
      <c r="U625" s="2" t="str">
        <f aca="false">IF(ISBLANK(T625),"Yes","No")</f>
        <v>No</v>
      </c>
      <c r="V625" s="2" t="n">
        <f aca="false">IF(ISBLANK(T625),0,IF(ISNUMBER(T625),T625,VALUE(LEFT(T625,LEN(T625)-1))/100))</f>
        <v>0.05</v>
      </c>
      <c r="W625" s="2" t="str">
        <f aca="false">IF(AND(V625&gt;=0,V625&lt;=0.25),"Valid","Invalid")</f>
        <v>Valid</v>
      </c>
      <c r="X625" s="2" t="n">
        <v>10329.84</v>
      </c>
      <c r="Y625" s="2" t="n">
        <f aca="false">R625*S625*(1-V625)</f>
        <v>10329.844</v>
      </c>
      <c r="Z625" s="2" t="str">
        <f aca="false">IF(ABS(X625-Y625)&gt;1,"Mismatch","OK")</f>
        <v>OK</v>
      </c>
      <c r="AA625" s="2" t="n">
        <v>7512.22</v>
      </c>
      <c r="AB625" s="2" t="n">
        <v>2817.62</v>
      </c>
      <c r="AC625" s="2" t="n">
        <f aca="false">Y625-AA625</f>
        <v>2817.624</v>
      </c>
      <c r="AD625" s="2" t="str">
        <f aca="false">IF(ABS(AB625-AC625)&gt;1,"Mismatch","OK")</f>
        <v>OK</v>
      </c>
      <c r="AE625" s="4" t="n">
        <f aca="false">IF(Y625=0,0,AC625/Y625)</f>
        <v>0.272765397037942</v>
      </c>
      <c r="AF625" s="2" t="s">
        <v>52</v>
      </c>
      <c r="AG625" s="2" t="s">
        <v>53</v>
      </c>
      <c r="AH625" s="2" t="str">
        <f aca="false">IF(AND(AG625="Completed",AF625&lt;&gt;"Paid"),"Inconsistent","OK")</f>
        <v>OK</v>
      </c>
      <c r="AI625" s="2" t="n">
        <f aca="false">IF(OR(ISBLANK(B625),ISBLANK(C625)),"",C625-B625)</f>
        <v>6</v>
      </c>
      <c r="AJ625" s="2" t="str">
        <f aca="false">IF(AI625="","Unknown",IF(AI625&lt;0,"Invalid","OK"))</f>
        <v>OK</v>
      </c>
      <c r="AK625" s="2" t="str">
        <f aca="false">IF(ISBLANK(B625),"",TEXT(B625,"mmm"))</f>
        <v>Aug</v>
      </c>
      <c r="AL625" s="2" t="n">
        <f aca="false">IF(ISBLANK(B625),"",YEAR(B625))</f>
        <v>2024</v>
      </c>
      <c r="AM625" s="2" t="s">
        <v>41</v>
      </c>
      <c r="AN625" s="2" t="str">
        <f aca="false">IF(OR(W625="Invalid",AJ625="Invalid",AH625="Inconsistent",Z625="Mismatch",AD625="Mismatch",AM625="Yes",D625="Yes",E625="Yes"),"Invalid",IF(OR(J625="Yes",Q625="Yes",U625="Yes"),"Warning","Clean"))</f>
        <v>Clean</v>
      </c>
    </row>
    <row r="626" customFormat="false" ht="15" hidden="false" customHeight="false" outlineLevel="0" collapsed="false">
      <c r="A626" s="2" t="s">
        <v>1986</v>
      </c>
      <c r="B626" s="3" t="n">
        <v>45321</v>
      </c>
      <c r="C626" s="3" t="n">
        <v>45323</v>
      </c>
      <c r="D626" s="2" t="s">
        <v>41</v>
      </c>
      <c r="E626" s="2" t="s">
        <v>41</v>
      </c>
      <c r="F626" s="2" t="s">
        <v>1987</v>
      </c>
      <c r="G626" s="2" t="s">
        <v>99</v>
      </c>
      <c r="H626" s="2" t="s">
        <v>115</v>
      </c>
      <c r="I626" s="2" t="s">
        <v>58</v>
      </c>
      <c r="J626" s="2" t="s">
        <v>41</v>
      </c>
      <c r="K626" s="2" t="s">
        <v>186</v>
      </c>
      <c r="L626" s="2" t="s">
        <v>187</v>
      </c>
      <c r="M626" s="2" t="s">
        <v>61</v>
      </c>
      <c r="N626" s="2" t="s">
        <v>86</v>
      </c>
      <c r="O626" s="2" t="s">
        <v>1988</v>
      </c>
      <c r="P626" s="2" t="s">
        <v>70</v>
      </c>
      <c r="Q626" s="2" t="s">
        <v>41</v>
      </c>
      <c r="R626" s="2" t="n">
        <v>2</v>
      </c>
      <c r="S626" s="2" t="n">
        <v>4451.03</v>
      </c>
      <c r="T626" s="2" t="n">
        <v>0.05</v>
      </c>
      <c r="U626" s="2" t="str">
        <f aca="false">IF(ISBLANK(T626),"Yes","No")</f>
        <v>No</v>
      </c>
      <c r="V626" s="2" t="n">
        <f aca="false">IF(ISBLANK(T626),0,IF(ISNUMBER(T626),T626,VALUE(LEFT(T626,LEN(T626)-1))/100))</f>
        <v>0.05</v>
      </c>
      <c r="W626" s="2" t="str">
        <f aca="false">IF(AND(V626&gt;=0,V626&lt;=0.25),"Valid","Invalid")</f>
        <v>Valid</v>
      </c>
      <c r="X626" s="2" t="n">
        <v>8456.96</v>
      </c>
      <c r="Y626" s="2" t="n">
        <f aca="false">R626*S626*(1-V626)</f>
        <v>8456.957</v>
      </c>
      <c r="Z626" s="2" t="str">
        <f aca="false">IF(ABS(X626-Y626)&gt;1,"Mismatch","OK")</f>
        <v>OK</v>
      </c>
      <c r="AA626" s="2" t="n">
        <v>5462.85</v>
      </c>
      <c r="AB626" s="2" t="n">
        <v>2994.11</v>
      </c>
      <c r="AC626" s="2" t="n">
        <f aca="false">Y626-AA626</f>
        <v>2994.107</v>
      </c>
      <c r="AD626" s="2" t="str">
        <f aca="false">IF(ABS(AB626-AC626)&gt;1,"Mismatch","OK")</f>
        <v>OK</v>
      </c>
      <c r="AE626" s="4" t="n">
        <f aca="false">IF(Y626=0,0,AC626/Y626)</f>
        <v>0.354040702820175</v>
      </c>
      <c r="AF626" s="2" t="s">
        <v>52</v>
      </c>
      <c r="AG626" s="2" t="s">
        <v>53</v>
      </c>
      <c r="AH626" s="2" t="str">
        <f aca="false">IF(AND(AG626="Completed",AF626&lt;&gt;"Paid"),"Inconsistent","OK")</f>
        <v>OK</v>
      </c>
      <c r="AI626" s="2" t="n">
        <f aca="false">IF(OR(ISBLANK(B626),ISBLANK(C626)),"",C626-B626)</f>
        <v>2</v>
      </c>
      <c r="AJ626" s="2" t="str">
        <f aca="false">IF(AI626="","Unknown",IF(AI626&lt;0,"Invalid","OK"))</f>
        <v>OK</v>
      </c>
      <c r="AK626" s="2" t="str">
        <f aca="false">IF(ISBLANK(B626),"",TEXT(B626,"mmm"))</f>
        <v>Jan</v>
      </c>
      <c r="AL626" s="2" t="n">
        <f aca="false">IF(ISBLANK(B626),"",YEAR(B626))</f>
        <v>2024</v>
      </c>
      <c r="AM626" s="2" t="s">
        <v>41</v>
      </c>
      <c r="AN626" s="2" t="str">
        <f aca="false">IF(OR(W626="Invalid",AJ626="Invalid",AH626="Inconsistent",Z626="Mismatch",AD626="Mismatch",AM626="Yes",D626="Yes",E626="Yes"),"Invalid",IF(OR(J626="Yes",Q626="Yes",U626="Yes"),"Warning","Clean"))</f>
        <v>Clean</v>
      </c>
    </row>
    <row r="627" customFormat="false" ht="15" hidden="false" customHeight="false" outlineLevel="0" collapsed="false">
      <c r="A627" s="2" t="s">
        <v>1989</v>
      </c>
      <c r="B627" s="3" t="n">
        <v>45641</v>
      </c>
      <c r="C627" s="3" t="n">
        <v>45647</v>
      </c>
      <c r="D627" s="2" t="s">
        <v>41</v>
      </c>
      <c r="E627" s="2" t="s">
        <v>41</v>
      </c>
      <c r="F627" s="2" t="s">
        <v>1990</v>
      </c>
      <c r="G627" s="2" t="s">
        <v>182</v>
      </c>
      <c r="H627" s="2" t="s">
        <v>110</v>
      </c>
      <c r="I627" s="2" t="s">
        <v>83</v>
      </c>
      <c r="J627" s="2" t="s">
        <v>41</v>
      </c>
      <c r="K627" s="2" t="s">
        <v>46</v>
      </c>
      <c r="L627" s="2" t="s">
        <v>129</v>
      </c>
      <c r="M627" s="2" t="s">
        <v>61</v>
      </c>
      <c r="N627" s="2" t="s">
        <v>86</v>
      </c>
      <c r="O627" s="2" t="s">
        <v>1991</v>
      </c>
      <c r="P627" s="2" t="s">
        <v>64</v>
      </c>
      <c r="Q627" s="2" t="s">
        <v>41</v>
      </c>
      <c r="R627" s="2" t="n">
        <v>3</v>
      </c>
      <c r="S627" s="2" t="n">
        <v>527.67</v>
      </c>
      <c r="T627" s="2" t="n">
        <v>0.2</v>
      </c>
      <c r="U627" s="2" t="str">
        <f aca="false">IF(ISBLANK(T627),"Yes","No")</f>
        <v>No</v>
      </c>
      <c r="V627" s="2" t="n">
        <f aca="false">IF(ISBLANK(T627),0,IF(ISNUMBER(T627),T627,VALUE(LEFT(T627,LEN(T627)-1))/100))</f>
        <v>0.2</v>
      </c>
      <c r="W627" s="2" t="str">
        <f aca="false">IF(AND(V627&gt;=0,V627&lt;=0.25),"Valid","Invalid")</f>
        <v>Valid</v>
      </c>
      <c r="X627" s="2" t="n">
        <v>1266.41</v>
      </c>
      <c r="Y627" s="2" t="n">
        <f aca="false">R627*S627*(1-V627)</f>
        <v>1266.408</v>
      </c>
      <c r="Z627" s="2" t="str">
        <f aca="false">IF(ABS(X627-Y627)&gt;1,"Mismatch","OK")</f>
        <v>OK</v>
      </c>
      <c r="AA627" s="2" t="n">
        <v>983.92</v>
      </c>
      <c r="AB627" s="2" t="n">
        <v>282.49</v>
      </c>
      <c r="AC627" s="2" t="n">
        <f aca="false">Y627-AA627</f>
        <v>282.488</v>
      </c>
      <c r="AD627" s="2" t="str">
        <f aca="false">IF(ABS(AB627-AC627)&gt;1,"Mismatch","OK")</f>
        <v>OK</v>
      </c>
      <c r="AE627" s="4" t="n">
        <f aca="false">IF(Y627=0,0,AC627/Y627)</f>
        <v>0.223062393794101</v>
      </c>
      <c r="AF627" s="2" t="s">
        <v>52</v>
      </c>
      <c r="AG627" s="2" t="s">
        <v>53</v>
      </c>
      <c r="AH627" s="2" t="str">
        <f aca="false">IF(AND(AG627="Completed",AF627&lt;&gt;"Paid"),"Inconsistent","OK")</f>
        <v>OK</v>
      </c>
      <c r="AI627" s="2" t="n">
        <f aca="false">IF(OR(ISBLANK(B627),ISBLANK(C627)),"",C627-B627)</f>
        <v>6</v>
      </c>
      <c r="AJ627" s="2" t="str">
        <f aca="false">IF(AI627="","Unknown",IF(AI627&lt;0,"Invalid","OK"))</f>
        <v>OK</v>
      </c>
      <c r="AK627" s="2" t="str">
        <f aca="false">IF(ISBLANK(B627),"",TEXT(B627,"mmm"))</f>
        <v>Dec</v>
      </c>
      <c r="AL627" s="2" t="n">
        <f aca="false">IF(ISBLANK(B627),"",YEAR(B627))</f>
        <v>2024</v>
      </c>
      <c r="AM627" s="2" t="s">
        <v>41</v>
      </c>
      <c r="AN627" s="2" t="str">
        <f aca="false">IF(OR(W627="Invalid",AJ627="Invalid",AH627="Inconsistent",Z627="Mismatch",AD627="Mismatch",AM627="Yes",D627="Yes",E627="Yes"),"Invalid",IF(OR(J627="Yes",Q627="Yes",U627="Yes"),"Warning","Clean"))</f>
        <v>Clean</v>
      </c>
    </row>
    <row r="628" customFormat="false" ht="15" hidden="false" customHeight="false" outlineLevel="0" collapsed="false">
      <c r="A628" s="2" t="s">
        <v>1992</v>
      </c>
      <c r="B628" s="3" t="n">
        <v>45812</v>
      </c>
      <c r="C628" s="3" t="n">
        <v>45815</v>
      </c>
      <c r="D628" s="2" t="s">
        <v>41</v>
      </c>
      <c r="E628" s="2" t="s">
        <v>41</v>
      </c>
      <c r="F628" s="2" t="s">
        <v>1993</v>
      </c>
      <c r="G628" s="2" t="s">
        <v>152</v>
      </c>
      <c r="H628" s="2" t="s">
        <v>115</v>
      </c>
      <c r="I628" s="2" t="s">
        <v>58</v>
      </c>
      <c r="J628" s="2" t="s">
        <v>41</v>
      </c>
      <c r="K628" s="2" t="s">
        <v>186</v>
      </c>
      <c r="L628" s="2" t="s">
        <v>187</v>
      </c>
      <c r="M628" s="2" t="s">
        <v>94</v>
      </c>
      <c r="N628" s="2" t="s">
        <v>296</v>
      </c>
      <c r="O628" s="2" t="s">
        <v>1994</v>
      </c>
      <c r="P628" s="2" t="s">
        <v>79</v>
      </c>
      <c r="Q628" s="2" t="s">
        <v>41</v>
      </c>
      <c r="R628" s="2" t="n">
        <v>8</v>
      </c>
      <c r="S628" s="2" t="n">
        <v>1434.13</v>
      </c>
      <c r="T628" s="2" t="n">
        <v>0</v>
      </c>
      <c r="U628" s="2" t="str">
        <f aca="false">IF(ISBLANK(T628),"Yes","No")</f>
        <v>No</v>
      </c>
      <c r="V628" s="2" t="n">
        <f aca="false">IF(ISBLANK(T628),0,IF(ISNUMBER(T628),T628,VALUE(LEFT(T628,LEN(T628)-1))/100))</f>
        <v>0</v>
      </c>
      <c r="W628" s="2" t="str">
        <f aca="false">IF(AND(V628&gt;=0,V628&lt;=0.25),"Valid","Invalid")</f>
        <v>Valid</v>
      </c>
      <c r="X628" s="2" t="n">
        <v>11473.04</v>
      </c>
      <c r="Y628" s="2" t="n">
        <f aca="false">R628*S628*(1-V628)</f>
        <v>11473.04</v>
      </c>
      <c r="Z628" s="2" t="str">
        <f aca="false">IF(ABS(X628-Y628)&gt;1,"Mismatch","OK")</f>
        <v>OK</v>
      </c>
      <c r="AA628" s="2" t="n">
        <v>8931.33</v>
      </c>
      <c r="AB628" s="2" t="n">
        <v>2541.71</v>
      </c>
      <c r="AC628" s="2" t="n">
        <f aca="false">Y628-AA628</f>
        <v>2541.71</v>
      </c>
      <c r="AD628" s="2" t="str">
        <f aca="false">IF(ABS(AB628-AC628)&gt;1,"Mismatch","OK")</f>
        <v>OK</v>
      </c>
      <c r="AE628" s="4" t="n">
        <f aca="false">IF(Y628=0,0,AC628/Y628)</f>
        <v>0.221537622112361</v>
      </c>
      <c r="AF628" s="2" t="s">
        <v>131</v>
      </c>
      <c r="AG628" s="2" t="s">
        <v>123</v>
      </c>
      <c r="AH628" s="2" t="str">
        <f aca="false">IF(AND(AG628="Completed",AF628&lt;&gt;"Paid"),"Inconsistent","OK")</f>
        <v>OK</v>
      </c>
      <c r="AI628" s="2" t="n">
        <f aca="false">IF(OR(ISBLANK(B628),ISBLANK(C628)),"",C628-B628)</f>
        <v>3</v>
      </c>
      <c r="AJ628" s="2" t="str">
        <f aca="false">IF(AI628="","Unknown",IF(AI628&lt;0,"Invalid","OK"))</f>
        <v>OK</v>
      </c>
      <c r="AK628" s="2" t="str">
        <f aca="false">IF(ISBLANK(B628),"",TEXT(B628,"mmm"))</f>
        <v>Jun</v>
      </c>
      <c r="AL628" s="2" t="n">
        <f aca="false">IF(ISBLANK(B628),"",YEAR(B628))</f>
        <v>2025</v>
      </c>
      <c r="AM628" s="2" t="s">
        <v>41</v>
      </c>
      <c r="AN628" s="2" t="str">
        <f aca="false">IF(OR(W628="Invalid",AJ628="Invalid",AH628="Inconsistent",Z628="Mismatch",AD628="Mismatch",AM628="Yes",D628="Yes",E628="Yes"),"Invalid",IF(OR(J628="Yes",Q628="Yes",U628="Yes"),"Warning","Clean"))</f>
        <v>Clean</v>
      </c>
    </row>
    <row r="629" customFormat="false" ht="15" hidden="false" customHeight="false" outlineLevel="0" collapsed="false">
      <c r="A629" s="2" t="s">
        <v>1995</v>
      </c>
      <c r="B629" s="3" t="n">
        <v>45701</v>
      </c>
      <c r="C629" s="3" t="n">
        <v>45709</v>
      </c>
      <c r="D629" s="2" t="s">
        <v>41</v>
      </c>
      <c r="E629" s="2" t="s">
        <v>41</v>
      </c>
      <c r="F629" s="2" t="s">
        <v>1996</v>
      </c>
      <c r="G629" s="2" t="s">
        <v>43</v>
      </c>
      <c r="H629" s="2" t="s">
        <v>57</v>
      </c>
      <c r="I629" s="2" t="s">
        <v>74</v>
      </c>
      <c r="J629" s="2" t="s">
        <v>41</v>
      </c>
      <c r="K629" s="2" t="s">
        <v>205</v>
      </c>
      <c r="L629" s="2" t="s">
        <v>206</v>
      </c>
      <c r="M629" s="2" t="s">
        <v>94</v>
      </c>
      <c r="N629" s="2" t="s">
        <v>191</v>
      </c>
      <c r="O629" s="2" t="s">
        <v>1997</v>
      </c>
      <c r="P629" s="2" t="s">
        <v>51</v>
      </c>
      <c r="Q629" s="2" t="s">
        <v>41</v>
      </c>
      <c r="R629" s="2" t="n">
        <v>2</v>
      </c>
      <c r="S629" s="2" t="n">
        <v>2360.02</v>
      </c>
      <c r="T629" s="2" t="n">
        <v>0.15</v>
      </c>
      <c r="U629" s="2" t="str">
        <f aca="false">IF(ISBLANK(T629),"Yes","No")</f>
        <v>No</v>
      </c>
      <c r="V629" s="2" t="n">
        <f aca="false">IF(ISBLANK(T629),0,IF(ISNUMBER(T629),T629,VALUE(LEFT(T629,LEN(T629)-1))/100))</f>
        <v>0.15</v>
      </c>
      <c r="W629" s="2" t="str">
        <f aca="false">IF(AND(V629&gt;=0,V629&lt;=0.25),"Valid","Invalid")</f>
        <v>Valid</v>
      </c>
      <c r="X629" s="2" t="n">
        <v>4012.03</v>
      </c>
      <c r="Y629" s="2" t="n">
        <f aca="false">R629*S629*(1-V629)</f>
        <v>4012.034</v>
      </c>
      <c r="Z629" s="2" t="str">
        <f aca="false">IF(ABS(X629-Y629)&gt;1,"Mismatch","OK")</f>
        <v>OK</v>
      </c>
      <c r="AA629" s="2" t="n">
        <v>3142.92</v>
      </c>
      <c r="AB629" s="2" t="n">
        <v>869.11</v>
      </c>
      <c r="AC629" s="2" t="n">
        <f aca="false">Y629-AA629</f>
        <v>869.114</v>
      </c>
      <c r="AD629" s="2" t="str">
        <f aca="false">IF(ABS(AB629-AC629)&gt;1,"Mismatch","OK")</f>
        <v>OK</v>
      </c>
      <c r="AE629" s="4" t="n">
        <f aca="false">IF(Y629=0,0,AC629/Y629)</f>
        <v>0.216626778337372</v>
      </c>
      <c r="AF629" s="2" t="s">
        <v>131</v>
      </c>
      <c r="AG629" s="2" t="s">
        <v>88</v>
      </c>
      <c r="AH629" s="2" t="str">
        <f aca="false">IF(AND(AG629="Completed",AF629&lt;&gt;"Paid"),"Inconsistent","OK")</f>
        <v>OK</v>
      </c>
      <c r="AI629" s="2" t="n">
        <f aca="false">IF(OR(ISBLANK(B629),ISBLANK(C629)),"",C629-B629)</f>
        <v>8</v>
      </c>
      <c r="AJ629" s="2" t="str">
        <f aca="false">IF(AI629="","Unknown",IF(AI629&lt;0,"Invalid","OK"))</f>
        <v>OK</v>
      </c>
      <c r="AK629" s="2" t="str">
        <f aca="false">IF(ISBLANK(B629),"",TEXT(B629,"mmm"))</f>
        <v>Feb</v>
      </c>
      <c r="AL629" s="2" t="n">
        <f aca="false">IF(ISBLANK(B629),"",YEAR(B629))</f>
        <v>2025</v>
      </c>
      <c r="AM629" s="2" t="s">
        <v>41</v>
      </c>
      <c r="AN629" s="2" t="str">
        <f aca="false">IF(OR(W629="Invalid",AJ629="Invalid",AH629="Inconsistent",Z629="Mismatch",AD629="Mismatch",AM629="Yes",D629="Yes",E629="Yes"),"Invalid",IF(OR(J629="Yes",Q629="Yes",U629="Yes"),"Warning","Clean"))</f>
        <v>Clean</v>
      </c>
    </row>
    <row r="630" customFormat="false" ht="15" hidden="false" customHeight="false" outlineLevel="0" collapsed="false">
      <c r="A630" s="2" t="s">
        <v>1998</v>
      </c>
      <c r="B630" s="3" t="n">
        <v>45935</v>
      </c>
      <c r="C630" s="3" t="n">
        <v>45942</v>
      </c>
      <c r="D630" s="2" t="s">
        <v>41</v>
      </c>
      <c r="E630" s="2" t="s">
        <v>41</v>
      </c>
      <c r="F630" s="2" t="s">
        <v>1999</v>
      </c>
      <c r="G630" s="2" t="s">
        <v>82</v>
      </c>
      <c r="H630" s="2" t="s">
        <v>115</v>
      </c>
      <c r="I630" s="2" t="s">
        <v>58</v>
      </c>
      <c r="J630" s="2" t="s">
        <v>41</v>
      </c>
      <c r="K630" s="2" t="s">
        <v>250</v>
      </c>
      <c r="L630" s="2" t="s">
        <v>251</v>
      </c>
      <c r="M630" s="2" t="s">
        <v>94</v>
      </c>
      <c r="N630" s="2" t="s">
        <v>95</v>
      </c>
      <c r="O630" s="2" t="s">
        <v>2000</v>
      </c>
      <c r="P630" s="2" t="s">
        <v>64</v>
      </c>
      <c r="Q630" s="2" t="s">
        <v>41</v>
      </c>
      <c r="R630" s="2" t="n">
        <v>7</v>
      </c>
      <c r="S630" s="2" t="n">
        <v>806.67</v>
      </c>
      <c r="T630" s="2" t="n">
        <v>0.05</v>
      </c>
      <c r="U630" s="2" t="str">
        <f aca="false">IF(ISBLANK(T630),"Yes","No")</f>
        <v>No</v>
      </c>
      <c r="V630" s="2" t="n">
        <f aca="false">IF(ISBLANK(T630),0,IF(ISNUMBER(T630),T630,VALUE(LEFT(T630,LEN(T630)-1))/100))</f>
        <v>0.05</v>
      </c>
      <c r="W630" s="2" t="str">
        <f aca="false">IF(AND(V630&gt;=0,V630&lt;=0.25),"Valid","Invalid")</f>
        <v>Valid</v>
      </c>
      <c r="X630" s="2" t="n">
        <v>5364.36</v>
      </c>
      <c r="Y630" s="2" t="n">
        <f aca="false">R630*S630*(1-V630)</f>
        <v>5364.3555</v>
      </c>
      <c r="Z630" s="2" t="str">
        <f aca="false">IF(ABS(X630-Y630)&gt;1,"Mismatch","OK")</f>
        <v>OK</v>
      </c>
      <c r="AA630" s="2" t="n">
        <v>4391.29</v>
      </c>
      <c r="AB630" s="2" t="n">
        <v>973.07</v>
      </c>
      <c r="AC630" s="2" t="n">
        <f aca="false">Y630-AA630</f>
        <v>973.0655</v>
      </c>
      <c r="AD630" s="2" t="str">
        <f aca="false">IF(ABS(AB630-AC630)&gt;1,"Mismatch","OK")</f>
        <v>OK</v>
      </c>
      <c r="AE630" s="4" t="n">
        <f aca="false">IF(Y630=0,0,AC630/Y630)</f>
        <v>0.181394670804349</v>
      </c>
      <c r="AF630" s="2" t="s">
        <v>52</v>
      </c>
      <c r="AG630" s="2" t="s">
        <v>53</v>
      </c>
      <c r="AH630" s="2" t="str">
        <f aca="false">IF(AND(AG630="Completed",AF630&lt;&gt;"Paid"),"Inconsistent","OK")</f>
        <v>OK</v>
      </c>
      <c r="AI630" s="2" t="n">
        <f aca="false">IF(OR(ISBLANK(B630),ISBLANK(C630)),"",C630-B630)</f>
        <v>7</v>
      </c>
      <c r="AJ630" s="2" t="str">
        <f aca="false">IF(AI630="","Unknown",IF(AI630&lt;0,"Invalid","OK"))</f>
        <v>OK</v>
      </c>
      <c r="AK630" s="2" t="str">
        <f aca="false">IF(ISBLANK(B630),"",TEXT(B630,"mmm"))</f>
        <v>Oct</v>
      </c>
      <c r="AL630" s="2" t="n">
        <f aca="false">IF(ISBLANK(B630),"",YEAR(B630))</f>
        <v>2025</v>
      </c>
      <c r="AM630" s="2" t="s">
        <v>41</v>
      </c>
      <c r="AN630" s="2" t="str">
        <f aca="false">IF(OR(W630="Invalid",AJ630="Invalid",AH630="Inconsistent",Z630="Mismatch",AD630="Mismatch",AM630="Yes",D630="Yes",E630="Yes"),"Invalid",IF(OR(J630="Yes",Q630="Yes",U630="Yes"),"Warning","Clean"))</f>
        <v>Clean</v>
      </c>
    </row>
    <row r="631" customFormat="false" ht="15" hidden="false" customHeight="false" outlineLevel="0" collapsed="false">
      <c r="A631" s="2" t="s">
        <v>2001</v>
      </c>
      <c r="B631" s="3" t="n">
        <v>45910</v>
      </c>
      <c r="C631" s="3" t="n">
        <v>45914</v>
      </c>
      <c r="D631" s="2" t="s">
        <v>41</v>
      </c>
      <c r="E631" s="2" t="s">
        <v>41</v>
      </c>
      <c r="F631" s="2" t="s">
        <v>2002</v>
      </c>
      <c r="G631" s="2" t="s">
        <v>73</v>
      </c>
      <c r="H631" s="2" t="s">
        <v>115</v>
      </c>
      <c r="I631" s="2" t="s">
        <v>83</v>
      </c>
      <c r="J631" s="2" t="s">
        <v>41</v>
      </c>
      <c r="K631" s="2" t="s">
        <v>200</v>
      </c>
      <c r="L631" s="2" t="s">
        <v>201</v>
      </c>
      <c r="M631" s="2" t="s">
        <v>61</v>
      </c>
      <c r="N631" s="2" t="s">
        <v>62</v>
      </c>
      <c r="O631" s="2" t="s">
        <v>2003</v>
      </c>
      <c r="P631" s="2" t="s">
        <v>64</v>
      </c>
      <c r="Q631" s="2" t="s">
        <v>41</v>
      </c>
      <c r="R631" s="2" t="n">
        <v>3</v>
      </c>
      <c r="S631" s="2" t="n">
        <v>4198.46</v>
      </c>
      <c r="T631" s="2" t="n">
        <v>0.15</v>
      </c>
      <c r="U631" s="2" t="str">
        <f aca="false">IF(ISBLANK(T631),"Yes","No")</f>
        <v>No</v>
      </c>
      <c r="V631" s="2" t="n">
        <f aca="false">IF(ISBLANK(T631),0,IF(ISNUMBER(T631),T631,VALUE(LEFT(T631,LEN(T631)-1))/100))</f>
        <v>0.15</v>
      </c>
      <c r="W631" s="2" t="str">
        <f aca="false">IF(AND(V631&gt;=0,V631&lt;=0.25),"Valid","Invalid")</f>
        <v>Valid</v>
      </c>
      <c r="X631" s="2" t="n">
        <v>10706.07</v>
      </c>
      <c r="Y631" s="2" t="n">
        <f aca="false">R631*S631*(1-V631)</f>
        <v>10706.073</v>
      </c>
      <c r="Z631" s="2" t="str">
        <f aca="false">IF(ABS(X631-Y631)&gt;1,"Mismatch","OK")</f>
        <v>OK</v>
      </c>
      <c r="AA631" s="2" t="n">
        <v>5927.1</v>
      </c>
      <c r="AB631" s="2" t="n">
        <v>4778.97</v>
      </c>
      <c r="AC631" s="2" t="n">
        <f aca="false">Y631-AA631</f>
        <v>4778.973</v>
      </c>
      <c r="AD631" s="2" t="str">
        <f aca="false">IF(ABS(AB631-AC631)&gt;1,"Mismatch","OK")</f>
        <v>OK</v>
      </c>
      <c r="AE631" s="4" t="n">
        <f aca="false">IF(Y631=0,0,AC631/Y631)</f>
        <v>0.446379638920826</v>
      </c>
      <c r="AF631" s="2" t="s">
        <v>52</v>
      </c>
      <c r="AG631" s="2" t="s">
        <v>53</v>
      </c>
      <c r="AH631" s="2" t="str">
        <f aca="false">IF(AND(AG631="Completed",AF631&lt;&gt;"Paid"),"Inconsistent","OK")</f>
        <v>OK</v>
      </c>
      <c r="AI631" s="2" t="n">
        <f aca="false">IF(OR(ISBLANK(B631),ISBLANK(C631)),"",C631-B631)</f>
        <v>4</v>
      </c>
      <c r="AJ631" s="2" t="str">
        <f aca="false">IF(AI631="","Unknown",IF(AI631&lt;0,"Invalid","OK"))</f>
        <v>OK</v>
      </c>
      <c r="AK631" s="2" t="str">
        <f aca="false">IF(ISBLANK(B631),"",TEXT(B631,"mmm"))</f>
        <v>Sep</v>
      </c>
      <c r="AL631" s="2" t="n">
        <f aca="false">IF(ISBLANK(B631),"",YEAR(B631))</f>
        <v>2025</v>
      </c>
      <c r="AM631" s="2" t="s">
        <v>41</v>
      </c>
      <c r="AN631" s="2" t="str">
        <f aca="false">IF(OR(W631="Invalid",AJ631="Invalid",AH631="Inconsistent",Z631="Mismatch",AD631="Mismatch",AM631="Yes",D631="Yes",E631="Yes"),"Invalid",IF(OR(J631="Yes",Q631="Yes",U631="Yes"),"Warning","Clean"))</f>
        <v>Clean</v>
      </c>
    </row>
    <row r="632" customFormat="false" ht="15" hidden="false" customHeight="false" outlineLevel="0" collapsed="false">
      <c r="A632" s="2" t="s">
        <v>2004</v>
      </c>
      <c r="B632" s="3" t="n">
        <v>45391</v>
      </c>
      <c r="C632" s="3" t="n">
        <v>45392</v>
      </c>
      <c r="D632" s="2" t="s">
        <v>41</v>
      </c>
      <c r="E632" s="2" t="s">
        <v>41</v>
      </c>
      <c r="F632" s="2" t="s">
        <v>2005</v>
      </c>
      <c r="G632" s="2" t="s">
        <v>134</v>
      </c>
      <c r="H632" s="2" t="s">
        <v>110</v>
      </c>
      <c r="I632" s="2" t="s">
        <v>58</v>
      </c>
      <c r="J632" s="2" t="s">
        <v>41</v>
      </c>
      <c r="K632" s="2" t="s">
        <v>186</v>
      </c>
      <c r="L632" s="2" t="s">
        <v>187</v>
      </c>
      <c r="M632" s="2" t="s">
        <v>48</v>
      </c>
      <c r="N632" s="2" t="s">
        <v>49</v>
      </c>
      <c r="O632" s="2" t="s">
        <v>2006</v>
      </c>
      <c r="P632" s="2" t="s">
        <v>79</v>
      </c>
      <c r="Q632" s="2" t="s">
        <v>41</v>
      </c>
      <c r="R632" s="2" t="n">
        <v>4</v>
      </c>
      <c r="S632" s="2" t="n">
        <v>3047.05</v>
      </c>
      <c r="T632" s="2" t="n">
        <v>0.1</v>
      </c>
      <c r="U632" s="2" t="str">
        <f aca="false">IF(ISBLANK(T632),"Yes","No")</f>
        <v>No</v>
      </c>
      <c r="V632" s="2" t="n">
        <f aca="false">IF(ISBLANK(T632),0,IF(ISNUMBER(T632),T632,VALUE(LEFT(T632,LEN(T632)-1))/100))</f>
        <v>0.1</v>
      </c>
      <c r="W632" s="2" t="str">
        <f aca="false">IF(AND(V632&gt;=0,V632&lt;=0.25),"Valid","Invalid")</f>
        <v>Valid</v>
      </c>
      <c r="X632" s="2" t="n">
        <v>10969.38</v>
      </c>
      <c r="Y632" s="2" t="n">
        <f aca="false">R632*S632*(1-V632)</f>
        <v>10969.38</v>
      </c>
      <c r="Z632" s="2" t="str">
        <f aca="false">IF(ABS(X632-Y632)&gt;1,"Mismatch","OK")</f>
        <v>OK</v>
      </c>
      <c r="AA632" s="2" t="n">
        <v>9254.46</v>
      </c>
      <c r="AB632" s="2" t="n">
        <v>1714.92</v>
      </c>
      <c r="AC632" s="2" t="n">
        <f aca="false">Y632-AA632</f>
        <v>1714.92</v>
      </c>
      <c r="AD632" s="2" t="str">
        <f aca="false">IF(ABS(AB632-AC632)&gt;1,"Mismatch","OK")</f>
        <v>OK</v>
      </c>
      <c r="AE632" s="4" t="n">
        <f aca="false">IF(Y632=0,0,AC632/Y632)</f>
        <v>0.156337003549882</v>
      </c>
      <c r="AF632" s="2" t="s">
        <v>52</v>
      </c>
      <c r="AG632" s="2" t="s">
        <v>53</v>
      </c>
      <c r="AH632" s="2" t="str">
        <f aca="false">IF(AND(AG632="Completed",AF632&lt;&gt;"Paid"),"Inconsistent","OK")</f>
        <v>OK</v>
      </c>
      <c r="AI632" s="2" t="n">
        <f aca="false">IF(OR(ISBLANK(B632),ISBLANK(C632)),"",C632-B632)</f>
        <v>1</v>
      </c>
      <c r="AJ632" s="2" t="str">
        <f aca="false">IF(AI632="","Unknown",IF(AI632&lt;0,"Invalid","OK"))</f>
        <v>OK</v>
      </c>
      <c r="AK632" s="2" t="str">
        <f aca="false">IF(ISBLANK(B632),"",TEXT(B632,"mmm"))</f>
        <v>Apr</v>
      </c>
      <c r="AL632" s="2" t="n">
        <f aca="false">IF(ISBLANK(B632),"",YEAR(B632))</f>
        <v>2024</v>
      </c>
      <c r="AM632" s="2" t="s">
        <v>41</v>
      </c>
      <c r="AN632" s="2" t="str">
        <f aca="false">IF(OR(W632="Invalid",AJ632="Invalid",AH632="Inconsistent",Z632="Mismatch",AD632="Mismatch",AM632="Yes",D632="Yes",E632="Yes"),"Invalid",IF(OR(J632="Yes",Q632="Yes",U632="Yes"),"Warning","Clean"))</f>
        <v>Clean</v>
      </c>
    </row>
    <row r="633" customFormat="false" ht="15" hidden="false" customHeight="false" outlineLevel="0" collapsed="false">
      <c r="A633" s="2" t="s">
        <v>2007</v>
      </c>
      <c r="B633" s="3" t="n">
        <v>45392</v>
      </c>
      <c r="C633" s="3" t="n">
        <v>45397</v>
      </c>
      <c r="D633" s="2" t="s">
        <v>41</v>
      </c>
      <c r="E633" s="2" t="s">
        <v>41</v>
      </c>
      <c r="F633" s="2" t="s">
        <v>2008</v>
      </c>
      <c r="G633" s="2" t="s">
        <v>148</v>
      </c>
      <c r="H633" s="2" t="s">
        <v>115</v>
      </c>
      <c r="I633" s="2" t="s">
        <v>83</v>
      </c>
      <c r="J633" s="2" t="s">
        <v>41</v>
      </c>
      <c r="K633" s="2" t="s">
        <v>46</v>
      </c>
      <c r="L633" s="2" t="s">
        <v>129</v>
      </c>
      <c r="M633" s="2" t="s">
        <v>61</v>
      </c>
      <c r="N633" s="2" t="s">
        <v>86</v>
      </c>
      <c r="O633" s="2" t="s">
        <v>2009</v>
      </c>
      <c r="P633" s="2" t="s">
        <v>79</v>
      </c>
      <c r="Q633" s="2" t="s">
        <v>41</v>
      </c>
      <c r="R633" s="2" t="n">
        <v>8</v>
      </c>
      <c r="S633" s="2" t="n">
        <v>4362.48</v>
      </c>
      <c r="T633" s="2" t="n">
        <v>0.1</v>
      </c>
      <c r="U633" s="2" t="str">
        <f aca="false">IF(ISBLANK(T633),"Yes","No")</f>
        <v>No</v>
      </c>
      <c r="V633" s="2" t="n">
        <f aca="false">IF(ISBLANK(T633),0,IF(ISNUMBER(T633),T633,VALUE(LEFT(T633,LEN(T633)-1))/100))</f>
        <v>0.1</v>
      </c>
      <c r="W633" s="2" t="str">
        <f aca="false">IF(AND(V633&gt;=0,V633&lt;=0.25),"Valid","Invalid")</f>
        <v>Valid</v>
      </c>
      <c r="X633" s="2" t="n">
        <v>31409.86</v>
      </c>
      <c r="Y633" s="2" t="n">
        <f aca="false">R633*S633*(1-V633)</f>
        <v>31409.856</v>
      </c>
      <c r="Z633" s="2" t="str">
        <f aca="false">IF(ABS(X633-Y633)&gt;1,"Mismatch","OK")</f>
        <v>OK</v>
      </c>
      <c r="AA633" s="2" t="n">
        <v>22523.54</v>
      </c>
      <c r="AB633" s="2" t="n">
        <v>8886.32</v>
      </c>
      <c r="AC633" s="2" t="n">
        <f aca="false">Y633-AA633</f>
        <v>8886.316</v>
      </c>
      <c r="AD633" s="2" t="str">
        <f aca="false">IF(ABS(AB633-AC633)&gt;1,"Mismatch","OK")</f>
        <v>OK</v>
      </c>
      <c r="AE633" s="4" t="n">
        <f aca="false">IF(Y633=0,0,AC633/Y633)</f>
        <v>0.28291489142771</v>
      </c>
      <c r="AF633" s="2" t="s">
        <v>52</v>
      </c>
      <c r="AG633" s="2" t="s">
        <v>53</v>
      </c>
      <c r="AH633" s="2" t="str">
        <f aca="false">IF(AND(AG633="Completed",AF633&lt;&gt;"Paid"),"Inconsistent","OK")</f>
        <v>OK</v>
      </c>
      <c r="AI633" s="2" t="n">
        <f aca="false">IF(OR(ISBLANK(B633),ISBLANK(C633)),"",C633-B633)</f>
        <v>5</v>
      </c>
      <c r="AJ633" s="2" t="str">
        <f aca="false">IF(AI633="","Unknown",IF(AI633&lt;0,"Invalid","OK"))</f>
        <v>OK</v>
      </c>
      <c r="AK633" s="2" t="str">
        <f aca="false">IF(ISBLANK(B633),"",TEXT(B633,"mmm"))</f>
        <v>Apr</v>
      </c>
      <c r="AL633" s="2" t="n">
        <f aca="false">IF(ISBLANK(B633),"",YEAR(B633))</f>
        <v>2024</v>
      </c>
      <c r="AM633" s="2" t="s">
        <v>41</v>
      </c>
      <c r="AN633" s="2" t="str">
        <f aca="false">IF(OR(W633="Invalid",AJ633="Invalid",AH633="Inconsistent",Z633="Mismatch",AD633="Mismatch",AM633="Yes",D633="Yes",E633="Yes"),"Invalid",IF(OR(J633="Yes",Q633="Yes",U633="Yes"),"Warning","Clean"))</f>
        <v>Clean</v>
      </c>
    </row>
    <row r="634" customFormat="false" ht="15" hidden="false" customHeight="false" outlineLevel="0" collapsed="false">
      <c r="A634" s="2" t="s">
        <v>2010</v>
      </c>
      <c r="B634" s="3" t="n">
        <v>45762</v>
      </c>
      <c r="C634" s="3" t="n">
        <v>45763</v>
      </c>
      <c r="D634" s="2" t="s">
        <v>41</v>
      </c>
      <c r="E634" s="2" t="s">
        <v>41</v>
      </c>
      <c r="F634" s="2" t="s">
        <v>2011</v>
      </c>
      <c r="G634" s="2" t="s">
        <v>152</v>
      </c>
      <c r="H634" s="2" t="s">
        <v>57</v>
      </c>
      <c r="I634" s="2" t="s">
        <v>74</v>
      </c>
      <c r="J634" s="2" t="s">
        <v>41</v>
      </c>
      <c r="K634" s="2" t="s">
        <v>195</v>
      </c>
      <c r="L634" s="2" t="s">
        <v>196</v>
      </c>
      <c r="M634" s="2" t="s">
        <v>61</v>
      </c>
      <c r="N634" s="2" t="s">
        <v>77</v>
      </c>
      <c r="O634" s="2" t="s">
        <v>2012</v>
      </c>
      <c r="P634" s="2" t="s">
        <v>70</v>
      </c>
      <c r="Q634" s="2" t="s">
        <v>41</v>
      </c>
      <c r="R634" s="2" t="n">
        <v>5</v>
      </c>
      <c r="S634" s="2" t="n">
        <v>2850.53</v>
      </c>
      <c r="T634" s="2" t="n">
        <v>0</v>
      </c>
      <c r="U634" s="2" t="str">
        <f aca="false">IF(ISBLANK(T634),"Yes","No")</f>
        <v>No</v>
      </c>
      <c r="V634" s="2" t="n">
        <f aca="false">IF(ISBLANK(T634),0,IF(ISNUMBER(T634),T634,VALUE(LEFT(T634,LEN(T634)-1))/100))</f>
        <v>0</v>
      </c>
      <c r="W634" s="2" t="str">
        <f aca="false">IF(AND(V634&gt;=0,V634&lt;=0.25),"Valid","Invalid")</f>
        <v>Valid</v>
      </c>
      <c r="X634" s="2" t="n">
        <v>14252.65</v>
      </c>
      <c r="Y634" s="2" t="n">
        <f aca="false">R634*S634*(1-V634)</f>
        <v>14252.65</v>
      </c>
      <c r="Z634" s="2" t="str">
        <f aca="false">IF(ABS(X634-Y634)&gt;1,"Mismatch","OK")</f>
        <v>OK</v>
      </c>
      <c r="AA634" s="2" t="n">
        <v>11558.31</v>
      </c>
      <c r="AB634" s="2" t="n">
        <v>2694.34</v>
      </c>
      <c r="AC634" s="2" t="n">
        <f aca="false">Y634-AA634</f>
        <v>2694.34</v>
      </c>
      <c r="AD634" s="2" t="str">
        <f aca="false">IF(ABS(AB634-AC634)&gt;1,"Mismatch","OK")</f>
        <v>OK</v>
      </c>
      <c r="AE634" s="4" t="n">
        <f aca="false">IF(Y634=0,0,AC634/Y634)</f>
        <v>0.189041336172572</v>
      </c>
      <c r="AF634" s="2" t="s">
        <v>52</v>
      </c>
      <c r="AG634" s="2" t="s">
        <v>53</v>
      </c>
      <c r="AH634" s="2" t="str">
        <f aca="false">IF(AND(AG634="Completed",AF634&lt;&gt;"Paid"),"Inconsistent","OK")</f>
        <v>OK</v>
      </c>
      <c r="AI634" s="2" t="n">
        <f aca="false">IF(OR(ISBLANK(B634),ISBLANK(C634)),"",C634-B634)</f>
        <v>1</v>
      </c>
      <c r="AJ634" s="2" t="str">
        <f aca="false">IF(AI634="","Unknown",IF(AI634&lt;0,"Invalid","OK"))</f>
        <v>OK</v>
      </c>
      <c r="AK634" s="2" t="str">
        <f aca="false">IF(ISBLANK(B634),"",TEXT(B634,"mmm"))</f>
        <v>Apr</v>
      </c>
      <c r="AL634" s="2" t="n">
        <f aca="false">IF(ISBLANK(B634),"",YEAR(B634))</f>
        <v>2025</v>
      </c>
      <c r="AM634" s="2" t="s">
        <v>41</v>
      </c>
      <c r="AN634" s="2" t="str">
        <f aca="false">IF(OR(W634="Invalid",AJ634="Invalid",AH634="Inconsistent",Z634="Mismatch",AD634="Mismatch",AM634="Yes",D634="Yes",E634="Yes"),"Invalid",IF(OR(J634="Yes",Q634="Yes",U634="Yes"),"Warning","Clean"))</f>
        <v>Clean</v>
      </c>
    </row>
    <row r="635" customFormat="false" ht="15" hidden="false" customHeight="false" outlineLevel="0" collapsed="false">
      <c r="A635" s="2" t="s">
        <v>2013</v>
      </c>
      <c r="B635" s="3" t="n">
        <v>45765</v>
      </c>
      <c r="C635" s="3" t="n">
        <v>45767</v>
      </c>
      <c r="D635" s="2" t="s">
        <v>41</v>
      </c>
      <c r="E635" s="2" t="s">
        <v>41</v>
      </c>
      <c r="F635" s="2" t="s">
        <v>2014</v>
      </c>
      <c r="G635" s="2" t="s">
        <v>148</v>
      </c>
      <c r="H635" s="2" t="s">
        <v>57</v>
      </c>
      <c r="I635" s="2" t="s">
        <v>74</v>
      </c>
      <c r="J635" s="2" t="s">
        <v>41</v>
      </c>
      <c r="K635" s="2" t="s">
        <v>269</v>
      </c>
      <c r="L635" s="2" t="s">
        <v>270</v>
      </c>
      <c r="M635" s="2" t="s">
        <v>94</v>
      </c>
      <c r="N635" s="2" t="s">
        <v>95</v>
      </c>
      <c r="O635" s="2" t="s">
        <v>2015</v>
      </c>
      <c r="P635" s="2" t="s">
        <v>51</v>
      </c>
      <c r="Q635" s="2" t="s">
        <v>41</v>
      </c>
      <c r="R635" s="2" t="n">
        <v>1</v>
      </c>
      <c r="S635" s="2" t="n">
        <v>1626.08</v>
      </c>
      <c r="T635" s="2" t="n">
        <v>0.15</v>
      </c>
      <c r="U635" s="2" t="str">
        <f aca="false">IF(ISBLANK(T635),"Yes","No")</f>
        <v>No</v>
      </c>
      <c r="V635" s="2" t="n">
        <f aca="false">IF(ISBLANK(T635),0,IF(ISNUMBER(T635),T635,VALUE(LEFT(T635,LEN(T635)-1))/100))</f>
        <v>0.15</v>
      </c>
      <c r="W635" s="2" t="str">
        <f aca="false">IF(AND(V635&gt;=0,V635&lt;=0.25),"Valid","Invalid")</f>
        <v>Valid</v>
      </c>
      <c r="X635" s="2" t="n">
        <v>1382.17</v>
      </c>
      <c r="Y635" s="2" t="n">
        <f aca="false">R635*S635*(1-V635)</f>
        <v>1382.168</v>
      </c>
      <c r="Z635" s="2" t="str">
        <f aca="false">IF(ABS(X635-Y635)&gt;1,"Mismatch","OK")</f>
        <v>OK</v>
      </c>
      <c r="AA635" s="2" t="n">
        <v>810.03</v>
      </c>
      <c r="AB635" s="2" t="n">
        <v>572.14</v>
      </c>
      <c r="AC635" s="2" t="n">
        <f aca="false">Y635-AA635</f>
        <v>572.138</v>
      </c>
      <c r="AD635" s="2" t="str">
        <f aca="false">IF(ABS(AB635-AC635)&gt;1,"Mismatch","OK")</f>
        <v>OK</v>
      </c>
      <c r="AE635" s="4" t="n">
        <f aca="false">IF(Y635=0,0,AC635/Y635)</f>
        <v>0.413942444044429</v>
      </c>
      <c r="AF635" s="2" t="s">
        <v>52</v>
      </c>
      <c r="AG635" s="2" t="s">
        <v>53</v>
      </c>
      <c r="AH635" s="2" t="str">
        <f aca="false">IF(AND(AG635="Completed",AF635&lt;&gt;"Paid"),"Inconsistent","OK")</f>
        <v>OK</v>
      </c>
      <c r="AI635" s="2" t="n">
        <f aca="false">IF(OR(ISBLANK(B635),ISBLANK(C635)),"",C635-B635)</f>
        <v>2</v>
      </c>
      <c r="AJ635" s="2" t="str">
        <f aca="false">IF(AI635="","Unknown",IF(AI635&lt;0,"Invalid","OK"))</f>
        <v>OK</v>
      </c>
      <c r="AK635" s="2" t="str">
        <f aca="false">IF(ISBLANK(B635),"",TEXT(B635,"mmm"))</f>
        <v>Apr</v>
      </c>
      <c r="AL635" s="2" t="n">
        <f aca="false">IF(ISBLANK(B635),"",YEAR(B635))</f>
        <v>2025</v>
      </c>
      <c r="AM635" s="2" t="s">
        <v>41</v>
      </c>
      <c r="AN635" s="2" t="str">
        <f aca="false">IF(OR(W635="Invalid",AJ635="Invalid",AH635="Inconsistent",Z635="Mismatch",AD635="Mismatch",AM635="Yes",D635="Yes",E635="Yes"),"Invalid",IF(OR(J635="Yes",Q635="Yes",U635="Yes"),"Warning","Clean"))</f>
        <v>Clean</v>
      </c>
    </row>
    <row r="636" customFormat="false" ht="15" hidden="false" customHeight="false" outlineLevel="0" collapsed="false">
      <c r="A636" s="2" t="s">
        <v>2016</v>
      </c>
      <c r="B636" s="3" t="n">
        <v>45668</v>
      </c>
      <c r="C636" s="3" t="n">
        <v>45669</v>
      </c>
      <c r="D636" s="2" t="s">
        <v>41</v>
      </c>
      <c r="E636" s="2" t="s">
        <v>41</v>
      </c>
      <c r="F636" s="2" t="s">
        <v>2017</v>
      </c>
      <c r="G636" s="2" t="s">
        <v>109</v>
      </c>
      <c r="H636" s="2" t="s">
        <v>44</v>
      </c>
      <c r="I636" s="2" t="s">
        <v>74</v>
      </c>
      <c r="J636" s="2" t="s">
        <v>41</v>
      </c>
      <c r="K636" s="2" t="s">
        <v>75</v>
      </c>
      <c r="L636" s="2" t="s">
        <v>76</v>
      </c>
      <c r="M636" s="2" t="s">
        <v>61</v>
      </c>
      <c r="N636" s="2" t="s">
        <v>86</v>
      </c>
      <c r="O636" s="2" t="s">
        <v>2018</v>
      </c>
      <c r="P636" s="2" t="s">
        <v>51</v>
      </c>
      <c r="Q636" s="2" t="s">
        <v>41</v>
      </c>
      <c r="R636" s="2" t="n">
        <v>4</v>
      </c>
      <c r="S636" s="2" t="n">
        <v>2427.15</v>
      </c>
      <c r="T636" s="2" t="n">
        <v>0.05</v>
      </c>
      <c r="U636" s="2" t="str">
        <f aca="false">IF(ISBLANK(T636),"Yes","No")</f>
        <v>No</v>
      </c>
      <c r="V636" s="2" t="n">
        <f aca="false">IF(ISBLANK(T636),0,IF(ISNUMBER(T636),T636,VALUE(LEFT(T636,LEN(T636)-1))/100))</f>
        <v>0.05</v>
      </c>
      <c r="W636" s="2" t="str">
        <f aca="false">IF(AND(V636&gt;=0,V636&lt;=0.25),"Valid","Invalid")</f>
        <v>Valid</v>
      </c>
      <c r="X636" s="2" t="n">
        <v>9223.17</v>
      </c>
      <c r="Y636" s="2" t="n">
        <f aca="false">R636*S636*(1-V636)</f>
        <v>9223.17</v>
      </c>
      <c r="Z636" s="2" t="str">
        <f aca="false">IF(ABS(X636-Y636)&gt;1,"Mismatch","OK")</f>
        <v>OK</v>
      </c>
      <c r="AA636" s="2" t="n">
        <v>5103.7</v>
      </c>
      <c r="AB636" s="2" t="n">
        <v>4119.47</v>
      </c>
      <c r="AC636" s="2" t="n">
        <f aca="false">Y636-AA636</f>
        <v>4119.47</v>
      </c>
      <c r="AD636" s="2" t="str">
        <f aca="false">IF(ABS(AB636-AC636)&gt;1,"Mismatch","OK")</f>
        <v>OK</v>
      </c>
      <c r="AE636" s="4" t="n">
        <f aca="false">IF(Y636=0,0,AC636/Y636)</f>
        <v>0.446643616023558</v>
      </c>
      <c r="AF636" s="2" t="s">
        <v>52</v>
      </c>
      <c r="AG636" s="2" t="s">
        <v>53</v>
      </c>
      <c r="AH636" s="2" t="str">
        <f aca="false">IF(AND(AG636="Completed",AF636&lt;&gt;"Paid"),"Inconsistent","OK")</f>
        <v>OK</v>
      </c>
      <c r="AI636" s="2" t="n">
        <f aca="false">IF(OR(ISBLANK(B636),ISBLANK(C636)),"",C636-B636)</f>
        <v>1</v>
      </c>
      <c r="AJ636" s="2" t="str">
        <f aca="false">IF(AI636="","Unknown",IF(AI636&lt;0,"Invalid","OK"))</f>
        <v>OK</v>
      </c>
      <c r="AK636" s="2" t="str">
        <f aca="false">IF(ISBLANK(B636),"",TEXT(B636,"mmm"))</f>
        <v>Jan</v>
      </c>
      <c r="AL636" s="2" t="n">
        <f aca="false">IF(ISBLANK(B636),"",YEAR(B636))</f>
        <v>2025</v>
      </c>
      <c r="AM636" s="2" t="s">
        <v>41</v>
      </c>
      <c r="AN636" s="2" t="str">
        <f aca="false">IF(OR(W636="Invalid",AJ636="Invalid",AH636="Inconsistent",Z636="Mismatch",AD636="Mismatch",AM636="Yes",D636="Yes",E636="Yes"),"Invalid",IF(OR(J636="Yes",Q636="Yes",U636="Yes"),"Warning","Clean"))</f>
        <v>Clean</v>
      </c>
    </row>
    <row r="637" customFormat="false" ht="15" hidden="false" customHeight="false" outlineLevel="0" collapsed="false">
      <c r="A637" s="2" t="s">
        <v>2019</v>
      </c>
      <c r="B637" s="3" t="n">
        <v>45432</v>
      </c>
      <c r="C637" s="3" t="n">
        <v>45437</v>
      </c>
      <c r="D637" s="2" t="s">
        <v>41</v>
      </c>
      <c r="E637" s="2" t="s">
        <v>41</v>
      </c>
      <c r="F637" s="2" t="s">
        <v>2020</v>
      </c>
      <c r="G637" s="2" t="s">
        <v>56</v>
      </c>
      <c r="H637" s="2" t="s">
        <v>110</v>
      </c>
      <c r="I637" s="2" t="s">
        <v>74</v>
      </c>
      <c r="J637" s="2" t="s">
        <v>41</v>
      </c>
      <c r="K637" s="2" t="s">
        <v>104</v>
      </c>
      <c r="L637" s="2" t="s">
        <v>105</v>
      </c>
      <c r="M637" s="2" t="s">
        <v>61</v>
      </c>
      <c r="N637" s="2" t="s">
        <v>86</v>
      </c>
      <c r="O637" s="2" t="s">
        <v>2021</v>
      </c>
      <c r="P637" s="2" t="s">
        <v>64</v>
      </c>
      <c r="Q637" s="2" t="s">
        <v>41</v>
      </c>
      <c r="R637" s="2" t="n">
        <v>7</v>
      </c>
      <c r="S637" s="2" t="n">
        <v>3122.85</v>
      </c>
      <c r="T637" s="2" t="n">
        <v>0.25</v>
      </c>
      <c r="U637" s="2" t="str">
        <f aca="false">IF(ISBLANK(T637),"Yes","No")</f>
        <v>No</v>
      </c>
      <c r="V637" s="2" t="n">
        <f aca="false">IF(ISBLANK(T637),0,IF(ISNUMBER(T637),T637,VALUE(LEFT(T637,LEN(T637)-1))/100))</f>
        <v>0.25</v>
      </c>
      <c r="W637" s="2" t="str">
        <f aca="false">IF(AND(V637&gt;=0,V637&lt;=0.25),"Valid","Invalid")</f>
        <v>Valid</v>
      </c>
      <c r="X637" s="2" t="n">
        <v>16394.96</v>
      </c>
      <c r="Y637" s="2" t="n">
        <f aca="false">R637*S637*(1-V637)</f>
        <v>16394.9625</v>
      </c>
      <c r="Z637" s="2" t="str">
        <f aca="false">IF(ABS(X637-Y637)&gt;1,"Mismatch","OK")</f>
        <v>OK</v>
      </c>
      <c r="AA637" s="2" t="n">
        <v>10404.17</v>
      </c>
      <c r="AB637" s="2" t="n">
        <v>5990.79</v>
      </c>
      <c r="AC637" s="2" t="n">
        <f aca="false">Y637-AA637</f>
        <v>5990.7925</v>
      </c>
      <c r="AD637" s="2" t="str">
        <f aca="false">IF(ABS(AB637-AC637)&gt;1,"Mismatch","OK")</f>
        <v>OK</v>
      </c>
      <c r="AE637" s="4" t="n">
        <f aca="false">IF(Y637=0,0,AC637/Y637)</f>
        <v>0.365404464938544</v>
      </c>
      <c r="AF637" s="2" t="s">
        <v>52</v>
      </c>
      <c r="AG637" s="2" t="s">
        <v>53</v>
      </c>
      <c r="AH637" s="2" t="str">
        <f aca="false">IF(AND(AG637="Completed",AF637&lt;&gt;"Paid"),"Inconsistent","OK")</f>
        <v>OK</v>
      </c>
      <c r="AI637" s="2" t="n">
        <f aca="false">IF(OR(ISBLANK(B637),ISBLANK(C637)),"",C637-B637)</f>
        <v>5</v>
      </c>
      <c r="AJ637" s="2" t="str">
        <f aca="false">IF(AI637="","Unknown",IF(AI637&lt;0,"Invalid","OK"))</f>
        <v>OK</v>
      </c>
      <c r="AK637" s="2" t="str">
        <f aca="false">IF(ISBLANK(B637),"",TEXT(B637,"mmm"))</f>
        <v>May</v>
      </c>
      <c r="AL637" s="2" t="n">
        <f aca="false">IF(ISBLANK(B637),"",YEAR(B637))</f>
        <v>2024</v>
      </c>
      <c r="AM637" s="2" t="s">
        <v>41</v>
      </c>
      <c r="AN637" s="2" t="str">
        <f aca="false">IF(OR(W637="Invalid",AJ637="Invalid",AH637="Inconsistent",Z637="Mismatch",AD637="Mismatch",AM637="Yes",D637="Yes",E637="Yes"),"Invalid",IF(OR(J637="Yes",Q637="Yes",U637="Yes"),"Warning","Clean"))</f>
        <v>Clean</v>
      </c>
    </row>
    <row r="638" customFormat="false" ht="15" hidden="false" customHeight="false" outlineLevel="0" collapsed="false">
      <c r="A638" s="2" t="s">
        <v>2022</v>
      </c>
      <c r="B638" s="3" t="n">
        <v>45567</v>
      </c>
      <c r="C638" s="3" t="n">
        <v>45574</v>
      </c>
      <c r="D638" s="2" t="s">
        <v>41</v>
      </c>
      <c r="E638" s="2" t="s">
        <v>41</v>
      </c>
      <c r="F638" s="2" t="s">
        <v>2023</v>
      </c>
      <c r="G638" s="2" t="s">
        <v>82</v>
      </c>
      <c r="H638" s="2" t="s">
        <v>44</v>
      </c>
      <c r="I638" s="2" t="s">
        <v>74</v>
      </c>
      <c r="J638" s="2" t="s">
        <v>41</v>
      </c>
      <c r="K638" s="2" t="s">
        <v>269</v>
      </c>
      <c r="L638" s="2" t="s">
        <v>270</v>
      </c>
      <c r="M638" s="2" t="s">
        <v>48</v>
      </c>
      <c r="N638" s="2" t="s">
        <v>49</v>
      </c>
      <c r="O638" s="2" t="s">
        <v>2024</v>
      </c>
      <c r="P638" s="2" t="s">
        <v>79</v>
      </c>
      <c r="Q638" s="2" t="s">
        <v>41</v>
      </c>
      <c r="R638" s="2" t="n">
        <v>8</v>
      </c>
      <c r="S638" s="2" t="n">
        <v>1910.31</v>
      </c>
      <c r="T638" s="2" t="n">
        <v>0.15</v>
      </c>
      <c r="U638" s="2" t="str">
        <f aca="false">IF(ISBLANK(T638),"Yes","No")</f>
        <v>No</v>
      </c>
      <c r="V638" s="2" t="n">
        <f aca="false">IF(ISBLANK(T638),0,IF(ISNUMBER(T638),T638,VALUE(LEFT(T638,LEN(T638)-1))/100))</f>
        <v>0.15</v>
      </c>
      <c r="W638" s="2" t="str">
        <f aca="false">IF(AND(V638&gt;=0,V638&lt;=0.25),"Valid","Invalid")</f>
        <v>Valid</v>
      </c>
      <c r="X638" s="2" t="n">
        <v>12990.11</v>
      </c>
      <c r="Y638" s="2" t="n">
        <f aca="false">R638*S638*(1-V638)</f>
        <v>12990.108</v>
      </c>
      <c r="Z638" s="2" t="str">
        <f aca="false">IF(ABS(X638-Y638)&gt;1,"Mismatch","OK")</f>
        <v>OK</v>
      </c>
      <c r="AA638" s="2" t="n">
        <v>10200.8</v>
      </c>
      <c r="AB638" s="2" t="n">
        <v>2789.31</v>
      </c>
      <c r="AC638" s="2" t="n">
        <f aca="false">Y638-AA638</f>
        <v>2789.308</v>
      </c>
      <c r="AD638" s="2" t="str">
        <f aca="false">IF(ABS(AB638-AC638)&gt;1,"Mismatch","OK")</f>
        <v>OK</v>
      </c>
      <c r="AE638" s="4" t="n">
        <f aca="false">IF(Y638=0,0,AC638/Y638)</f>
        <v>0.214725543467383</v>
      </c>
      <c r="AF638" s="2" t="s">
        <v>52</v>
      </c>
      <c r="AG638" s="2" t="s">
        <v>53</v>
      </c>
      <c r="AH638" s="2" t="str">
        <f aca="false">IF(AND(AG638="Completed",AF638&lt;&gt;"Paid"),"Inconsistent","OK")</f>
        <v>OK</v>
      </c>
      <c r="AI638" s="2" t="n">
        <f aca="false">IF(OR(ISBLANK(B638),ISBLANK(C638)),"",C638-B638)</f>
        <v>7</v>
      </c>
      <c r="AJ638" s="2" t="str">
        <f aca="false">IF(AI638="","Unknown",IF(AI638&lt;0,"Invalid","OK"))</f>
        <v>OK</v>
      </c>
      <c r="AK638" s="2" t="str">
        <f aca="false">IF(ISBLANK(B638),"",TEXT(B638,"mmm"))</f>
        <v>Oct</v>
      </c>
      <c r="AL638" s="2" t="n">
        <f aca="false">IF(ISBLANK(B638),"",YEAR(B638))</f>
        <v>2024</v>
      </c>
      <c r="AM638" s="2" t="s">
        <v>41</v>
      </c>
      <c r="AN638" s="2" t="str">
        <f aca="false">IF(OR(W638="Invalid",AJ638="Invalid",AH638="Inconsistent",Z638="Mismatch",AD638="Mismatch",AM638="Yes",D638="Yes",E638="Yes"),"Invalid",IF(OR(J638="Yes",Q638="Yes",U638="Yes"),"Warning","Clean"))</f>
        <v>Clean</v>
      </c>
    </row>
    <row r="639" customFormat="false" ht="15" hidden="false" customHeight="false" outlineLevel="0" collapsed="false">
      <c r="A639" s="2" t="s">
        <v>2025</v>
      </c>
      <c r="B639" s="3" t="n">
        <v>45438</v>
      </c>
      <c r="C639" s="3" t="n">
        <v>45438</v>
      </c>
      <c r="D639" s="2" t="s">
        <v>41</v>
      </c>
      <c r="E639" s="2" t="s">
        <v>41</v>
      </c>
      <c r="F639" s="2" t="s">
        <v>2026</v>
      </c>
      <c r="G639" s="2" t="s">
        <v>138</v>
      </c>
      <c r="H639" s="2" t="s">
        <v>57</v>
      </c>
      <c r="I639" s="2" t="s">
        <v>83</v>
      </c>
      <c r="J639" s="2" t="s">
        <v>41</v>
      </c>
      <c r="K639" s="2" t="s">
        <v>210</v>
      </c>
      <c r="L639" s="2" t="s">
        <v>211</v>
      </c>
      <c r="M639" s="2" t="s">
        <v>94</v>
      </c>
      <c r="N639" s="2" t="s">
        <v>100</v>
      </c>
      <c r="O639" s="2" t="s">
        <v>2027</v>
      </c>
      <c r="P639" s="2" t="s">
        <v>70</v>
      </c>
      <c r="Q639" s="2" t="s">
        <v>41</v>
      </c>
      <c r="R639" s="2" t="n">
        <v>2</v>
      </c>
      <c r="S639" s="2" t="n">
        <v>3192.47</v>
      </c>
      <c r="T639" s="2" t="n">
        <v>0.2</v>
      </c>
      <c r="U639" s="2" t="str">
        <f aca="false">IF(ISBLANK(T639),"Yes","No")</f>
        <v>No</v>
      </c>
      <c r="V639" s="2" t="n">
        <f aca="false">IF(ISBLANK(T639),0,IF(ISNUMBER(T639),T639,VALUE(LEFT(T639,LEN(T639)-1))/100))</f>
        <v>0.2</v>
      </c>
      <c r="W639" s="2" t="str">
        <f aca="false">IF(AND(V639&gt;=0,V639&lt;=0.25),"Valid","Invalid")</f>
        <v>Valid</v>
      </c>
      <c r="X639" s="2" t="n">
        <v>5107.95</v>
      </c>
      <c r="Y639" s="2" t="n">
        <f aca="false">R639*S639*(1-V639)</f>
        <v>5107.952</v>
      </c>
      <c r="Z639" s="2" t="str">
        <f aca="false">IF(ABS(X639-Y639)&gt;1,"Mismatch","OK")</f>
        <v>OK</v>
      </c>
      <c r="AA639" s="2" t="n">
        <v>3133.08</v>
      </c>
      <c r="AB639" s="2" t="n">
        <v>1974.87</v>
      </c>
      <c r="AC639" s="2" t="n">
        <f aca="false">Y639-AA639</f>
        <v>1974.872</v>
      </c>
      <c r="AD639" s="2" t="str">
        <f aca="false">IF(ABS(AB639-AC639)&gt;1,"Mismatch","OK")</f>
        <v>OK</v>
      </c>
      <c r="AE639" s="4" t="n">
        <f aca="false">IF(Y639=0,0,AC639/Y639)</f>
        <v>0.386626969086632</v>
      </c>
      <c r="AF639" s="2" t="s">
        <v>52</v>
      </c>
      <c r="AG639" s="2" t="s">
        <v>53</v>
      </c>
      <c r="AH639" s="2" t="str">
        <f aca="false">IF(AND(AG639="Completed",AF639&lt;&gt;"Paid"),"Inconsistent","OK")</f>
        <v>OK</v>
      </c>
      <c r="AI639" s="2" t="n">
        <f aca="false">IF(OR(ISBLANK(B639),ISBLANK(C639)),"",C639-B639)</f>
        <v>0</v>
      </c>
      <c r="AJ639" s="2" t="str">
        <f aca="false">IF(AI639="","Unknown",IF(AI639&lt;0,"Invalid","OK"))</f>
        <v>OK</v>
      </c>
      <c r="AK639" s="2" t="str">
        <f aca="false">IF(ISBLANK(B639),"",TEXT(B639,"mmm"))</f>
        <v>May</v>
      </c>
      <c r="AL639" s="2" t="n">
        <f aca="false">IF(ISBLANK(B639),"",YEAR(B639))</f>
        <v>2024</v>
      </c>
      <c r="AM639" s="2" t="s">
        <v>41</v>
      </c>
      <c r="AN639" s="2" t="str">
        <f aca="false">IF(OR(W639="Invalid",AJ639="Invalid",AH639="Inconsistent",Z639="Mismatch",AD639="Mismatch",AM639="Yes",D639="Yes",E639="Yes"),"Invalid",IF(OR(J639="Yes",Q639="Yes",U639="Yes"),"Warning","Clean"))</f>
        <v>Clean</v>
      </c>
    </row>
    <row r="640" customFormat="false" ht="15" hidden="false" customHeight="false" outlineLevel="0" collapsed="false">
      <c r="A640" s="2" t="s">
        <v>2028</v>
      </c>
      <c r="B640" s="3" t="n">
        <v>45317</v>
      </c>
      <c r="C640" s="3" t="n">
        <v>45322</v>
      </c>
      <c r="D640" s="2" t="s">
        <v>41</v>
      </c>
      <c r="E640" s="2" t="s">
        <v>41</v>
      </c>
      <c r="F640" s="2" t="s">
        <v>2029</v>
      </c>
      <c r="G640" s="2" t="s">
        <v>43</v>
      </c>
      <c r="H640" s="2" t="s">
        <v>110</v>
      </c>
      <c r="I640" s="2" t="s">
        <v>74</v>
      </c>
      <c r="J640" s="2" t="s">
        <v>41</v>
      </c>
      <c r="K640" s="2" t="s">
        <v>205</v>
      </c>
      <c r="L640" s="2" t="s">
        <v>206</v>
      </c>
      <c r="M640" s="2" t="s">
        <v>48</v>
      </c>
      <c r="N640" s="2" t="s">
        <v>144</v>
      </c>
      <c r="O640" s="2" t="s">
        <v>2030</v>
      </c>
      <c r="P640" s="2" t="s">
        <v>51</v>
      </c>
      <c r="Q640" s="2" t="s">
        <v>41</v>
      </c>
      <c r="R640" s="2" t="n">
        <v>3</v>
      </c>
      <c r="S640" s="2" t="n">
        <v>3224.32</v>
      </c>
      <c r="T640" s="2" t="n">
        <v>0.2</v>
      </c>
      <c r="U640" s="2" t="str">
        <f aca="false">IF(ISBLANK(T640),"Yes","No")</f>
        <v>No</v>
      </c>
      <c r="V640" s="2" t="n">
        <f aca="false">IF(ISBLANK(T640),0,IF(ISNUMBER(T640),T640,VALUE(LEFT(T640,LEN(T640)-1))/100))</f>
        <v>0.2</v>
      </c>
      <c r="W640" s="2" t="str">
        <f aca="false">IF(AND(V640&gt;=0,V640&lt;=0.25),"Valid","Invalid")</f>
        <v>Valid</v>
      </c>
      <c r="X640" s="2" t="n">
        <v>7738.37</v>
      </c>
      <c r="Y640" s="2" t="n">
        <f aca="false">R640*S640*(1-V640)</f>
        <v>7738.368</v>
      </c>
      <c r="Z640" s="2" t="str">
        <f aca="false">IF(ABS(X640-Y640)&gt;1,"Mismatch","OK")</f>
        <v>OK</v>
      </c>
      <c r="AA640" s="2" t="n">
        <v>4626.85</v>
      </c>
      <c r="AB640" s="2" t="n">
        <v>3111.52</v>
      </c>
      <c r="AC640" s="2" t="n">
        <f aca="false">Y640-AA640</f>
        <v>3111.518</v>
      </c>
      <c r="AD640" s="2" t="str">
        <f aca="false">IF(ABS(AB640-AC640)&gt;1,"Mismatch","OK")</f>
        <v>OK</v>
      </c>
      <c r="AE640" s="4" t="n">
        <f aca="false">IF(Y640=0,0,AC640/Y640)</f>
        <v>0.402089691263067</v>
      </c>
      <c r="AF640" s="2" t="s">
        <v>175</v>
      </c>
      <c r="AG640" s="2" t="s">
        <v>123</v>
      </c>
      <c r="AH640" s="2" t="str">
        <f aca="false">IF(AND(AG640="Completed",AF640&lt;&gt;"Paid"),"Inconsistent","OK")</f>
        <v>OK</v>
      </c>
      <c r="AI640" s="2" t="n">
        <f aca="false">IF(OR(ISBLANK(B640),ISBLANK(C640)),"",C640-B640)</f>
        <v>5</v>
      </c>
      <c r="AJ640" s="2" t="str">
        <f aca="false">IF(AI640="","Unknown",IF(AI640&lt;0,"Invalid","OK"))</f>
        <v>OK</v>
      </c>
      <c r="AK640" s="2" t="str">
        <f aca="false">IF(ISBLANK(B640),"",TEXT(B640,"mmm"))</f>
        <v>Jan</v>
      </c>
      <c r="AL640" s="2" t="n">
        <f aca="false">IF(ISBLANK(B640),"",YEAR(B640))</f>
        <v>2024</v>
      </c>
      <c r="AM640" s="2" t="s">
        <v>41</v>
      </c>
      <c r="AN640" s="2" t="str">
        <f aca="false">IF(OR(W640="Invalid",AJ640="Invalid",AH640="Inconsistent",Z640="Mismatch",AD640="Mismatch",AM640="Yes",D640="Yes",E640="Yes"),"Invalid",IF(OR(J640="Yes",Q640="Yes",U640="Yes"),"Warning","Clean"))</f>
        <v>Clean</v>
      </c>
    </row>
    <row r="641" customFormat="false" ht="15" hidden="false" customHeight="false" outlineLevel="0" collapsed="false">
      <c r="A641" s="2" t="s">
        <v>2031</v>
      </c>
      <c r="B641" s="3" t="n">
        <v>45653</v>
      </c>
      <c r="C641" s="3" t="n">
        <v>45657</v>
      </c>
      <c r="D641" s="2" t="s">
        <v>41</v>
      </c>
      <c r="E641" s="2" t="s">
        <v>41</v>
      </c>
      <c r="F641" s="2" t="s">
        <v>2032</v>
      </c>
      <c r="G641" s="2" t="s">
        <v>67</v>
      </c>
      <c r="H641" s="2" t="s">
        <v>57</v>
      </c>
      <c r="I641" s="2" t="s">
        <v>58</v>
      </c>
      <c r="J641" s="2" t="s">
        <v>41</v>
      </c>
      <c r="K641" s="2" t="s">
        <v>59</v>
      </c>
      <c r="L641" s="2" t="s">
        <v>60</v>
      </c>
      <c r="M641" s="2" t="s">
        <v>61</v>
      </c>
      <c r="N641" s="2" t="s">
        <v>86</v>
      </c>
      <c r="O641" s="2" t="s">
        <v>2033</v>
      </c>
      <c r="P641" s="2" t="s">
        <v>51</v>
      </c>
      <c r="Q641" s="2" t="s">
        <v>41</v>
      </c>
      <c r="R641" s="2" t="n">
        <v>1</v>
      </c>
      <c r="S641" s="2" t="n">
        <v>1594.7</v>
      </c>
      <c r="T641" s="2" t="n">
        <v>0.05</v>
      </c>
      <c r="U641" s="2" t="str">
        <f aca="false">IF(ISBLANK(T641),"Yes","No")</f>
        <v>No</v>
      </c>
      <c r="V641" s="2" t="n">
        <f aca="false">IF(ISBLANK(T641),0,IF(ISNUMBER(T641),T641,VALUE(LEFT(T641,LEN(T641)-1))/100))</f>
        <v>0.05</v>
      </c>
      <c r="W641" s="2" t="str">
        <f aca="false">IF(AND(V641&gt;=0,V641&lt;=0.25),"Valid","Invalid")</f>
        <v>Valid</v>
      </c>
      <c r="X641" s="2" t="n">
        <v>1514.96</v>
      </c>
      <c r="Y641" s="2" t="n">
        <f aca="false">R641*S641*(1-V641)</f>
        <v>1514.965</v>
      </c>
      <c r="Z641" s="2" t="str">
        <f aca="false">IF(ABS(X641-Y641)&gt;1,"Mismatch","OK")</f>
        <v>OK</v>
      </c>
      <c r="AA641" s="2" t="n">
        <v>1046.17</v>
      </c>
      <c r="AB641" s="2" t="n">
        <v>468.79</v>
      </c>
      <c r="AC641" s="2" t="n">
        <f aca="false">Y641-AA641</f>
        <v>468.795</v>
      </c>
      <c r="AD641" s="2" t="str">
        <f aca="false">IF(ABS(AB641-AC641)&gt;1,"Mismatch","OK")</f>
        <v>OK</v>
      </c>
      <c r="AE641" s="4" t="n">
        <f aca="false">IF(Y641=0,0,AC641/Y641)</f>
        <v>0.309442792407745</v>
      </c>
      <c r="AF641" s="2" t="s">
        <v>52</v>
      </c>
      <c r="AG641" s="2" t="s">
        <v>53</v>
      </c>
      <c r="AH641" s="2" t="str">
        <f aca="false">IF(AND(AG641="Completed",AF641&lt;&gt;"Paid"),"Inconsistent","OK")</f>
        <v>OK</v>
      </c>
      <c r="AI641" s="2" t="n">
        <f aca="false">IF(OR(ISBLANK(B641),ISBLANK(C641)),"",C641-B641)</f>
        <v>4</v>
      </c>
      <c r="AJ641" s="2" t="str">
        <f aca="false">IF(AI641="","Unknown",IF(AI641&lt;0,"Invalid","OK"))</f>
        <v>OK</v>
      </c>
      <c r="AK641" s="2" t="str">
        <f aca="false">IF(ISBLANK(B641),"",TEXT(B641,"mmm"))</f>
        <v>Dec</v>
      </c>
      <c r="AL641" s="2" t="n">
        <f aca="false">IF(ISBLANK(B641),"",YEAR(B641))</f>
        <v>2024</v>
      </c>
      <c r="AM641" s="2" t="s">
        <v>41</v>
      </c>
      <c r="AN641" s="2" t="str">
        <f aca="false">IF(OR(W641="Invalid",AJ641="Invalid",AH641="Inconsistent",Z641="Mismatch",AD641="Mismatch",AM641="Yes",D641="Yes",E641="Yes"),"Invalid",IF(OR(J641="Yes",Q641="Yes",U641="Yes"),"Warning","Clean"))</f>
        <v>Clean</v>
      </c>
    </row>
    <row r="642" customFormat="false" ht="15" hidden="false" customHeight="false" outlineLevel="0" collapsed="false">
      <c r="A642" s="2" t="s">
        <v>2034</v>
      </c>
      <c r="B642" s="3" t="n">
        <v>45671</v>
      </c>
      <c r="C642" s="3" t="n">
        <v>45674</v>
      </c>
      <c r="D642" s="2" t="s">
        <v>41</v>
      </c>
      <c r="E642" s="2" t="s">
        <v>41</v>
      </c>
      <c r="F642" s="2" t="s">
        <v>2035</v>
      </c>
      <c r="G642" s="2" t="s">
        <v>91</v>
      </c>
      <c r="H642" s="2" t="s">
        <v>44</v>
      </c>
      <c r="I642" s="2" t="s">
        <v>83</v>
      </c>
      <c r="J642" s="2" t="s">
        <v>41</v>
      </c>
      <c r="K642" s="2" t="s">
        <v>210</v>
      </c>
      <c r="L642" s="2" t="s">
        <v>211</v>
      </c>
      <c r="M642" s="2" t="s">
        <v>48</v>
      </c>
      <c r="N642" s="2" t="s">
        <v>144</v>
      </c>
      <c r="O642" s="2" t="s">
        <v>2036</v>
      </c>
      <c r="P642" s="2" t="s">
        <v>70</v>
      </c>
      <c r="Q642" s="2" t="s">
        <v>41</v>
      </c>
      <c r="R642" s="2" t="n">
        <v>1</v>
      </c>
      <c r="S642" s="2" t="n">
        <v>1584.12</v>
      </c>
      <c r="T642" s="2" t="n">
        <v>0.2</v>
      </c>
      <c r="U642" s="2" t="str">
        <f aca="false">IF(ISBLANK(T642),"Yes","No")</f>
        <v>No</v>
      </c>
      <c r="V642" s="2" t="n">
        <f aca="false">IF(ISBLANK(T642),0,IF(ISNUMBER(T642),T642,VALUE(LEFT(T642,LEN(T642)-1))/100))</f>
        <v>0.2</v>
      </c>
      <c r="W642" s="2" t="str">
        <f aca="false">IF(AND(V642&gt;=0,V642&lt;=0.25),"Valid","Invalid")</f>
        <v>Valid</v>
      </c>
      <c r="X642" s="2" t="n">
        <v>1267.3</v>
      </c>
      <c r="Y642" s="2" t="n">
        <f aca="false">R642*S642*(1-V642)</f>
        <v>1267.296</v>
      </c>
      <c r="Z642" s="2" t="str">
        <f aca="false">IF(ABS(X642-Y642)&gt;1,"Mismatch","OK")</f>
        <v>OK</v>
      </c>
      <c r="AA642" s="2" t="n">
        <v>923.53</v>
      </c>
      <c r="AB642" s="2" t="n">
        <v>343.77</v>
      </c>
      <c r="AC642" s="2" t="n">
        <f aca="false">Y642-AA642</f>
        <v>343.766</v>
      </c>
      <c r="AD642" s="2" t="str">
        <f aca="false">IF(ABS(AB642-AC642)&gt;1,"Mismatch","OK")</f>
        <v>OK</v>
      </c>
      <c r="AE642" s="4" t="n">
        <f aca="false">IF(Y642=0,0,AC642/Y642)</f>
        <v>0.271259437416357</v>
      </c>
      <c r="AF642" s="2" t="s">
        <v>52</v>
      </c>
      <c r="AG642" s="2" t="s">
        <v>53</v>
      </c>
      <c r="AH642" s="2" t="str">
        <f aca="false">IF(AND(AG642="Completed",AF642&lt;&gt;"Paid"),"Inconsistent","OK")</f>
        <v>OK</v>
      </c>
      <c r="AI642" s="2" t="n">
        <f aca="false">IF(OR(ISBLANK(B642),ISBLANK(C642)),"",C642-B642)</f>
        <v>3</v>
      </c>
      <c r="AJ642" s="2" t="str">
        <f aca="false">IF(AI642="","Unknown",IF(AI642&lt;0,"Invalid","OK"))</f>
        <v>OK</v>
      </c>
      <c r="AK642" s="2" t="str">
        <f aca="false">IF(ISBLANK(B642),"",TEXT(B642,"mmm"))</f>
        <v>Jan</v>
      </c>
      <c r="AL642" s="2" t="n">
        <f aca="false">IF(ISBLANK(B642),"",YEAR(B642))</f>
        <v>2025</v>
      </c>
      <c r="AM642" s="2" t="s">
        <v>41</v>
      </c>
      <c r="AN642" s="2" t="str">
        <f aca="false">IF(OR(W642="Invalid",AJ642="Invalid",AH642="Inconsistent",Z642="Mismatch",AD642="Mismatch",AM642="Yes",D642="Yes",E642="Yes"),"Invalid",IF(OR(J642="Yes",Q642="Yes",U642="Yes"),"Warning","Clean"))</f>
        <v>Clean</v>
      </c>
    </row>
    <row r="643" customFormat="false" ht="15" hidden="false" customHeight="false" outlineLevel="0" collapsed="false">
      <c r="A643" s="2" t="s">
        <v>2037</v>
      </c>
      <c r="B643" s="3" t="n">
        <v>45756</v>
      </c>
      <c r="C643" s="3" t="n">
        <v>45761</v>
      </c>
      <c r="D643" s="2" t="s">
        <v>41</v>
      </c>
      <c r="E643" s="2" t="s">
        <v>41</v>
      </c>
      <c r="F643" s="2" t="s">
        <v>2038</v>
      </c>
      <c r="G643" s="2" t="s">
        <v>43</v>
      </c>
      <c r="H643" s="2" t="s">
        <v>44</v>
      </c>
      <c r="I643" s="2" t="s">
        <v>45</v>
      </c>
      <c r="J643" s="2" t="s">
        <v>41</v>
      </c>
      <c r="K643" s="2" t="s">
        <v>372</v>
      </c>
      <c r="L643" s="2" t="s">
        <v>373</v>
      </c>
      <c r="M643" s="2" t="s">
        <v>61</v>
      </c>
      <c r="N643" s="2" t="s">
        <v>77</v>
      </c>
      <c r="O643" s="2" t="s">
        <v>2039</v>
      </c>
      <c r="P643" s="2" t="s">
        <v>64</v>
      </c>
      <c r="Q643" s="2" t="s">
        <v>41</v>
      </c>
      <c r="R643" s="2" t="n">
        <v>2</v>
      </c>
      <c r="S643" s="2" t="n">
        <v>3202.87</v>
      </c>
      <c r="T643" s="2" t="n">
        <v>0</v>
      </c>
      <c r="U643" s="2" t="str">
        <f aca="false">IF(ISBLANK(T643),"Yes","No")</f>
        <v>No</v>
      </c>
      <c r="V643" s="2" t="n">
        <f aca="false">IF(ISBLANK(T643),0,IF(ISNUMBER(T643),T643,VALUE(LEFT(T643,LEN(T643)-1))/100))</f>
        <v>0</v>
      </c>
      <c r="W643" s="2" t="str">
        <f aca="false">IF(AND(V643&gt;=0,V643&lt;=0.25),"Valid","Invalid")</f>
        <v>Valid</v>
      </c>
      <c r="X643" s="2" t="n">
        <v>6405.74</v>
      </c>
      <c r="Y643" s="2" t="n">
        <f aca="false">R643*S643*(1-V643)</f>
        <v>6405.74</v>
      </c>
      <c r="Z643" s="2" t="str">
        <f aca="false">IF(ABS(X643-Y643)&gt;1,"Mismatch","OK")</f>
        <v>OK</v>
      </c>
      <c r="AA643" s="2" t="n">
        <v>3561.87</v>
      </c>
      <c r="AB643" s="2" t="n">
        <v>2843.87</v>
      </c>
      <c r="AC643" s="2" t="n">
        <f aca="false">Y643-AA643</f>
        <v>2843.87</v>
      </c>
      <c r="AD643" s="2" t="str">
        <f aca="false">IF(ABS(AB643-AC643)&gt;1,"Mismatch","OK")</f>
        <v>OK</v>
      </c>
      <c r="AE643" s="4" t="n">
        <f aca="false">IF(Y643=0,0,AC643/Y643)</f>
        <v>0.443956514001505</v>
      </c>
      <c r="AF643" s="2" t="s">
        <v>52</v>
      </c>
      <c r="AG643" s="2" t="s">
        <v>53</v>
      </c>
      <c r="AH643" s="2" t="str">
        <f aca="false">IF(AND(AG643="Completed",AF643&lt;&gt;"Paid"),"Inconsistent","OK")</f>
        <v>OK</v>
      </c>
      <c r="AI643" s="2" t="n">
        <f aca="false">IF(OR(ISBLANK(B643),ISBLANK(C643)),"",C643-B643)</f>
        <v>5</v>
      </c>
      <c r="AJ643" s="2" t="str">
        <f aca="false">IF(AI643="","Unknown",IF(AI643&lt;0,"Invalid","OK"))</f>
        <v>OK</v>
      </c>
      <c r="AK643" s="2" t="str">
        <f aca="false">IF(ISBLANK(B643),"",TEXT(B643,"mmm"))</f>
        <v>Apr</v>
      </c>
      <c r="AL643" s="2" t="n">
        <f aca="false">IF(ISBLANK(B643),"",YEAR(B643))</f>
        <v>2025</v>
      </c>
      <c r="AM643" s="2" t="s">
        <v>41</v>
      </c>
      <c r="AN643" s="2" t="str">
        <f aca="false">IF(OR(W643="Invalid",AJ643="Invalid",AH643="Inconsistent",Z643="Mismatch",AD643="Mismatch",AM643="Yes",D643="Yes",E643="Yes"),"Invalid",IF(OR(J643="Yes",Q643="Yes",U643="Yes"),"Warning","Clean"))</f>
        <v>Clean</v>
      </c>
    </row>
    <row r="644" customFormat="false" ht="15" hidden="false" customHeight="false" outlineLevel="0" collapsed="false">
      <c r="A644" s="2" t="s">
        <v>2040</v>
      </c>
      <c r="B644" s="3" t="n">
        <v>45533</v>
      </c>
      <c r="C644" s="3" t="n">
        <v>45535</v>
      </c>
      <c r="D644" s="2" t="s">
        <v>41</v>
      </c>
      <c r="E644" s="2" t="s">
        <v>41</v>
      </c>
      <c r="F644" s="2" t="s">
        <v>2041</v>
      </c>
      <c r="G644" s="2" t="s">
        <v>67</v>
      </c>
      <c r="H644" s="2" t="s">
        <v>115</v>
      </c>
      <c r="I644" s="2" t="s">
        <v>58</v>
      </c>
      <c r="J644" s="2" t="s">
        <v>41</v>
      </c>
      <c r="K644" s="2" t="s">
        <v>186</v>
      </c>
      <c r="L644" s="2" t="s">
        <v>187</v>
      </c>
      <c r="M644" s="2" t="s">
        <v>48</v>
      </c>
      <c r="N644" s="2" t="s">
        <v>173</v>
      </c>
      <c r="O644" s="2" t="s">
        <v>2042</v>
      </c>
      <c r="P644" s="2" t="s">
        <v>51</v>
      </c>
      <c r="Q644" s="2" t="s">
        <v>41</v>
      </c>
      <c r="R644" s="2" t="n">
        <v>9</v>
      </c>
      <c r="S644" s="2" t="n">
        <v>1275.21</v>
      </c>
      <c r="T644" s="2" t="n">
        <v>0.25</v>
      </c>
      <c r="U644" s="2" t="str">
        <f aca="false">IF(ISBLANK(T644),"Yes","No")</f>
        <v>No</v>
      </c>
      <c r="V644" s="2" t="n">
        <f aca="false">IF(ISBLANK(T644),0,IF(ISNUMBER(T644),T644,VALUE(LEFT(T644,LEN(T644)-1))/100))</f>
        <v>0.25</v>
      </c>
      <c r="W644" s="2" t="str">
        <f aca="false">IF(AND(V644&gt;=0,V644&lt;=0.25),"Valid","Invalid")</f>
        <v>Valid</v>
      </c>
      <c r="X644" s="2" t="n">
        <v>8607.67</v>
      </c>
      <c r="Y644" s="2" t="n">
        <f aca="false">R644*S644*(1-V644)</f>
        <v>8607.6675</v>
      </c>
      <c r="Z644" s="2" t="str">
        <f aca="false">IF(ABS(X644-Y644)&gt;1,"Mismatch","OK")</f>
        <v>OK</v>
      </c>
      <c r="AA644" s="2" t="n">
        <v>5337.64</v>
      </c>
      <c r="AB644" s="2" t="n">
        <v>3270.03</v>
      </c>
      <c r="AC644" s="2" t="n">
        <f aca="false">Y644-AA644</f>
        <v>3270.0275</v>
      </c>
      <c r="AD644" s="2" t="str">
        <f aca="false">IF(ABS(AB644-AC644)&gt;1,"Mismatch","OK")</f>
        <v>OK</v>
      </c>
      <c r="AE644" s="4" t="n">
        <f aca="false">IF(Y644=0,0,AC644/Y644)</f>
        <v>0.379897051088463</v>
      </c>
      <c r="AF644" s="2" t="s">
        <v>175</v>
      </c>
      <c r="AG644" s="2" t="s">
        <v>123</v>
      </c>
      <c r="AH644" s="2" t="str">
        <f aca="false">IF(AND(AG644="Completed",AF644&lt;&gt;"Paid"),"Inconsistent","OK")</f>
        <v>OK</v>
      </c>
      <c r="AI644" s="2" t="n">
        <f aca="false">IF(OR(ISBLANK(B644),ISBLANK(C644)),"",C644-B644)</f>
        <v>2</v>
      </c>
      <c r="AJ644" s="2" t="str">
        <f aca="false">IF(AI644="","Unknown",IF(AI644&lt;0,"Invalid","OK"))</f>
        <v>OK</v>
      </c>
      <c r="AK644" s="2" t="str">
        <f aca="false">IF(ISBLANK(B644),"",TEXT(B644,"mmm"))</f>
        <v>Aug</v>
      </c>
      <c r="AL644" s="2" t="n">
        <f aca="false">IF(ISBLANK(B644),"",YEAR(B644))</f>
        <v>2024</v>
      </c>
      <c r="AM644" s="2" t="s">
        <v>41</v>
      </c>
      <c r="AN644" s="2" t="str">
        <f aca="false">IF(OR(W644="Invalid",AJ644="Invalid",AH644="Inconsistent",Z644="Mismatch",AD644="Mismatch",AM644="Yes",D644="Yes",E644="Yes"),"Invalid",IF(OR(J644="Yes",Q644="Yes",U644="Yes"),"Warning","Clean"))</f>
        <v>Clean</v>
      </c>
    </row>
    <row r="645" customFormat="false" ht="15" hidden="false" customHeight="false" outlineLevel="0" collapsed="false">
      <c r="A645" s="2" t="s">
        <v>2043</v>
      </c>
      <c r="B645" s="3" t="n">
        <v>45327</v>
      </c>
      <c r="C645" s="3" t="n">
        <v>45335</v>
      </c>
      <c r="D645" s="2" t="s">
        <v>41</v>
      </c>
      <c r="E645" s="2" t="s">
        <v>41</v>
      </c>
      <c r="F645" s="2" t="s">
        <v>743</v>
      </c>
      <c r="G645" s="2" t="s">
        <v>148</v>
      </c>
      <c r="H645" s="2" t="s">
        <v>115</v>
      </c>
      <c r="I645" s="2" t="s">
        <v>45</v>
      </c>
      <c r="J645" s="2" t="s">
        <v>41</v>
      </c>
      <c r="K645" s="2" t="s">
        <v>156</v>
      </c>
      <c r="L645" s="2" t="s">
        <v>157</v>
      </c>
      <c r="M645" s="2" t="s">
        <v>48</v>
      </c>
      <c r="N645" s="2" t="s">
        <v>111</v>
      </c>
      <c r="O645" s="2" t="s">
        <v>2044</v>
      </c>
      <c r="P645" s="2" t="s">
        <v>79</v>
      </c>
      <c r="Q645" s="2" t="s">
        <v>41</v>
      </c>
      <c r="R645" s="2" t="n">
        <v>8</v>
      </c>
      <c r="S645" s="2" t="n">
        <v>3871.18</v>
      </c>
      <c r="T645" s="2" t="n">
        <v>0.15</v>
      </c>
      <c r="U645" s="2" t="str">
        <f aca="false">IF(ISBLANK(T645),"Yes","No")</f>
        <v>No</v>
      </c>
      <c r="V645" s="2" t="n">
        <f aca="false">IF(ISBLANK(T645),0,IF(ISNUMBER(T645),T645,VALUE(LEFT(T645,LEN(T645)-1))/100))</f>
        <v>0.15</v>
      </c>
      <c r="W645" s="2" t="str">
        <f aca="false">IF(AND(V645&gt;=0,V645&lt;=0.25),"Valid","Invalid")</f>
        <v>Valid</v>
      </c>
      <c r="X645" s="2" t="n">
        <v>26324.02</v>
      </c>
      <c r="Y645" s="2" t="n">
        <f aca="false">R645*S645*(1-V645)</f>
        <v>26324.024</v>
      </c>
      <c r="Z645" s="2" t="str">
        <f aca="false">IF(ABS(X645-Y645)&gt;1,"Mismatch","OK")</f>
        <v>OK</v>
      </c>
      <c r="AA645" s="2" t="n">
        <v>16277.96</v>
      </c>
      <c r="AB645" s="2" t="n">
        <v>10046.06</v>
      </c>
      <c r="AC645" s="2" t="n">
        <f aca="false">Y645-AA645</f>
        <v>10046.064</v>
      </c>
      <c r="AD645" s="2" t="str">
        <f aca="false">IF(ABS(AB645-AC645)&gt;1,"Mismatch","OK")</f>
        <v>OK</v>
      </c>
      <c r="AE645" s="4" t="n">
        <f aca="false">IF(Y645=0,0,AC645/Y645)</f>
        <v>0.381631015075811</v>
      </c>
      <c r="AF645" s="2" t="s">
        <v>175</v>
      </c>
      <c r="AG645" s="2" t="s">
        <v>123</v>
      </c>
      <c r="AH645" s="2" t="str">
        <f aca="false">IF(AND(AG645="Completed",AF645&lt;&gt;"Paid"),"Inconsistent","OK")</f>
        <v>OK</v>
      </c>
      <c r="AI645" s="2" t="n">
        <f aca="false">IF(OR(ISBLANK(B645),ISBLANK(C645)),"",C645-B645)</f>
        <v>8</v>
      </c>
      <c r="AJ645" s="2" t="str">
        <f aca="false">IF(AI645="","Unknown",IF(AI645&lt;0,"Invalid","OK"))</f>
        <v>OK</v>
      </c>
      <c r="AK645" s="2" t="str">
        <f aca="false">IF(ISBLANK(B645),"",TEXT(B645,"mmm"))</f>
        <v>Feb</v>
      </c>
      <c r="AL645" s="2" t="n">
        <f aca="false">IF(ISBLANK(B645),"",YEAR(B645))</f>
        <v>2024</v>
      </c>
      <c r="AM645" s="2" t="s">
        <v>41</v>
      </c>
      <c r="AN645" s="2" t="str">
        <f aca="false">IF(OR(W645="Invalid",AJ645="Invalid",AH645="Inconsistent",Z645="Mismatch",AD645="Mismatch",AM645="Yes",D645="Yes",E645="Yes"),"Invalid",IF(OR(J645="Yes",Q645="Yes",U645="Yes"),"Warning","Clean"))</f>
        <v>Clean</v>
      </c>
    </row>
    <row r="646" customFormat="false" ht="15" hidden="false" customHeight="false" outlineLevel="0" collapsed="false">
      <c r="A646" s="2" t="s">
        <v>2045</v>
      </c>
      <c r="B646" s="3" t="n">
        <v>45757</v>
      </c>
      <c r="C646" s="3" t="n">
        <v>45764</v>
      </c>
      <c r="D646" s="2" t="s">
        <v>41</v>
      </c>
      <c r="E646" s="2" t="s">
        <v>41</v>
      </c>
      <c r="F646" s="2" t="s">
        <v>2046</v>
      </c>
      <c r="G646" s="2" t="s">
        <v>91</v>
      </c>
      <c r="H646" s="2" t="s">
        <v>44</v>
      </c>
      <c r="I646" s="2" t="s">
        <v>58</v>
      </c>
      <c r="J646" s="2" t="s">
        <v>41</v>
      </c>
      <c r="K646" s="2" t="s">
        <v>119</v>
      </c>
      <c r="L646" s="2" t="s">
        <v>120</v>
      </c>
      <c r="M646" s="2" t="s">
        <v>61</v>
      </c>
      <c r="N646" s="2" t="s">
        <v>86</v>
      </c>
      <c r="O646" s="2" t="s">
        <v>2047</v>
      </c>
      <c r="P646" s="2" t="s">
        <v>79</v>
      </c>
      <c r="Q646" s="2" t="s">
        <v>41</v>
      </c>
      <c r="R646" s="2" t="n">
        <v>4</v>
      </c>
      <c r="S646" s="2" t="n">
        <v>3750.02</v>
      </c>
      <c r="T646" s="2" t="n">
        <v>0.05</v>
      </c>
      <c r="U646" s="2" t="str">
        <f aca="false">IF(ISBLANK(T646),"Yes","No")</f>
        <v>No</v>
      </c>
      <c r="V646" s="2" t="n">
        <f aca="false">IF(ISBLANK(T646),0,IF(ISNUMBER(T646),T646,VALUE(LEFT(T646,LEN(T646)-1))/100))</f>
        <v>0.05</v>
      </c>
      <c r="W646" s="2" t="str">
        <f aca="false">IF(AND(V646&gt;=0,V646&lt;=0.25),"Valid","Invalid")</f>
        <v>Valid</v>
      </c>
      <c r="X646" s="2" t="n">
        <v>14250.08</v>
      </c>
      <c r="Y646" s="2" t="n">
        <f aca="false">R646*S646*(1-V646)</f>
        <v>14250.076</v>
      </c>
      <c r="Z646" s="2" t="str">
        <f aca="false">IF(ABS(X646-Y646)&gt;1,"Mismatch","OK")</f>
        <v>OK</v>
      </c>
      <c r="AA646" s="2" t="n">
        <v>10914.92</v>
      </c>
      <c r="AB646" s="2" t="n">
        <v>3335.16</v>
      </c>
      <c r="AC646" s="2" t="n">
        <f aca="false">Y646-AA646</f>
        <v>3335.156</v>
      </c>
      <c r="AD646" s="2" t="str">
        <f aca="false">IF(ABS(AB646-AC646)&gt;1,"Mismatch","OK")</f>
        <v>OK</v>
      </c>
      <c r="AE646" s="4" t="n">
        <f aca="false">IF(Y646=0,0,AC646/Y646)</f>
        <v>0.234044786848856</v>
      </c>
      <c r="AF646" s="2" t="s">
        <v>52</v>
      </c>
      <c r="AG646" s="2" t="s">
        <v>53</v>
      </c>
      <c r="AH646" s="2" t="str">
        <f aca="false">IF(AND(AG646="Completed",AF646&lt;&gt;"Paid"),"Inconsistent","OK")</f>
        <v>OK</v>
      </c>
      <c r="AI646" s="2" t="n">
        <f aca="false">IF(OR(ISBLANK(B646),ISBLANK(C646)),"",C646-B646)</f>
        <v>7</v>
      </c>
      <c r="AJ646" s="2" t="str">
        <f aca="false">IF(AI646="","Unknown",IF(AI646&lt;0,"Invalid","OK"))</f>
        <v>OK</v>
      </c>
      <c r="AK646" s="2" t="str">
        <f aca="false">IF(ISBLANK(B646),"",TEXT(B646,"mmm"))</f>
        <v>Apr</v>
      </c>
      <c r="AL646" s="2" t="n">
        <f aca="false">IF(ISBLANK(B646),"",YEAR(B646))</f>
        <v>2025</v>
      </c>
      <c r="AM646" s="2" t="s">
        <v>41</v>
      </c>
      <c r="AN646" s="2" t="str">
        <f aca="false">IF(OR(W646="Invalid",AJ646="Invalid",AH646="Inconsistent",Z646="Mismatch",AD646="Mismatch",AM646="Yes",D646="Yes",E646="Yes"),"Invalid",IF(OR(J646="Yes",Q646="Yes",U646="Yes"),"Warning","Clean"))</f>
        <v>Clean</v>
      </c>
    </row>
    <row r="647" customFormat="false" ht="15" hidden="false" customHeight="false" outlineLevel="0" collapsed="false">
      <c r="A647" s="2" t="s">
        <v>2048</v>
      </c>
      <c r="B647" s="3" t="n">
        <v>45295</v>
      </c>
      <c r="C647" s="3" t="n">
        <v>45300</v>
      </c>
      <c r="D647" s="2" t="s">
        <v>41</v>
      </c>
      <c r="E647" s="2" t="s">
        <v>41</v>
      </c>
      <c r="F647" s="2" t="s">
        <v>2049</v>
      </c>
      <c r="G647" s="2" t="s">
        <v>286</v>
      </c>
      <c r="H647" s="2" t="s">
        <v>44</v>
      </c>
      <c r="I647" s="2" t="s">
        <v>58</v>
      </c>
      <c r="J647" s="2" t="s">
        <v>41</v>
      </c>
      <c r="K647" s="2" t="s">
        <v>165</v>
      </c>
      <c r="L647" s="2" t="s">
        <v>166</v>
      </c>
      <c r="M647" s="2" t="s">
        <v>61</v>
      </c>
      <c r="N647" s="2" t="s">
        <v>86</v>
      </c>
      <c r="O647" s="2" t="s">
        <v>2050</v>
      </c>
      <c r="P647" s="2" t="s">
        <v>51</v>
      </c>
      <c r="Q647" s="2" t="s">
        <v>41</v>
      </c>
      <c r="R647" s="2" t="n">
        <v>6</v>
      </c>
      <c r="S647" s="2" t="n">
        <v>2423.61</v>
      </c>
      <c r="T647" s="2" t="n">
        <v>0.1</v>
      </c>
      <c r="U647" s="2" t="str">
        <f aca="false">IF(ISBLANK(T647),"Yes","No")</f>
        <v>No</v>
      </c>
      <c r="V647" s="2" t="n">
        <f aca="false">IF(ISBLANK(T647),0,IF(ISNUMBER(T647),T647,VALUE(LEFT(T647,LEN(T647)-1))/100))</f>
        <v>0.1</v>
      </c>
      <c r="W647" s="2" t="str">
        <f aca="false">IF(AND(V647&gt;=0,V647&lt;=0.25),"Valid","Invalid")</f>
        <v>Valid</v>
      </c>
      <c r="X647" s="2" t="n">
        <v>13087.49</v>
      </c>
      <c r="Y647" s="2" t="n">
        <f aca="false">R647*S647*(1-V647)</f>
        <v>13087.494</v>
      </c>
      <c r="Z647" s="2" t="str">
        <f aca="false">IF(ABS(X647-Y647)&gt;1,"Mismatch","OK")</f>
        <v>OK</v>
      </c>
      <c r="AA647" s="2" t="n">
        <v>7608.89</v>
      </c>
      <c r="AB647" s="2" t="n">
        <v>5133.22</v>
      </c>
      <c r="AC647" s="2" t="n">
        <f aca="false">Y647-AA647</f>
        <v>5478.604</v>
      </c>
      <c r="AD647" s="2" t="str">
        <f aca="false">IF(ABS(AB647-AC647)&gt;1,"Mismatch","OK")</f>
        <v>Mismatch</v>
      </c>
      <c r="AE647" s="4" t="n">
        <f aca="false">IF(Y647=0,0,AC647/Y647)</f>
        <v>0.418613678065488</v>
      </c>
      <c r="AF647" s="2" t="s">
        <v>52</v>
      </c>
      <c r="AG647" s="2" t="s">
        <v>53</v>
      </c>
      <c r="AH647" s="2" t="str">
        <f aca="false">IF(AND(AG647="Completed",AF647&lt;&gt;"Paid"),"Inconsistent","OK")</f>
        <v>OK</v>
      </c>
      <c r="AI647" s="2" t="n">
        <f aca="false">IF(OR(ISBLANK(B647),ISBLANK(C647)),"",C647-B647)</f>
        <v>5</v>
      </c>
      <c r="AJ647" s="2" t="str">
        <f aca="false">IF(AI647="","Unknown",IF(AI647&lt;0,"Invalid","OK"))</f>
        <v>OK</v>
      </c>
      <c r="AK647" s="2" t="str">
        <f aca="false">IF(ISBLANK(B647),"",TEXT(B647,"mmm"))</f>
        <v>Jan</v>
      </c>
      <c r="AL647" s="2" t="n">
        <f aca="false">IF(ISBLANK(B647),"",YEAR(B647))</f>
        <v>2024</v>
      </c>
      <c r="AM647" s="2" t="s">
        <v>41</v>
      </c>
      <c r="AN647" s="2" t="str">
        <f aca="false">IF(OR(W647="Invalid",AJ647="Invalid",AH647="Inconsistent",Z647="Mismatch",AD647="Mismatch",AM647="Yes",D647="Yes",E647="Yes"),"Invalid",IF(OR(J647="Yes",Q647="Yes",U647="Yes"),"Warning","Clean"))</f>
        <v>Invalid</v>
      </c>
    </row>
    <row r="648" customFormat="false" ht="15" hidden="false" customHeight="false" outlineLevel="0" collapsed="false">
      <c r="A648" s="2" t="s">
        <v>2051</v>
      </c>
      <c r="B648" s="3" t="n">
        <v>45553</v>
      </c>
      <c r="C648" s="3" t="n">
        <v>45559</v>
      </c>
      <c r="D648" s="2" t="s">
        <v>41</v>
      </c>
      <c r="E648" s="2" t="s">
        <v>41</v>
      </c>
      <c r="F648" s="2" t="s">
        <v>2052</v>
      </c>
      <c r="G648" s="2" t="s">
        <v>91</v>
      </c>
      <c r="H648" s="2" t="s">
        <v>57</v>
      </c>
      <c r="I648" s="2" t="s">
        <v>58</v>
      </c>
      <c r="J648" s="2" t="s">
        <v>41</v>
      </c>
      <c r="K648" s="2" t="s">
        <v>250</v>
      </c>
      <c r="L648" s="2" t="s">
        <v>251</v>
      </c>
      <c r="M648" s="2" t="s">
        <v>94</v>
      </c>
      <c r="N648" s="2" t="s">
        <v>296</v>
      </c>
      <c r="O648" s="2" t="s">
        <v>2053</v>
      </c>
      <c r="P648" s="2" t="s">
        <v>70</v>
      </c>
      <c r="Q648" s="2" t="s">
        <v>41</v>
      </c>
      <c r="R648" s="2" t="n">
        <v>3</v>
      </c>
      <c r="S648" s="2" t="n">
        <v>729.14</v>
      </c>
      <c r="T648" s="2" t="n">
        <v>0.25</v>
      </c>
      <c r="U648" s="2" t="str">
        <f aca="false">IF(ISBLANK(T648),"Yes","No")</f>
        <v>No</v>
      </c>
      <c r="V648" s="2" t="n">
        <f aca="false">IF(ISBLANK(T648),0,IF(ISNUMBER(T648),T648,VALUE(LEFT(T648,LEN(T648)-1))/100))</f>
        <v>0.25</v>
      </c>
      <c r="W648" s="2" t="str">
        <f aca="false">IF(AND(V648&gt;=0,V648&lt;=0.25),"Valid","Invalid")</f>
        <v>Valid</v>
      </c>
      <c r="X648" s="2" t="n">
        <v>1640.57</v>
      </c>
      <c r="Y648" s="2" t="n">
        <f aca="false">R648*S648*(1-V648)</f>
        <v>1640.565</v>
      </c>
      <c r="Z648" s="2" t="str">
        <f aca="false">IF(ABS(X648-Y648)&gt;1,"Mismatch","OK")</f>
        <v>OK</v>
      </c>
      <c r="AA648" s="2" t="n">
        <v>1136.98</v>
      </c>
      <c r="AB648" s="2" t="n">
        <v>503.59</v>
      </c>
      <c r="AC648" s="2" t="n">
        <f aca="false">Y648-AA648</f>
        <v>503.585</v>
      </c>
      <c r="AD648" s="2" t="str">
        <f aca="false">IF(ABS(AB648-AC648)&gt;1,"Mismatch","OK")</f>
        <v>OK</v>
      </c>
      <c r="AE648" s="4" t="n">
        <f aca="false">IF(Y648=0,0,AC648/Y648)</f>
        <v>0.306958273521622</v>
      </c>
      <c r="AF648" s="2" t="s">
        <v>52</v>
      </c>
      <c r="AG648" s="2" t="s">
        <v>53</v>
      </c>
      <c r="AH648" s="2" t="str">
        <f aca="false">IF(AND(AG648="Completed",AF648&lt;&gt;"Paid"),"Inconsistent","OK")</f>
        <v>OK</v>
      </c>
      <c r="AI648" s="2" t="n">
        <f aca="false">IF(OR(ISBLANK(B648),ISBLANK(C648)),"",C648-B648)</f>
        <v>6</v>
      </c>
      <c r="AJ648" s="2" t="str">
        <f aca="false">IF(AI648="","Unknown",IF(AI648&lt;0,"Invalid","OK"))</f>
        <v>OK</v>
      </c>
      <c r="AK648" s="2" t="str">
        <f aca="false">IF(ISBLANK(B648),"",TEXT(B648,"mmm"))</f>
        <v>Sep</v>
      </c>
      <c r="AL648" s="2" t="n">
        <f aca="false">IF(ISBLANK(B648),"",YEAR(B648))</f>
        <v>2024</v>
      </c>
      <c r="AM648" s="2" t="s">
        <v>41</v>
      </c>
      <c r="AN648" s="2" t="str">
        <f aca="false">IF(OR(W648="Invalid",AJ648="Invalid",AH648="Inconsistent",Z648="Mismatch",AD648="Mismatch",AM648="Yes",D648="Yes",E648="Yes"),"Invalid",IF(OR(J648="Yes",Q648="Yes",U648="Yes"),"Warning","Clean"))</f>
        <v>Clean</v>
      </c>
    </row>
    <row r="649" customFormat="false" ht="15" hidden="false" customHeight="false" outlineLevel="0" collapsed="false">
      <c r="A649" s="2" t="s">
        <v>2054</v>
      </c>
      <c r="B649" s="3" t="n">
        <v>45658</v>
      </c>
      <c r="C649" s="3" t="n">
        <v>45666</v>
      </c>
      <c r="D649" s="2" t="s">
        <v>41</v>
      </c>
      <c r="E649" s="2" t="s">
        <v>41</v>
      </c>
      <c r="F649" s="2" t="s">
        <v>2055</v>
      </c>
      <c r="G649" s="2" t="s">
        <v>161</v>
      </c>
      <c r="H649" s="2" t="s">
        <v>57</v>
      </c>
      <c r="I649" s="2" t="s">
        <v>45</v>
      </c>
      <c r="J649" s="2" t="s">
        <v>41</v>
      </c>
      <c r="K649" s="2" t="s">
        <v>142</v>
      </c>
      <c r="L649" s="2" t="s">
        <v>143</v>
      </c>
      <c r="M649" s="2" t="s">
        <v>48</v>
      </c>
      <c r="N649" s="2" t="s">
        <v>68</v>
      </c>
      <c r="O649" s="2" t="s">
        <v>2056</v>
      </c>
      <c r="P649" s="2" t="s">
        <v>70</v>
      </c>
      <c r="Q649" s="2" t="s">
        <v>41</v>
      </c>
      <c r="R649" s="2" t="n">
        <v>8</v>
      </c>
      <c r="S649" s="2" t="n">
        <v>2123.81</v>
      </c>
      <c r="T649" s="2" t="n">
        <v>0.15</v>
      </c>
      <c r="U649" s="2" t="str">
        <f aca="false">IF(ISBLANK(T649),"Yes","No")</f>
        <v>No</v>
      </c>
      <c r="V649" s="2" t="n">
        <f aca="false">IF(ISBLANK(T649),0,IF(ISNUMBER(T649),T649,VALUE(LEFT(T649,LEN(T649)-1))/100))</f>
        <v>0.15</v>
      </c>
      <c r="W649" s="2" t="str">
        <f aca="false">IF(AND(V649&gt;=0,V649&lt;=0.25),"Valid","Invalid")</f>
        <v>Valid</v>
      </c>
      <c r="X649" s="2" t="n">
        <v>14441.91</v>
      </c>
      <c r="Y649" s="2" t="n">
        <f aca="false">R649*S649*(1-V649)</f>
        <v>14441.908</v>
      </c>
      <c r="Z649" s="2" t="str">
        <f aca="false">IF(ABS(X649-Y649)&gt;1,"Mismatch","OK")</f>
        <v>OK</v>
      </c>
      <c r="AA649" s="2" t="n">
        <v>10872.89</v>
      </c>
      <c r="AB649" s="2" t="n">
        <v>3569.02</v>
      </c>
      <c r="AC649" s="2" t="n">
        <f aca="false">Y649-AA649</f>
        <v>3569.018</v>
      </c>
      <c r="AD649" s="2" t="str">
        <f aca="false">IF(ABS(AB649-AC649)&gt;1,"Mismatch","OK")</f>
        <v>OK</v>
      </c>
      <c r="AE649" s="4" t="n">
        <f aca="false">IF(Y649=0,0,AC649/Y649)</f>
        <v>0.247129257436067</v>
      </c>
      <c r="AF649" s="2" t="s">
        <v>52</v>
      </c>
      <c r="AG649" s="2" t="s">
        <v>53</v>
      </c>
      <c r="AH649" s="2" t="str">
        <f aca="false">IF(AND(AG649="Completed",AF649&lt;&gt;"Paid"),"Inconsistent","OK")</f>
        <v>OK</v>
      </c>
      <c r="AI649" s="2" t="n">
        <f aca="false">IF(OR(ISBLANK(B649),ISBLANK(C649)),"",C649-B649)</f>
        <v>8</v>
      </c>
      <c r="AJ649" s="2" t="str">
        <f aca="false">IF(AI649="","Unknown",IF(AI649&lt;0,"Invalid","OK"))</f>
        <v>OK</v>
      </c>
      <c r="AK649" s="2" t="str">
        <f aca="false">IF(ISBLANK(B649),"",TEXT(B649,"mmm"))</f>
        <v>Jan</v>
      </c>
      <c r="AL649" s="2" t="n">
        <f aca="false">IF(ISBLANK(B649),"",YEAR(B649))</f>
        <v>2025</v>
      </c>
      <c r="AM649" s="2" t="s">
        <v>41</v>
      </c>
      <c r="AN649" s="2" t="str">
        <f aca="false">IF(OR(W649="Invalid",AJ649="Invalid",AH649="Inconsistent",Z649="Mismatch",AD649="Mismatch",AM649="Yes",D649="Yes",E649="Yes"),"Invalid",IF(OR(J649="Yes",Q649="Yes",U649="Yes"),"Warning","Clean"))</f>
        <v>Clean</v>
      </c>
    </row>
    <row r="650" customFormat="false" ht="15" hidden="false" customHeight="false" outlineLevel="0" collapsed="false">
      <c r="A650" s="2" t="s">
        <v>2057</v>
      </c>
      <c r="B650" s="3" t="n">
        <v>45403</v>
      </c>
      <c r="C650" s="3" t="n">
        <v>45406</v>
      </c>
      <c r="D650" s="2" t="s">
        <v>41</v>
      </c>
      <c r="E650" s="2" t="s">
        <v>41</v>
      </c>
      <c r="F650" s="2" t="s">
        <v>2058</v>
      </c>
      <c r="G650" s="2" t="s">
        <v>99</v>
      </c>
      <c r="H650" s="2" t="s">
        <v>57</v>
      </c>
      <c r="I650" s="2" t="s">
        <v>74</v>
      </c>
      <c r="J650" s="2" t="s">
        <v>41</v>
      </c>
      <c r="K650" s="2" t="s">
        <v>104</v>
      </c>
      <c r="L650" s="2" t="s">
        <v>105</v>
      </c>
      <c r="M650" s="2" t="s">
        <v>48</v>
      </c>
      <c r="N650" s="2" t="s">
        <v>68</v>
      </c>
      <c r="O650" s="2" t="s">
        <v>2059</v>
      </c>
      <c r="P650" s="2" t="s">
        <v>64</v>
      </c>
      <c r="Q650" s="2" t="s">
        <v>41</v>
      </c>
      <c r="R650" s="2" t="n">
        <v>9</v>
      </c>
      <c r="S650" s="2" t="n">
        <v>703.59</v>
      </c>
      <c r="T650" s="2" t="n">
        <v>0.2</v>
      </c>
      <c r="U650" s="2" t="str">
        <f aca="false">IF(ISBLANK(T650),"Yes","No")</f>
        <v>No</v>
      </c>
      <c r="V650" s="2" t="n">
        <f aca="false">IF(ISBLANK(T650),0,IF(ISNUMBER(T650),T650,VALUE(LEFT(T650,LEN(T650)-1))/100))</f>
        <v>0.2</v>
      </c>
      <c r="W650" s="2" t="str">
        <f aca="false">IF(AND(V650&gt;=0,V650&lt;=0.25),"Valid","Invalid")</f>
        <v>Valid</v>
      </c>
      <c r="X650" s="2" t="n">
        <v>5065.85</v>
      </c>
      <c r="Y650" s="2" t="n">
        <f aca="false">R650*S650*(1-V650)</f>
        <v>5065.848</v>
      </c>
      <c r="Z650" s="2" t="str">
        <f aca="false">IF(ABS(X650-Y650)&gt;1,"Mismatch","OK")</f>
        <v>OK</v>
      </c>
      <c r="AA650" s="2" t="n">
        <v>3517.23</v>
      </c>
      <c r="AB650" s="2" t="n">
        <v>1548.62</v>
      </c>
      <c r="AC650" s="2" t="n">
        <f aca="false">Y650-AA650</f>
        <v>1548.618</v>
      </c>
      <c r="AD650" s="2" t="str">
        <f aca="false">IF(ABS(AB650-AC650)&gt;1,"Mismatch","OK")</f>
        <v>OK</v>
      </c>
      <c r="AE650" s="4" t="n">
        <f aca="false">IF(Y650=0,0,AC650/Y650)</f>
        <v>0.305697683783643</v>
      </c>
      <c r="AF650" s="2" t="s">
        <v>175</v>
      </c>
      <c r="AG650" s="2" t="s">
        <v>123</v>
      </c>
      <c r="AH650" s="2" t="str">
        <f aca="false">IF(AND(AG650="Completed",AF650&lt;&gt;"Paid"),"Inconsistent","OK")</f>
        <v>OK</v>
      </c>
      <c r="AI650" s="2" t="n">
        <f aca="false">IF(OR(ISBLANK(B650),ISBLANK(C650)),"",C650-B650)</f>
        <v>3</v>
      </c>
      <c r="AJ650" s="2" t="str">
        <f aca="false">IF(AI650="","Unknown",IF(AI650&lt;0,"Invalid","OK"))</f>
        <v>OK</v>
      </c>
      <c r="AK650" s="2" t="str">
        <f aca="false">IF(ISBLANK(B650),"",TEXT(B650,"mmm"))</f>
        <v>Apr</v>
      </c>
      <c r="AL650" s="2" t="n">
        <f aca="false">IF(ISBLANK(B650),"",YEAR(B650))</f>
        <v>2024</v>
      </c>
      <c r="AM650" s="2" t="s">
        <v>41</v>
      </c>
      <c r="AN650" s="2" t="str">
        <f aca="false">IF(OR(W650="Invalid",AJ650="Invalid",AH650="Inconsistent",Z650="Mismatch",AD650="Mismatch",AM650="Yes",D650="Yes",E650="Yes"),"Invalid",IF(OR(J650="Yes",Q650="Yes",U650="Yes"),"Warning","Clean"))</f>
        <v>Clean</v>
      </c>
    </row>
    <row r="651" customFormat="false" ht="15" hidden="false" customHeight="false" outlineLevel="0" collapsed="false">
      <c r="A651" s="2" t="s">
        <v>2060</v>
      </c>
      <c r="B651" s="3" t="n">
        <v>45880</v>
      </c>
      <c r="C651" s="3" t="n">
        <v>45888</v>
      </c>
      <c r="D651" s="2" t="s">
        <v>41</v>
      </c>
      <c r="E651" s="2" t="s">
        <v>41</v>
      </c>
      <c r="F651" s="2" t="s">
        <v>2061</v>
      </c>
      <c r="G651" s="2" t="s">
        <v>286</v>
      </c>
      <c r="H651" s="2" t="s">
        <v>57</v>
      </c>
      <c r="I651" s="2" t="s">
        <v>74</v>
      </c>
      <c r="J651" s="2" t="s">
        <v>41</v>
      </c>
      <c r="K651" s="2" t="s">
        <v>205</v>
      </c>
      <c r="L651" s="2" t="s">
        <v>206</v>
      </c>
      <c r="M651" s="2" t="s">
        <v>94</v>
      </c>
      <c r="N651" s="2" t="s">
        <v>95</v>
      </c>
      <c r="O651" s="2" t="s">
        <v>2062</v>
      </c>
      <c r="P651" s="2" t="s">
        <v>79</v>
      </c>
      <c r="Q651" s="2" t="s">
        <v>41</v>
      </c>
      <c r="R651" s="2" t="n">
        <v>4</v>
      </c>
      <c r="S651" s="2" t="n">
        <v>2258.96</v>
      </c>
      <c r="T651" s="2" t="n">
        <v>0.25</v>
      </c>
      <c r="U651" s="2" t="str">
        <f aca="false">IF(ISBLANK(T651),"Yes","No")</f>
        <v>No</v>
      </c>
      <c r="V651" s="2" t="n">
        <f aca="false">IF(ISBLANK(T651),0,IF(ISNUMBER(T651),T651,VALUE(LEFT(T651,LEN(T651)-1))/100))</f>
        <v>0.25</v>
      </c>
      <c r="W651" s="2" t="str">
        <f aca="false">IF(AND(V651&gt;=0,V651&lt;=0.25),"Valid","Invalid")</f>
        <v>Valid</v>
      </c>
      <c r="X651" s="2" t="n">
        <v>6776.88</v>
      </c>
      <c r="Y651" s="2" t="n">
        <f aca="false">R651*S651*(1-V651)</f>
        <v>6776.88</v>
      </c>
      <c r="Z651" s="2" t="str">
        <f aca="false">IF(ABS(X651-Y651)&gt;1,"Mismatch","OK")</f>
        <v>OK</v>
      </c>
      <c r="AA651" s="2" t="n">
        <v>3836.24</v>
      </c>
      <c r="AB651" s="2" t="n">
        <v>2940.64</v>
      </c>
      <c r="AC651" s="2" t="n">
        <f aca="false">Y651-AA651</f>
        <v>2940.64</v>
      </c>
      <c r="AD651" s="2" t="str">
        <f aca="false">IF(ABS(AB651-AC651)&gt;1,"Mismatch","OK")</f>
        <v>OK</v>
      </c>
      <c r="AE651" s="4" t="n">
        <f aca="false">IF(Y651=0,0,AC651/Y651)</f>
        <v>0.433922394966415</v>
      </c>
      <c r="AF651" s="2" t="s">
        <v>52</v>
      </c>
      <c r="AG651" s="2" t="s">
        <v>53</v>
      </c>
      <c r="AH651" s="2" t="str">
        <f aca="false">IF(AND(AG651="Completed",AF651&lt;&gt;"Paid"),"Inconsistent","OK")</f>
        <v>OK</v>
      </c>
      <c r="AI651" s="2" t="n">
        <f aca="false">IF(OR(ISBLANK(B651),ISBLANK(C651)),"",C651-B651)</f>
        <v>8</v>
      </c>
      <c r="AJ651" s="2" t="str">
        <f aca="false">IF(AI651="","Unknown",IF(AI651&lt;0,"Invalid","OK"))</f>
        <v>OK</v>
      </c>
      <c r="AK651" s="2" t="str">
        <f aca="false">IF(ISBLANK(B651),"",TEXT(B651,"mmm"))</f>
        <v>Aug</v>
      </c>
      <c r="AL651" s="2" t="n">
        <f aca="false">IF(ISBLANK(B651),"",YEAR(B651))</f>
        <v>2025</v>
      </c>
      <c r="AM651" s="2" t="s">
        <v>41</v>
      </c>
      <c r="AN651" s="2" t="str">
        <f aca="false">IF(OR(W651="Invalid",AJ651="Invalid",AH651="Inconsistent",Z651="Mismatch",AD651="Mismatch",AM651="Yes",D651="Yes",E651="Yes"),"Invalid",IF(OR(J651="Yes",Q651="Yes",U651="Yes"),"Warning","Clean"))</f>
        <v>Clean</v>
      </c>
    </row>
    <row r="652" customFormat="false" ht="15" hidden="false" customHeight="false" outlineLevel="0" collapsed="false">
      <c r="A652" s="2" t="s">
        <v>2063</v>
      </c>
      <c r="B652" s="3" t="n">
        <v>45395</v>
      </c>
      <c r="C652" s="3" t="n">
        <v>45403</v>
      </c>
      <c r="D652" s="2" t="s">
        <v>41</v>
      </c>
      <c r="E652" s="2" t="s">
        <v>41</v>
      </c>
      <c r="F652" s="2" t="s">
        <v>400</v>
      </c>
      <c r="G652" s="2" t="s">
        <v>148</v>
      </c>
      <c r="H652" s="2" t="s">
        <v>115</v>
      </c>
      <c r="I652" s="2" t="s">
        <v>58</v>
      </c>
      <c r="J652" s="2" t="s">
        <v>41</v>
      </c>
      <c r="K652" s="2" t="s">
        <v>165</v>
      </c>
      <c r="L652" s="2" t="s">
        <v>166</v>
      </c>
      <c r="M652" s="2" t="s">
        <v>94</v>
      </c>
      <c r="N652" s="2" t="s">
        <v>95</v>
      </c>
      <c r="O652" s="2" t="s">
        <v>2064</v>
      </c>
      <c r="P652" s="2" t="s">
        <v>64</v>
      </c>
      <c r="Q652" s="2" t="s">
        <v>41</v>
      </c>
      <c r="R652" s="2" t="n">
        <v>7</v>
      </c>
      <c r="S652" s="2" t="n">
        <v>2648.76</v>
      </c>
      <c r="T652" s="2" t="n">
        <v>0.15</v>
      </c>
      <c r="U652" s="2" t="str">
        <f aca="false">IF(ISBLANK(T652),"Yes","No")</f>
        <v>No</v>
      </c>
      <c r="V652" s="2" t="n">
        <f aca="false">IF(ISBLANK(T652),0,IF(ISNUMBER(T652),T652,VALUE(LEFT(T652,LEN(T652)-1))/100))</f>
        <v>0.15</v>
      </c>
      <c r="W652" s="2" t="str">
        <f aca="false">IF(AND(V652&gt;=0,V652&lt;=0.25),"Valid","Invalid")</f>
        <v>Valid</v>
      </c>
      <c r="X652" s="2" t="n">
        <v>15760.12</v>
      </c>
      <c r="Y652" s="2" t="n">
        <f aca="false">R652*S652*(1-V652)</f>
        <v>15760.122</v>
      </c>
      <c r="Z652" s="2" t="str">
        <f aca="false">IF(ABS(X652-Y652)&gt;1,"Mismatch","OK")</f>
        <v>OK</v>
      </c>
      <c r="AA652" s="2" t="n">
        <v>9931.53</v>
      </c>
      <c r="AB652" s="2" t="n">
        <v>5828.59</v>
      </c>
      <c r="AC652" s="2" t="n">
        <f aca="false">Y652-AA652</f>
        <v>5828.592</v>
      </c>
      <c r="AD652" s="2" t="str">
        <f aca="false">IF(ABS(AB652-AC652)&gt;1,"Mismatch","OK")</f>
        <v>OK</v>
      </c>
      <c r="AE652" s="4" t="n">
        <f aca="false">IF(Y652=0,0,AC652/Y652)</f>
        <v>0.369831654856479</v>
      </c>
      <c r="AF652" s="2" t="s">
        <v>175</v>
      </c>
      <c r="AG652" s="2" t="s">
        <v>123</v>
      </c>
      <c r="AH652" s="2" t="str">
        <f aca="false">IF(AND(AG652="Completed",AF652&lt;&gt;"Paid"),"Inconsistent","OK")</f>
        <v>OK</v>
      </c>
      <c r="AI652" s="2" t="n">
        <f aca="false">IF(OR(ISBLANK(B652),ISBLANK(C652)),"",C652-B652)</f>
        <v>8</v>
      </c>
      <c r="AJ652" s="2" t="str">
        <f aca="false">IF(AI652="","Unknown",IF(AI652&lt;0,"Invalid","OK"))</f>
        <v>OK</v>
      </c>
      <c r="AK652" s="2" t="str">
        <f aca="false">IF(ISBLANK(B652),"",TEXT(B652,"mmm"))</f>
        <v>Apr</v>
      </c>
      <c r="AL652" s="2" t="n">
        <f aca="false">IF(ISBLANK(B652),"",YEAR(B652))</f>
        <v>2024</v>
      </c>
      <c r="AM652" s="2" t="s">
        <v>41</v>
      </c>
      <c r="AN652" s="2" t="str">
        <f aca="false">IF(OR(W652="Invalid",AJ652="Invalid",AH652="Inconsistent",Z652="Mismatch",AD652="Mismatch",AM652="Yes",D652="Yes",E652="Yes"),"Invalid",IF(OR(J652="Yes",Q652="Yes",U652="Yes"),"Warning","Clean"))</f>
        <v>Clean</v>
      </c>
    </row>
    <row r="653" customFormat="false" ht="15" hidden="false" customHeight="false" outlineLevel="0" collapsed="false">
      <c r="A653" s="2" t="s">
        <v>2065</v>
      </c>
      <c r="B653" s="3" t="n">
        <v>45875</v>
      </c>
      <c r="C653" s="3" t="n">
        <v>45878</v>
      </c>
      <c r="D653" s="2" t="s">
        <v>41</v>
      </c>
      <c r="E653" s="2" t="s">
        <v>41</v>
      </c>
      <c r="F653" s="2" t="s">
        <v>2066</v>
      </c>
      <c r="G653" s="2" t="s">
        <v>56</v>
      </c>
      <c r="H653" s="2" t="s">
        <v>57</v>
      </c>
      <c r="I653" s="2" t="s">
        <v>74</v>
      </c>
      <c r="J653" s="2" t="s">
        <v>41</v>
      </c>
      <c r="K653" s="2" t="s">
        <v>104</v>
      </c>
      <c r="L653" s="2" t="s">
        <v>105</v>
      </c>
      <c r="M653" s="2" t="s">
        <v>48</v>
      </c>
      <c r="N653" s="2" t="s">
        <v>49</v>
      </c>
      <c r="O653" s="2" t="s">
        <v>2067</v>
      </c>
      <c r="P653" s="2" t="s">
        <v>51</v>
      </c>
      <c r="Q653" s="2" t="s">
        <v>41</v>
      </c>
      <c r="R653" s="2" t="n">
        <v>3</v>
      </c>
      <c r="S653" s="2" t="n">
        <v>598.55</v>
      </c>
      <c r="T653" s="2" t="n">
        <v>0</v>
      </c>
      <c r="U653" s="2" t="str">
        <f aca="false">IF(ISBLANK(T653),"Yes","No")</f>
        <v>No</v>
      </c>
      <c r="V653" s="2" t="n">
        <f aca="false">IF(ISBLANK(T653),0,IF(ISNUMBER(T653),T653,VALUE(LEFT(T653,LEN(T653)-1))/100))</f>
        <v>0</v>
      </c>
      <c r="W653" s="2" t="str">
        <f aca="false">IF(AND(V653&gt;=0,V653&lt;=0.25),"Valid","Invalid")</f>
        <v>Valid</v>
      </c>
      <c r="X653" s="2" t="n">
        <v>1795.65</v>
      </c>
      <c r="Y653" s="2" t="n">
        <f aca="false">R653*S653*(1-V653)</f>
        <v>1795.65</v>
      </c>
      <c r="Z653" s="2" t="str">
        <f aca="false">IF(ABS(X653-Y653)&gt;1,"Mismatch","OK")</f>
        <v>OK</v>
      </c>
      <c r="AA653" s="2" t="n">
        <v>996.72</v>
      </c>
      <c r="AB653" s="2" t="n">
        <v>798.93</v>
      </c>
      <c r="AC653" s="2" t="n">
        <f aca="false">Y653-AA653</f>
        <v>798.93</v>
      </c>
      <c r="AD653" s="2" t="str">
        <f aca="false">IF(ABS(AB653-AC653)&gt;1,"Mismatch","OK")</f>
        <v>OK</v>
      </c>
      <c r="AE653" s="4" t="n">
        <f aca="false">IF(Y653=0,0,AC653/Y653)</f>
        <v>0.444925235986968</v>
      </c>
      <c r="AF653" s="2" t="s">
        <v>52</v>
      </c>
      <c r="AG653" s="2" t="s">
        <v>53</v>
      </c>
      <c r="AH653" s="2" t="str">
        <f aca="false">IF(AND(AG653="Completed",AF653&lt;&gt;"Paid"),"Inconsistent","OK")</f>
        <v>OK</v>
      </c>
      <c r="AI653" s="2" t="n">
        <f aca="false">IF(OR(ISBLANK(B653),ISBLANK(C653)),"",C653-B653)</f>
        <v>3</v>
      </c>
      <c r="AJ653" s="2" t="str">
        <f aca="false">IF(AI653="","Unknown",IF(AI653&lt;0,"Invalid","OK"))</f>
        <v>OK</v>
      </c>
      <c r="AK653" s="2" t="str">
        <f aca="false">IF(ISBLANK(B653),"",TEXT(B653,"mmm"))</f>
        <v>Aug</v>
      </c>
      <c r="AL653" s="2" t="n">
        <f aca="false">IF(ISBLANK(B653),"",YEAR(B653))</f>
        <v>2025</v>
      </c>
      <c r="AM653" s="2" t="s">
        <v>41</v>
      </c>
      <c r="AN653" s="2" t="str">
        <f aca="false">IF(OR(W653="Invalid",AJ653="Invalid",AH653="Inconsistent",Z653="Mismatch",AD653="Mismatch",AM653="Yes",D653="Yes",E653="Yes"),"Invalid",IF(OR(J653="Yes",Q653="Yes",U653="Yes"),"Warning","Clean"))</f>
        <v>Clean</v>
      </c>
    </row>
    <row r="654" customFormat="false" ht="15" hidden="false" customHeight="false" outlineLevel="0" collapsed="false">
      <c r="A654" s="2" t="s">
        <v>2068</v>
      </c>
      <c r="B654" s="3" t="n">
        <v>45733</v>
      </c>
      <c r="C654" s="3" t="n">
        <v>45737</v>
      </c>
      <c r="D654" s="2" t="s">
        <v>41</v>
      </c>
      <c r="E654" s="2" t="s">
        <v>41</v>
      </c>
      <c r="F654" s="2" t="s">
        <v>1711</v>
      </c>
      <c r="G654" s="2" t="s">
        <v>152</v>
      </c>
      <c r="H654" s="2" t="s">
        <v>44</v>
      </c>
      <c r="I654" s="2" t="s">
        <v>45</v>
      </c>
      <c r="J654" s="2" t="s">
        <v>41</v>
      </c>
      <c r="K654" s="2" t="s">
        <v>156</v>
      </c>
      <c r="L654" s="2" t="s">
        <v>157</v>
      </c>
      <c r="M654" s="2" t="s">
        <v>48</v>
      </c>
      <c r="N654" s="2" t="s">
        <v>173</v>
      </c>
      <c r="O654" s="2" t="s">
        <v>2069</v>
      </c>
      <c r="P654" s="2" t="s">
        <v>79</v>
      </c>
      <c r="Q654" s="2" t="s">
        <v>41</v>
      </c>
      <c r="R654" s="2" t="n">
        <v>5</v>
      </c>
      <c r="S654" s="2" t="n">
        <v>4320.59</v>
      </c>
      <c r="T654" s="2" t="n">
        <v>0.15</v>
      </c>
      <c r="U654" s="2" t="str">
        <f aca="false">IF(ISBLANK(T654),"Yes","No")</f>
        <v>No</v>
      </c>
      <c r="V654" s="2" t="n">
        <f aca="false">IF(ISBLANK(T654),0,IF(ISNUMBER(T654),T654,VALUE(LEFT(T654,LEN(T654)-1))/100))</f>
        <v>0.15</v>
      </c>
      <c r="W654" s="2" t="str">
        <f aca="false">IF(AND(V654&gt;=0,V654&lt;=0.25),"Valid","Invalid")</f>
        <v>Valid</v>
      </c>
      <c r="X654" s="2" t="n">
        <v>18362.51</v>
      </c>
      <c r="Y654" s="2" t="n">
        <f aca="false">R654*S654*(1-V654)</f>
        <v>18362.5075</v>
      </c>
      <c r="Z654" s="2" t="str">
        <f aca="false">IF(ABS(X654-Y654)&gt;1,"Mismatch","OK")</f>
        <v>OK</v>
      </c>
      <c r="AA654" s="2" t="n">
        <v>11133.97</v>
      </c>
      <c r="AB654" s="2" t="n">
        <v>7228.54</v>
      </c>
      <c r="AC654" s="2" t="n">
        <f aca="false">Y654-AA654</f>
        <v>7228.5375</v>
      </c>
      <c r="AD654" s="2" t="str">
        <f aca="false">IF(ABS(AB654-AC654)&gt;1,"Mismatch","OK")</f>
        <v>OK</v>
      </c>
      <c r="AE654" s="4" t="n">
        <f aca="false">IF(Y654=0,0,AC654/Y654)</f>
        <v>0.393657429411533</v>
      </c>
      <c r="AF654" s="2" t="s">
        <v>52</v>
      </c>
      <c r="AG654" s="2" t="s">
        <v>53</v>
      </c>
      <c r="AH654" s="2" t="str">
        <f aca="false">IF(AND(AG654="Completed",AF654&lt;&gt;"Paid"),"Inconsistent","OK")</f>
        <v>OK</v>
      </c>
      <c r="AI654" s="2" t="n">
        <f aca="false">IF(OR(ISBLANK(B654),ISBLANK(C654)),"",C654-B654)</f>
        <v>4</v>
      </c>
      <c r="AJ654" s="2" t="str">
        <f aca="false">IF(AI654="","Unknown",IF(AI654&lt;0,"Invalid","OK"))</f>
        <v>OK</v>
      </c>
      <c r="AK654" s="2" t="str">
        <f aca="false">IF(ISBLANK(B654),"",TEXT(B654,"mmm"))</f>
        <v>Mar</v>
      </c>
      <c r="AL654" s="2" t="n">
        <f aca="false">IF(ISBLANK(B654),"",YEAR(B654))</f>
        <v>2025</v>
      </c>
      <c r="AM654" s="2" t="s">
        <v>41</v>
      </c>
      <c r="AN654" s="2" t="str">
        <f aca="false">IF(OR(W654="Invalid",AJ654="Invalid",AH654="Inconsistent",Z654="Mismatch",AD654="Mismatch",AM654="Yes",D654="Yes",E654="Yes"),"Invalid",IF(OR(J654="Yes",Q654="Yes",U654="Yes"),"Warning","Clean"))</f>
        <v>Clean</v>
      </c>
    </row>
    <row r="655" customFormat="false" ht="15" hidden="false" customHeight="false" outlineLevel="0" collapsed="false">
      <c r="A655" s="2" t="s">
        <v>2070</v>
      </c>
      <c r="B655" s="3" t="n">
        <v>45751</v>
      </c>
      <c r="C655" s="3" t="n">
        <v>45754</v>
      </c>
      <c r="D655" s="2" t="s">
        <v>41</v>
      </c>
      <c r="E655" s="2" t="s">
        <v>41</v>
      </c>
      <c r="F655" s="2" t="s">
        <v>2071</v>
      </c>
      <c r="G655" s="2" t="s">
        <v>134</v>
      </c>
      <c r="H655" s="2" t="s">
        <v>57</v>
      </c>
      <c r="I655" s="2" t="s">
        <v>74</v>
      </c>
      <c r="J655" s="2" t="s">
        <v>41</v>
      </c>
      <c r="K655" s="2" t="s">
        <v>269</v>
      </c>
      <c r="L655" s="2" t="s">
        <v>270</v>
      </c>
      <c r="M655" s="2" t="s">
        <v>94</v>
      </c>
      <c r="N655" s="2" t="s">
        <v>100</v>
      </c>
      <c r="O655" s="2" t="s">
        <v>2072</v>
      </c>
      <c r="P655" s="2" t="s">
        <v>51</v>
      </c>
      <c r="Q655" s="2" t="s">
        <v>41</v>
      </c>
      <c r="R655" s="2" t="n">
        <v>7</v>
      </c>
      <c r="S655" s="2" t="n">
        <v>4457.93</v>
      </c>
      <c r="T655" s="2" t="n">
        <v>0.15</v>
      </c>
      <c r="U655" s="2" t="str">
        <f aca="false">IF(ISBLANK(T655),"Yes","No")</f>
        <v>No</v>
      </c>
      <c r="V655" s="2" t="n">
        <f aca="false">IF(ISBLANK(T655),0,IF(ISNUMBER(T655),T655,VALUE(LEFT(T655,LEN(T655)-1))/100))</f>
        <v>0.15</v>
      </c>
      <c r="W655" s="2" t="str">
        <f aca="false">IF(AND(V655&gt;=0,V655&lt;=0.25),"Valid","Invalid")</f>
        <v>Valid</v>
      </c>
      <c r="X655" s="2" t="n">
        <v>26524.68</v>
      </c>
      <c r="Y655" s="2" t="n">
        <f aca="false">R655*S655*(1-V655)</f>
        <v>26524.6835</v>
      </c>
      <c r="Z655" s="2" t="str">
        <f aca="false">IF(ABS(X655-Y655)&gt;1,"Mismatch","OK")</f>
        <v>OK</v>
      </c>
      <c r="AA655" s="2" t="n">
        <v>20574.3</v>
      </c>
      <c r="AB655" s="2" t="n">
        <v>5950.38</v>
      </c>
      <c r="AC655" s="2" t="n">
        <f aca="false">Y655-AA655</f>
        <v>5950.3835</v>
      </c>
      <c r="AD655" s="2" t="str">
        <f aca="false">IF(ABS(AB655-AC655)&gt;1,"Mismatch","OK")</f>
        <v>OK</v>
      </c>
      <c r="AE655" s="4" t="n">
        <f aca="false">IF(Y655=0,0,AC655/Y655)</f>
        <v>0.224333817215953</v>
      </c>
      <c r="AF655" s="2" t="s">
        <v>52</v>
      </c>
      <c r="AG655" s="2" t="s">
        <v>53</v>
      </c>
      <c r="AH655" s="2" t="str">
        <f aca="false">IF(AND(AG655="Completed",AF655&lt;&gt;"Paid"),"Inconsistent","OK")</f>
        <v>OK</v>
      </c>
      <c r="AI655" s="2" t="n">
        <f aca="false">IF(OR(ISBLANK(B655),ISBLANK(C655)),"",C655-B655)</f>
        <v>3</v>
      </c>
      <c r="AJ655" s="2" t="str">
        <f aca="false">IF(AI655="","Unknown",IF(AI655&lt;0,"Invalid","OK"))</f>
        <v>OK</v>
      </c>
      <c r="AK655" s="2" t="str">
        <f aca="false">IF(ISBLANK(B655),"",TEXT(B655,"mmm"))</f>
        <v>Apr</v>
      </c>
      <c r="AL655" s="2" t="n">
        <f aca="false">IF(ISBLANK(B655),"",YEAR(B655))</f>
        <v>2025</v>
      </c>
      <c r="AM655" s="2" t="s">
        <v>41</v>
      </c>
      <c r="AN655" s="2" t="str">
        <f aca="false">IF(OR(W655="Invalid",AJ655="Invalid",AH655="Inconsistent",Z655="Mismatch",AD655="Mismatch",AM655="Yes",D655="Yes",E655="Yes"),"Invalid",IF(OR(J655="Yes",Q655="Yes",U655="Yes"),"Warning","Clean"))</f>
        <v>Clean</v>
      </c>
    </row>
    <row r="656" customFormat="false" ht="15" hidden="false" customHeight="false" outlineLevel="0" collapsed="false">
      <c r="A656" s="2" t="s">
        <v>2073</v>
      </c>
      <c r="B656" s="3" t="n">
        <v>45942</v>
      </c>
      <c r="C656" s="3" t="n">
        <v>45946</v>
      </c>
      <c r="D656" s="2" t="s">
        <v>41</v>
      </c>
      <c r="E656" s="2" t="s">
        <v>41</v>
      </c>
      <c r="F656" s="2" t="s">
        <v>950</v>
      </c>
      <c r="G656" s="2" t="s">
        <v>182</v>
      </c>
      <c r="H656" s="2" t="s">
        <v>110</v>
      </c>
      <c r="I656" s="2" t="s">
        <v>58</v>
      </c>
      <c r="J656" s="2" t="s">
        <v>41</v>
      </c>
      <c r="K656" s="2" t="s">
        <v>165</v>
      </c>
      <c r="L656" s="2" t="s">
        <v>166</v>
      </c>
      <c r="M656" s="2" t="s">
        <v>94</v>
      </c>
      <c r="N656" s="2" t="s">
        <v>296</v>
      </c>
      <c r="O656" s="2" t="s">
        <v>2074</v>
      </c>
      <c r="P656" s="2" t="s">
        <v>64</v>
      </c>
      <c r="Q656" s="2" t="s">
        <v>41</v>
      </c>
      <c r="R656" s="2" t="n">
        <v>1</v>
      </c>
      <c r="S656" s="2" t="n">
        <v>2570.06</v>
      </c>
      <c r="T656" s="2" t="n">
        <v>0.2</v>
      </c>
      <c r="U656" s="2" t="str">
        <f aca="false">IF(ISBLANK(T656),"Yes","No")</f>
        <v>No</v>
      </c>
      <c r="V656" s="2" t="n">
        <f aca="false">IF(ISBLANK(T656),0,IF(ISNUMBER(T656),T656,VALUE(LEFT(T656,LEN(T656)-1))/100))</f>
        <v>0.2</v>
      </c>
      <c r="W656" s="2" t="str">
        <f aca="false">IF(AND(V656&gt;=0,V656&lt;=0.25),"Valid","Invalid")</f>
        <v>Valid</v>
      </c>
      <c r="X656" s="2" t="n">
        <v>2056.05</v>
      </c>
      <c r="Y656" s="2" t="n">
        <f aca="false">R656*S656*(1-V656)</f>
        <v>2056.048</v>
      </c>
      <c r="Z656" s="2" t="str">
        <f aca="false">IF(ABS(X656-Y656)&gt;1,"Mismatch","OK")</f>
        <v>OK</v>
      </c>
      <c r="AA656" s="2" t="n">
        <v>1662.39</v>
      </c>
      <c r="AB656" s="2" t="n">
        <v>393.66</v>
      </c>
      <c r="AC656" s="2" t="n">
        <f aca="false">Y656-AA656</f>
        <v>393.658</v>
      </c>
      <c r="AD656" s="2" t="str">
        <f aca="false">IF(ABS(AB656-AC656)&gt;1,"Mismatch","OK")</f>
        <v>OK</v>
      </c>
      <c r="AE656" s="4" t="n">
        <f aca="false">IF(Y656=0,0,AC656/Y656)</f>
        <v>0.191463428869365</v>
      </c>
      <c r="AF656" s="2" t="s">
        <v>52</v>
      </c>
      <c r="AG656" s="2" t="s">
        <v>53</v>
      </c>
      <c r="AH656" s="2" t="str">
        <f aca="false">IF(AND(AG656="Completed",AF656&lt;&gt;"Paid"),"Inconsistent","OK")</f>
        <v>OK</v>
      </c>
      <c r="AI656" s="2" t="n">
        <f aca="false">IF(OR(ISBLANK(B656),ISBLANK(C656)),"",C656-B656)</f>
        <v>4</v>
      </c>
      <c r="AJ656" s="2" t="str">
        <f aca="false">IF(AI656="","Unknown",IF(AI656&lt;0,"Invalid","OK"))</f>
        <v>OK</v>
      </c>
      <c r="AK656" s="2" t="str">
        <f aca="false">IF(ISBLANK(B656),"",TEXT(B656,"mmm"))</f>
        <v>Oct</v>
      </c>
      <c r="AL656" s="2" t="n">
        <f aca="false">IF(ISBLANK(B656),"",YEAR(B656))</f>
        <v>2025</v>
      </c>
      <c r="AM656" s="2" t="s">
        <v>41</v>
      </c>
      <c r="AN656" s="2" t="str">
        <f aca="false">IF(OR(W656="Invalid",AJ656="Invalid",AH656="Inconsistent",Z656="Mismatch",AD656="Mismatch",AM656="Yes",D656="Yes",E656="Yes"),"Invalid",IF(OR(J656="Yes",Q656="Yes",U656="Yes"),"Warning","Clean"))</f>
        <v>Clean</v>
      </c>
    </row>
    <row r="657" customFormat="false" ht="15" hidden="false" customHeight="false" outlineLevel="0" collapsed="false">
      <c r="A657" s="2" t="s">
        <v>2075</v>
      </c>
      <c r="B657" s="3" t="n">
        <v>45895</v>
      </c>
      <c r="C657" s="3" t="n">
        <v>45895</v>
      </c>
      <c r="D657" s="2" t="s">
        <v>41</v>
      </c>
      <c r="E657" s="2" t="s">
        <v>41</v>
      </c>
      <c r="F657" s="2" t="s">
        <v>2076</v>
      </c>
      <c r="G657" s="2" t="s">
        <v>99</v>
      </c>
      <c r="H657" s="2" t="s">
        <v>115</v>
      </c>
      <c r="I657" s="2" t="s">
        <v>58</v>
      </c>
      <c r="J657" s="2" t="s">
        <v>41</v>
      </c>
      <c r="K657" s="2" t="s">
        <v>119</v>
      </c>
      <c r="L657" s="2" t="s">
        <v>120</v>
      </c>
      <c r="M657" s="2" t="s">
        <v>61</v>
      </c>
      <c r="N657" s="2" t="s">
        <v>77</v>
      </c>
      <c r="O657" s="2" t="s">
        <v>2077</v>
      </c>
      <c r="P657" s="2" t="s">
        <v>79</v>
      </c>
      <c r="Q657" s="2" t="s">
        <v>41</v>
      </c>
      <c r="R657" s="2" t="n">
        <v>4</v>
      </c>
      <c r="S657" s="2" t="n">
        <v>2151.82</v>
      </c>
      <c r="T657" s="2" t="n">
        <v>0</v>
      </c>
      <c r="U657" s="2" t="str">
        <f aca="false">IF(ISBLANK(T657),"Yes","No")</f>
        <v>No</v>
      </c>
      <c r="V657" s="2" t="n">
        <f aca="false">IF(ISBLANK(T657),0,IF(ISNUMBER(T657),T657,VALUE(LEFT(T657,LEN(T657)-1))/100))</f>
        <v>0</v>
      </c>
      <c r="W657" s="2" t="str">
        <f aca="false">IF(AND(V657&gt;=0,V657&lt;=0.25),"Valid","Invalid")</f>
        <v>Valid</v>
      </c>
      <c r="X657" s="2" t="n">
        <v>8607.28</v>
      </c>
      <c r="Y657" s="2" t="n">
        <f aca="false">R657*S657*(1-V657)</f>
        <v>8607.28</v>
      </c>
      <c r="Z657" s="2" t="str">
        <f aca="false">IF(ABS(X657-Y657)&gt;1,"Mismatch","OK")</f>
        <v>OK</v>
      </c>
      <c r="AA657" s="2" t="n">
        <v>5124.01</v>
      </c>
      <c r="AB657" s="2" t="n">
        <v>3483.27</v>
      </c>
      <c r="AC657" s="2" t="n">
        <f aca="false">Y657-AA657</f>
        <v>3483.27</v>
      </c>
      <c r="AD657" s="2" t="str">
        <f aca="false">IF(ABS(AB657-AC657)&gt;1,"Mismatch","OK")</f>
        <v>OK</v>
      </c>
      <c r="AE657" s="4" t="n">
        <f aca="false">IF(Y657=0,0,AC657/Y657)</f>
        <v>0.404688821555706</v>
      </c>
      <c r="AF657" s="2" t="s">
        <v>52</v>
      </c>
      <c r="AG657" s="2" t="s">
        <v>53</v>
      </c>
      <c r="AH657" s="2" t="str">
        <f aca="false">IF(AND(AG657="Completed",AF657&lt;&gt;"Paid"),"Inconsistent","OK")</f>
        <v>OK</v>
      </c>
      <c r="AI657" s="2" t="n">
        <f aca="false">IF(OR(ISBLANK(B657),ISBLANK(C657)),"",C657-B657)</f>
        <v>0</v>
      </c>
      <c r="AJ657" s="2" t="str">
        <f aca="false">IF(AI657="","Unknown",IF(AI657&lt;0,"Invalid","OK"))</f>
        <v>OK</v>
      </c>
      <c r="AK657" s="2" t="str">
        <f aca="false">IF(ISBLANK(B657),"",TEXT(B657,"mmm"))</f>
        <v>Aug</v>
      </c>
      <c r="AL657" s="2" t="n">
        <f aca="false">IF(ISBLANK(B657),"",YEAR(B657))</f>
        <v>2025</v>
      </c>
      <c r="AM657" s="2" t="s">
        <v>41</v>
      </c>
      <c r="AN657" s="2" t="str">
        <f aca="false">IF(OR(W657="Invalid",AJ657="Invalid",AH657="Inconsistent",Z657="Mismatch",AD657="Mismatch",AM657="Yes",D657="Yes",E657="Yes"),"Invalid",IF(OR(J657="Yes",Q657="Yes",U657="Yes"),"Warning","Clean"))</f>
        <v>Clean</v>
      </c>
    </row>
    <row r="658" customFormat="false" ht="15" hidden="false" customHeight="false" outlineLevel="0" collapsed="false">
      <c r="A658" s="2" t="s">
        <v>2078</v>
      </c>
      <c r="B658" s="3" t="n">
        <v>45419</v>
      </c>
      <c r="C658" s="3" t="n">
        <v>45426</v>
      </c>
      <c r="D658" s="2" t="s">
        <v>41</v>
      </c>
      <c r="E658" s="2" t="s">
        <v>41</v>
      </c>
      <c r="F658" s="2" t="s">
        <v>2079</v>
      </c>
      <c r="G658" s="2" t="s">
        <v>99</v>
      </c>
      <c r="H658" s="2" t="s">
        <v>57</v>
      </c>
      <c r="I658" s="2" t="s">
        <v>45</v>
      </c>
      <c r="J658" s="2" t="s">
        <v>41</v>
      </c>
      <c r="K658" s="2" t="s">
        <v>258</v>
      </c>
      <c r="L658" s="2" t="s">
        <v>259</v>
      </c>
      <c r="M658" s="2" t="s">
        <v>94</v>
      </c>
      <c r="N658" s="2" t="s">
        <v>296</v>
      </c>
      <c r="O658" s="2" t="s">
        <v>2080</v>
      </c>
      <c r="P658" s="2" t="s">
        <v>64</v>
      </c>
      <c r="Q658" s="2" t="s">
        <v>41</v>
      </c>
      <c r="R658" s="2" t="n">
        <v>4</v>
      </c>
      <c r="S658" s="2" t="n">
        <v>2751.1</v>
      </c>
      <c r="T658" s="2" t="n">
        <v>-0.05</v>
      </c>
      <c r="U658" s="2" t="str">
        <f aca="false">IF(ISBLANK(T658),"Yes","No")</f>
        <v>No</v>
      </c>
      <c r="V658" s="2" t="n">
        <f aca="false">IF(ISBLANK(T658),0,IF(ISNUMBER(T658),T658,VALUE(LEFT(T658,LEN(T658)-1))/100))</f>
        <v>-0.05</v>
      </c>
      <c r="W658" s="2" t="str">
        <f aca="false">IF(AND(V658&gt;=0,V658&lt;=0.25),"Valid","Invalid")</f>
        <v>Invalid</v>
      </c>
      <c r="X658" s="2" t="n">
        <v>9903.96</v>
      </c>
      <c r="Y658" s="2" t="n">
        <f aca="false">R658*S658*(1-V658)</f>
        <v>11554.62</v>
      </c>
      <c r="Z658" s="2" t="str">
        <f aca="false">IF(ABS(X658-Y658)&gt;1,"Mismatch","OK")</f>
        <v>Mismatch</v>
      </c>
      <c r="AA658" s="2" t="n">
        <v>7696.28</v>
      </c>
      <c r="AB658" s="2" t="n">
        <v>2207.68</v>
      </c>
      <c r="AC658" s="2" t="n">
        <f aca="false">Y658-AA658</f>
        <v>3858.34</v>
      </c>
      <c r="AD658" s="2" t="str">
        <f aca="false">IF(ABS(AB658-AC658)&gt;1,"Mismatch","OK")</f>
        <v>Mismatch</v>
      </c>
      <c r="AE658" s="4" t="n">
        <f aca="false">IF(Y658=0,0,AC658/Y658)</f>
        <v>0.333921842518404</v>
      </c>
      <c r="AF658" s="2" t="s">
        <v>52</v>
      </c>
      <c r="AG658" s="2" t="s">
        <v>53</v>
      </c>
      <c r="AH658" s="2" t="str">
        <f aca="false">IF(AND(AG658="Completed",AF658&lt;&gt;"Paid"),"Inconsistent","OK")</f>
        <v>OK</v>
      </c>
      <c r="AI658" s="2" t="n">
        <f aca="false">IF(OR(ISBLANK(B658),ISBLANK(C658)),"",C658-B658)</f>
        <v>7</v>
      </c>
      <c r="AJ658" s="2" t="str">
        <f aca="false">IF(AI658="","Unknown",IF(AI658&lt;0,"Invalid","OK"))</f>
        <v>OK</v>
      </c>
      <c r="AK658" s="2" t="str">
        <f aca="false">IF(ISBLANK(B658),"",TEXT(B658,"mmm"))</f>
        <v>May</v>
      </c>
      <c r="AL658" s="2" t="n">
        <f aca="false">IF(ISBLANK(B658),"",YEAR(B658))</f>
        <v>2024</v>
      </c>
      <c r="AM658" s="2" t="s">
        <v>41</v>
      </c>
      <c r="AN658" s="2" t="str">
        <f aca="false">IF(OR(W658="Invalid",AJ658="Invalid",AH658="Inconsistent",Z658="Mismatch",AD658="Mismatch",AM658="Yes",D658="Yes",E658="Yes"),"Invalid",IF(OR(J658="Yes",Q658="Yes",U658="Yes"),"Warning","Clean"))</f>
        <v>Invalid</v>
      </c>
    </row>
    <row r="659" customFormat="false" ht="15" hidden="false" customHeight="false" outlineLevel="0" collapsed="false">
      <c r="A659" s="2" t="s">
        <v>2081</v>
      </c>
      <c r="B659" s="3" t="n">
        <v>45876</v>
      </c>
      <c r="C659" s="3" t="n">
        <v>45879</v>
      </c>
      <c r="D659" s="2" t="s">
        <v>41</v>
      </c>
      <c r="E659" s="2" t="s">
        <v>41</v>
      </c>
      <c r="F659" s="2" t="s">
        <v>2082</v>
      </c>
      <c r="G659" s="2" t="s">
        <v>109</v>
      </c>
      <c r="H659" s="2" t="s">
        <v>115</v>
      </c>
      <c r="I659" s="2" t="s">
        <v>58</v>
      </c>
      <c r="J659" s="2" t="s">
        <v>41</v>
      </c>
      <c r="K659" s="2" t="s">
        <v>165</v>
      </c>
      <c r="L659" s="2" t="s">
        <v>166</v>
      </c>
      <c r="M659" s="2" t="s">
        <v>48</v>
      </c>
      <c r="N659" s="2" t="s">
        <v>144</v>
      </c>
      <c r="O659" s="2" t="s">
        <v>2083</v>
      </c>
      <c r="P659" s="2" t="s">
        <v>51</v>
      </c>
      <c r="Q659" s="2" t="s">
        <v>41</v>
      </c>
      <c r="R659" s="2" t="n">
        <v>1</v>
      </c>
      <c r="S659" s="2" t="n">
        <v>2541.25</v>
      </c>
      <c r="T659" s="2" t="n">
        <v>0.2</v>
      </c>
      <c r="U659" s="2" t="str">
        <f aca="false">IF(ISBLANK(T659),"Yes","No")</f>
        <v>No</v>
      </c>
      <c r="V659" s="2" t="n">
        <f aca="false">IF(ISBLANK(T659),0,IF(ISNUMBER(T659),T659,VALUE(LEFT(T659,LEN(T659)-1))/100))</f>
        <v>0.2</v>
      </c>
      <c r="W659" s="2" t="str">
        <f aca="false">IF(AND(V659&gt;=0,V659&lt;=0.25),"Valid","Invalid")</f>
        <v>Valid</v>
      </c>
      <c r="X659" s="2" t="n">
        <v>2033</v>
      </c>
      <c r="Y659" s="2" t="n">
        <f aca="false">R659*S659*(1-V659)</f>
        <v>2033</v>
      </c>
      <c r="Z659" s="2" t="str">
        <f aca="false">IF(ABS(X659-Y659)&gt;1,"Mismatch","OK")</f>
        <v>OK</v>
      </c>
      <c r="AA659" s="2" t="n">
        <v>1291.41</v>
      </c>
      <c r="AB659" s="2" t="n">
        <v>741.59</v>
      </c>
      <c r="AC659" s="2" t="n">
        <f aca="false">Y659-AA659</f>
        <v>741.59</v>
      </c>
      <c r="AD659" s="2" t="str">
        <f aca="false">IF(ABS(AB659-AC659)&gt;1,"Mismatch","OK")</f>
        <v>OK</v>
      </c>
      <c r="AE659" s="4" t="n">
        <f aca="false">IF(Y659=0,0,AC659/Y659)</f>
        <v>0.364776192818495</v>
      </c>
      <c r="AF659" s="2" t="s">
        <v>52</v>
      </c>
      <c r="AG659" s="2" t="s">
        <v>53</v>
      </c>
      <c r="AH659" s="2" t="str">
        <f aca="false">IF(AND(AG659="Completed",AF659&lt;&gt;"Paid"),"Inconsistent","OK")</f>
        <v>OK</v>
      </c>
      <c r="AI659" s="2" t="n">
        <f aca="false">IF(OR(ISBLANK(B659),ISBLANK(C659)),"",C659-B659)</f>
        <v>3</v>
      </c>
      <c r="AJ659" s="2" t="str">
        <f aca="false">IF(AI659="","Unknown",IF(AI659&lt;0,"Invalid","OK"))</f>
        <v>OK</v>
      </c>
      <c r="AK659" s="2" t="str">
        <f aca="false">IF(ISBLANK(B659),"",TEXT(B659,"mmm"))</f>
        <v>Aug</v>
      </c>
      <c r="AL659" s="2" t="n">
        <f aca="false">IF(ISBLANK(B659),"",YEAR(B659))</f>
        <v>2025</v>
      </c>
      <c r="AM659" s="2" t="s">
        <v>41</v>
      </c>
      <c r="AN659" s="2" t="str">
        <f aca="false">IF(OR(W659="Invalid",AJ659="Invalid",AH659="Inconsistent",Z659="Mismatch",AD659="Mismatch",AM659="Yes",D659="Yes",E659="Yes"),"Invalid",IF(OR(J659="Yes",Q659="Yes",U659="Yes"),"Warning","Clean"))</f>
        <v>Clean</v>
      </c>
    </row>
    <row r="660" customFormat="false" ht="15" hidden="false" customHeight="false" outlineLevel="0" collapsed="false">
      <c r="A660" s="2" t="s">
        <v>2084</v>
      </c>
      <c r="B660" s="3" t="n">
        <v>45817</v>
      </c>
      <c r="C660" s="3" t="n">
        <v>45820</v>
      </c>
      <c r="D660" s="2" t="s">
        <v>41</v>
      </c>
      <c r="E660" s="2" t="s">
        <v>41</v>
      </c>
      <c r="F660" s="2" t="s">
        <v>2085</v>
      </c>
      <c r="G660" s="2" t="s">
        <v>152</v>
      </c>
      <c r="H660" s="2" t="s">
        <v>44</v>
      </c>
      <c r="I660" s="2" t="s">
        <v>225</v>
      </c>
      <c r="J660" s="2" t="s">
        <v>226</v>
      </c>
      <c r="K660" s="2" t="s">
        <v>165</v>
      </c>
      <c r="L660" s="2" t="s">
        <v>166</v>
      </c>
      <c r="M660" s="2" t="s">
        <v>48</v>
      </c>
      <c r="N660" s="2" t="s">
        <v>68</v>
      </c>
      <c r="O660" s="2" t="s">
        <v>2086</v>
      </c>
      <c r="P660" s="2" t="s">
        <v>70</v>
      </c>
      <c r="Q660" s="2" t="s">
        <v>41</v>
      </c>
      <c r="R660" s="2" t="n">
        <v>7</v>
      </c>
      <c r="S660" s="2" t="n">
        <v>2852.42</v>
      </c>
      <c r="T660" s="2" t="n">
        <v>0</v>
      </c>
      <c r="U660" s="2" t="str">
        <f aca="false">IF(ISBLANK(T660),"Yes","No")</f>
        <v>No</v>
      </c>
      <c r="V660" s="2" t="n">
        <f aca="false">IF(ISBLANK(T660),0,IF(ISNUMBER(T660),T660,VALUE(LEFT(T660,LEN(T660)-1))/100))</f>
        <v>0</v>
      </c>
      <c r="W660" s="2" t="str">
        <f aca="false">IF(AND(V660&gt;=0,V660&lt;=0.25),"Valid","Invalid")</f>
        <v>Valid</v>
      </c>
      <c r="X660" s="2" t="n">
        <v>19966.94</v>
      </c>
      <c r="Y660" s="2" t="n">
        <f aca="false">R660*S660*(1-V660)</f>
        <v>19966.94</v>
      </c>
      <c r="Z660" s="2" t="str">
        <f aca="false">IF(ABS(X660-Y660)&gt;1,"Mismatch","OK")</f>
        <v>OK</v>
      </c>
      <c r="AA660" s="2" t="n">
        <v>12690.83</v>
      </c>
      <c r="AB660" s="2" t="n">
        <v>7276.11</v>
      </c>
      <c r="AC660" s="2" t="n">
        <f aca="false">Y660-AA660</f>
        <v>7276.11</v>
      </c>
      <c r="AD660" s="2" t="str">
        <f aca="false">IF(ABS(AB660-AC660)&gt;1,"Mismatch","OK")</f>
        <v>OK</v>
      </c>
      <c r="AE660" s="4" t="n">
        <f aca="false">IF(Y660=0,0,AC660/Y660)</f>
        <v>0.364407866202833</v>
      </c>
      <c r="AF660" s="2" t="s">
        <v>122</v>
      </c>
      <c r="AG660" s="2" t="s">
        <v>88</v>
      </c>
      <c r="AH660" s="2" t="str">
        <f aca="false">IF(AND(AG660="Completed",AF660&lt;&gt;"Paid"),"Inconsistent","OK")</f>
        <v>OK</v>
      </c>
      <c r="AI660" s="2" t="n">
        <f aca="false">IF(OR(ISBLANK(B660),ISBLANK(C660)),"",C660-B660)</f>
        <v>3</v>
      </c>
      <c r="AJ660" s="2" t="str">
        <f aca="false">IF(AI660="","Unknown",IF(AI660&lt;0,"Invalid","OK"))</f>
        <v>OK</v>
      </c>
      <c r="AK660" s="2" t="str">
        <f aca="false">IF(ISBLANK(B660),"",TEXT(B660,"mmm"))</f>
        <v>Jun</v>
      </c>
      <c r="AL660" s="2" t="n">
        <f aca="false">IF(ISBLANK(B660),"",YEAR(B660))</f>
        <v>2025</v>
      </c>
      <c r="AM660" s="2" t="s">
        <v>41</v>
      </c>
      <c r="AN660" s="2" t="str">
        <f aca="false">IF(OR(W660="Invalid",AJ660="Invalid",AH660="Inconsistent",Z660="Mismatch",AD660="Mismatch",AM660="Yes",D660="Yes",E660="Yes"),"Invalid",IF(OR(J660="Yes",Q660="Yes",U660="Yes"),"Warning","Clean"))</f>
        <v>Warning</v>
      </c>
    </row>
    <row r="661" customFormat="false" ht="15" hidden="false" customHeight="false" outlineLevel="0" collapsed="false">
      <c r="A661" s="2" t="s">
        <v>2087</v>
      </c>
      <c r="B661" s="3" t="n">
        <v>45678</v>
      </c>
      <c r="C661" s="3" t="n">
        <v>45679</v>
      </c>
      <c r="D661" s="2" t="s">
        <v>41</v>
      </c>
      <c r="E661" s="2" t="s">
        <v>41</v>
      </c>
      <c r="F661" s="2" t="s">
        <v>2088</v>
      </c>
      <c r="G661" s="2" t="s">
        <v>182</v>
      </c>
      <c r="H661" s="2" t="s">
        <v>110</v>
      </c>
      <c r="I661" s="2" t="s">
        <v>74</v>
      </c>
      <c r="J661" s="2" t="s">
        <v>41</v>
      </c>
      <c r="K661" s="2" t="s">
        <v>195</v>
      </c>
      <c r="L661" s="2" t="s">
        <v>196</v>
      </c>
      <c r="M661" s="2" t="s">
        <v>94</v>
      </c>
      <c r="N661" s="2" t="s">
        <v>191</v>
      </c>
      <c r="O661" s="2" t="s">
        <v>2089</v>
      </c>
      <c r="P661" s="2" t="s">
        <v>51</v>
      </c>
      <c r="Q661" s="2" t="s">
        <v>41</v>
      </c>
      <c r="R661" s="2" t="n">
        <v>2</v>
      </c>
      <c r="S661" s="2" t="n">
        <v>444.31</v>
      </c>
      <c r="T661" s="2" t="n">
        <v>0.2</v>
      </c>
      <c r="U661" s="2" t="str">
        <f aca="false">IF(ISBLANK(T661),"Yes","No")</f>
        <v>No</v>
      </c>
      <c r="V661" s="2" t="n">
        <f aca="false">IF(ISBLANK(T661),0,IF(ISNUMBER(T661),T661,VALUE(LEFT(T661,LEN(T661)-1))/100))</f>
        <v>0.2</v>
      </c>
      <c r="W661" s="2" t="str">
        <f aca="false">IF(AND(V661&gt;=0,V661&lt;=0.25),"Valid","Invalid")</f>
        <v>Valid</v>
      </c>
      <c r="X661" s="2" t="n">
        <v>710.9</v>
      </c>
      <c r="Y661" s="2" t="n">
        <f aca="false">R661*S661*(1-V661)</f>
        <v>710.896</v>
      </c>
      <c r="Z661" s="2" t="str">
        <f aca="false">IF(ABS(X661-Y661)&gt;1,"Mismatch","OK")</f>
        <v>OK</v>
      </c>
      <c r="AA661" s="2" t="n">
        <v>513.88</v>
      </c>
      <c r="AB661" s="2" t="n">
        <v>197.02</v>
      </c>
      <c r="AC661" s="2" t="n">
        <f aca="false">Y661-AA661</f>
        <v>197.016</v>
      </c>
      <c r="AD661" s="2" t="str">
        <f aca="false">IF(ABS(AB661-AC661)&gt;1,"Mismatch","OK")</f>
        <v>OK</v>
      </c>
      <c r="AE661" s="4" t="n">
        <f aca="false">IF(Y661=0,0,AC661/Y661)</f>
        <v>0.277137584119196</v>
      </c>
      <c r="AF661" s="2" t="s">
        <v>122</v>
      </c>
      <c r="AG661" s="2" t="s">
        <v>88</v>
      </c>
      <c r="AH661" s="2" t="str">
        <f aca="false">IF(AND(AG661="Completed",AF661&lt;&gt;"Paid"),"Inconsistent","OK")</f>
        <v>OK</v>
      </c>
      <c r="AI661" s="2" t="n">
        <f aca="false">IF(OR(ISBLANK(B661),ISBLANK(C661)),"",C661-B661)</f>
        <v>1</v>
      </c>
      <c r="AJ661" s="2" t="str">
        <f aca="false">IF(AI661="","Unknown",IF(AI661&lt;0,"Invalid","OK"))</f>
        <v>OK</v>
      </c>
      <c r="AK661" s="2" t="str">
        <f aca="false">IF(ISBLANK(B661),"",TEXT(B661,"mmm"))</f>
        <v>Jan</v>
      </c>
      <c r="AL661" s="2" t="n">
        <f aca="false">IF(ISBLANK(B661),"",YEAR(B661))</f>
        <v>2025</v>
      </c>
      <c r="AM661" s="2" t="s">
        <v>41</v>
      </c>
      <c r="AN661" s="2" t="str">
        <f aca="false">IF(OR(W661="Invalid",AJ661="Invalid",AH661="Inconsistent",Z661="Mismatch",AD661="Mismatch",AM661="Yes",D661="Yes",E661="Yes"),"Invalid",IF(OR(J661="Yes",Q661="Yes",U661="Yes"),"Warning","Clean"))</f>
        <v>Clean</v>
      </c>
    </row>
    <row r="662" customFormat="false" ht="15" hidden="false" customHeight="false" outlineLevel="0" collapsed="false">
      <c r="A662" s="2" t="s">
        <v>2090</v>
      </c>
      <c r="B662" s="3" t="n">
        <v>45853</v>
      </c>
      <c r="C662" s="3" t="n">
        <v>45853</v>
      </c>
      <c r="D662" s="2" t="s">
        <v>41</v>
      </c>
      <c r="E662" s="2" t="s">
        <v>41</v>
      </c>
      <c r="F662" s="2" t="s">
        <v>2091</v>
      </c>
      <c r="G662" s="2" t="s">
        <v>73</v>
      </c>
      <c r="H662" s="2" t="s">
        <v>57</v>
      </c>
      <c r="I662" s="2" t="s">
        <v>58</v>
      </c>
      <c r="J662" s="2" t="s">
        <v>41</v>
      </c>
      <c r="K662" s="2" t="s">
        <v>250</v>
      </c>
      <c r="L662" s="2" t="s">
        <v>251</v>
      </c>
      <c r="M662" s="2" t="s">
        <v>94</v>
      </c>
      <c r="N662" s="2" t="s">
        <v>191</v>
      </c>
      <c r="O662" s="2" t="s">
        <v>2092</v>
      </c>
      <c r="P662" s="2" t="s">
        <v>64</v>
      </c>
      <c r="Q662" s="2" t="s">
        <v>41</v>
      </c>
      <c r="R662" s="2" t="n">
        <v>4</v>
      </c>
      <c r="S662" s="2" t="n">
        <v>4442.91</v>
      </c>
      <c r="T662" s="2" t="n">
        <v>0.1</v>
      </c>
      <c r="U662" s="2" t="str">
        <f aca="false">IF(ISBLANK(T662),"Yes","No")</f>
        <v>No</v>
      </c>
      <c r="V662" s="2" t="n">
        <f aca="false">IF(ISBLANK(T662),0,IF(ISNUMBER(T662),T662,VALUE(LEFT(T662,LEN(T662)-1))/100))</f>
        <v>0.1</v>
      </c>
      <c r="W662" s="2" t="str">
        <f aca="false">IF(AND(V662&gt;=0,V662&lt;=0.25),"Valid","Invalid")</f>
        <v>Valid</v>
      </c>
      <c r="X662" s="2" t="n">
        <v>15994.48</v>
      </c>
      <c r="Y662" s="2" t="n">
        <f aca="false">R662*S662*(1-V662)</f>
        <v>15994.476</v>
      </c>
      <c r="Z662" s="2" t="str">
        <f aca="false">IF(ABS(X662-Y662)&gt;1,"Mismatch","OK")</f>
        <v>OK</v>
      </c>
      <c r="AA662" s="2" t="n">
        <v>9224.28</v>
      </c>
      <c r="AB662" s="2" t="n">
        <v>6770.2</v>
      </c>
      <c r="AC662" s="2" t="n">
        <f aca="false">Y662-AA662</f>
        <v>6770.196</v>
      </c>
      <c r="AD662" s="2" t="str">
        <f aca="false">IF(ABS(AB662-AC662)&gt;1,"Mismatch","OK")</f>
        <v>OK</v>
      </c>
      <c r="AE662" s="4" t="n">
        <f aca="false">IF(Y662=0,0,AC662/Y662)</f>
        <v>0.423283388589911</v>
      </c>
      <c r="AF662" s="2" t="s">
        <v>52</v>
      </c>
      <c r="AG662" s="2" t="s">
        <v>53</v>
      </c>
      <c r="AH662" s="2" t="str">
        <f aca="false">IF(AND(AG662="Completed",AF662&lt;&gt;"Paid"),"Inconsistent","OK")</f>
        <v>OK</v>
      </c>
      <c r="AI662" s="2" t="n">
        <f aca="false">IF(OR(ISBLANK(B662),ISBLANK(C662)),"",C662-B662)</f>
        <v>0</v>
      </c>
      <c r="AJ662" s="2" t="str">
        <f aca="false">IF(AI662="","Unknown",IF(AI662&lt;0,"Invalid","OK"))</f>
        <v>OK</v>
      </c>
      <c r="AK662" s="2" t="str">
        <f aca="false">IF(ISBLANK(B662),"",TEXT(B662,"mmm"))</f>
        <v>Jul</v>
      </c>
      <c r="AL662" s="2" t="n">
        <f aca="false">IF(ISBLANK(B662),"",YEAR(B662))</f>
        <v>2025</v>
      </c>
      <c r="AM662" s="2" t="s">
        <v>41</v>
      </c>
      <c r="AN662" s="2" t="str">
        <f aca="false">IF(OR(W662="Invalid",AJ662="Invalid",AH662="Inconsistent",Z662="Mismatch",AD662="Mismatch",AM662="Yes",D662="Yes",E662="Yes"),"Invalid",IF(OR(J662="Yes",Q662="Yes",U662="Yes"),"Warning","Clean"))</f>
        <v>Clean</v>
      </c>
    </row>
    <row r="663" customFormat="false" ht="15" hidden="false" customHeight="false" outlineLevel="0" collapsed="false">
      <c r="A663" s="2" t="s">
        <v>2093</v>
      </c>
      <c r="B663" s="3" t="n">
        <v>45429</v>
      </c>
      <c r="C663" s="3" t="n">
        <v>45434</v>
      </c>
      <c r="D663" s="2" t="s">
        <v>41</v>
      </c>
      <c r="E663" s="2" t="s">
        <v>41</v>
      </c>
      <c r="F663" s="2" t="s">
        <v>2094</v>
      </c>
      <c r="G663" s="2" t="s">
        <v>152</v>
      </c>
      <c r="H663" s="2" t="s">
        <v>44</v>
      </c>
      <c r="I663" s="2" t="s">
        <v>74</v>
      </c>
      <c r="J663" s="2" t="s">
        <v>41</v>
      </c>
      <c r="K663" s="2" t="s">
        <v>104</v>
      </c>
      <c r="L663" s="2" t="s">
        <v>105</v>
      </c>
      <c r="M663" s="2" t="s">
        <v>94</v>
      </c>
      <c r="N663" s="2" t="s">
        <v>296</v>
      </c>
      <c r="O663" s="2" t="s">
        <v>2095</v>
      </c>
      <c r="P663" s="2" t="s">
        <v>51</v>
      </c>
      <c r="Q663" s="2" t="s">
        <v>41</v>
      </c>
      <c r="R663" s="2" t="n">
        <v>7</v>
      </c>
      <c r="S663" s="2" t="n">
        <v>232.5</v>
      </c>
      <c r="T663" s="2" t="n">
        <v>0</v>
      </c>
      <c r="U663" s="2" t="str">
        <f aca="false">IF(ISBLANK(T663),"Yes","No")</f>
        <v>No</v>
      </c>
      <c r="V663" s="2" t="n">
        <f aca="false">IF(ISBLANK(T663),0,IF(ISNUMBER(T663),T663,VALUE(LEFT(T663,LEN(T663)-1))/100))</f>
        <v>0</v>
      </c>
      <c r="W663" s="2" t="str">
        <f aca="false">IF(AND(V663&gt;=0,V663&lt;=0.25),"Valid","Invalid")</f>
        <v>Valid</v>
      </c>
      <c r="X663" s="2" t="n">
        <v>1627.5</v>
      </c>
      <c r="Y663" s="2" t="n">
        <f aca="false">R663*S663*(1-V663)</f>
        <v>1627.5</v>
      </c>
      <c r="Z663" s="2" t="str">
        <f aca="false">IF(ABS(X663-Y663)&gt;1,"Mismatch","OK")</f>
        <v>OK</v>
      </c>
      <c r="AA663" s="2" t="n">
        <v>939.9</v>
      </c>
      <c r="AB663" s="2" t="n">
        <v>687.6</v>
      </c>
      <c r="AC663" s="2" t="n">
        <f aca="false">Y663-AA663</f>
        <v>687.6</v>
      </c>
      <c r="AD663" s="2" t="str">
        <f aca="false">IF(ABS(AB663-AC663)&gt;1,"Mismatch","OK")</f>
        <v>OK</v>
      </c>
      <c r="AE663" s="4" t="n">
        <f aca="false">IF(Y663=0,0,AC663/Y663)</f>
        <v>0.422488479262673</v>
      </c>
      <c r="AF663" s="2" t="s">
        <v>52</v>
      </c>
      <c r="AG663" s="2" t="s">
        <v>53</v>
      </c>
      <c r="AH663" s="2" t="str">
        <f aca="false">IF(AND(AG663="Completed",AF663&lt;&gt;"Paid"),"Inconsistent","OK")</f>
        <v>OK</v>
      </c>
      <c r="AI663" s="2" t="n">
        <f aca="false">IF(OR(ISBLANK(B663),ISBLANK(C663)),"",C663-B663)</f>
        <v>5</v>
      </c>
      <c r="AJ663" s="2" t="str">
        <f aca="false">IF(AI663="","Unknown",IF(AI663&lt;0,"Invalid","OK"))</f>
        <v>OK</v>
      </c>
      <c r="AK663" s="2" t="str">
        <f aca="false">IF(ISBLANK(B663),"",TEXT(B663,"mmm"))</f>
        <v>May</v>
      </c>
      <c r="AL663" s="2" t="n">
        <f aca="false">IF(ISBLANK(B663),"",YEAR(B663))</f>
        <v>2024</v>
      </c>
      <c r="AM663" s="2" t="s">
        <v>41</v>
      </c>
      <c r="AN663" s="2" t="str">
        <f aca="false">IF(OR(W663="Invalid",AJ663="Invalid",AH663="Inconsistent",Z663="Mismatch",AD663="Mismatch",AM663="Yes",D663="Yes",E663="Yes"),"Invalid",IF(OR(J663="Yes",Q663="Yes",U663="Yes"),"Warning","Clean"))</f>
        <v>Clean</v>
      </c>
    </row>
    <row r="664" customFormat="false" ht="15" hidden="false" customHeight="false" outlineLevel="0" collapsed="false">
      <c r="A664" s="2" t="s">
        <v>2096</v>
      </c>
      <c r="B664" s="3" t="n">
        <v>45305</v>
      </c>
      <c r="C664" s="3" t="n">
        <v>45309</v>
      </c>
      <c r="D664" s="2" t="s">
        <v>41</v>
      </c>
      <c r="E664" s="2" t="s">
        <v>41</v>
      </c>
      <c r="F664" s="2" t="s">
        <v>2097</v>
      </c>
      <c r="G664" s="2" t="s">
        <v>56</v>
      </c>
      <c r="H664" s="2" t="s">
        <v>115</v>
      </c>
      <c r="I664" s="2" t="s">
        <v>83</v>
      </c>
      <c r="J664" s="2" t="s">
        <v>41</v>
      </c>
      <c r="K664" s="2" t="s">
        <v>46</v>
      </c>
      <c r="L664" s="2" t="s">
        <v>129</v>
      </c>
      <c r="M664" s="2" t="s">
        <v>94</v>
      </c>
      <c r="N664" s="2" t="s">
        <v>296</v>
      </c>
      <c r="O664" s="2" t="s">
        <v>2098</v>
      </c>
      <c r="P664" s="2" t="s">
        <v>64</v>
      </c>
      <c r="Q664" s="2" t="s">
        <v>41</v>
      </c>
      <c r="R664" s="2" t="n">
        <v>6</v>
      </c>
      <c r="S664" s="2" t="n">
        <v>1784.8</v>
      </c>
      <c r="T664" s="2" t="n">
        <v>0.1</v>
      </c>
      <c r="U664" s="2" t="str">
        <f aca="false">IF(ISBLANK(T664),"Yes","No")</f>
        <v>No</v>
      </c>
      <c r="V664" s="2" t="n">
        <f aca="false">IF(ISBLANK(T664),0,IF(ISNUMBER(T664),T664,VALUE(LEFT(T664,LEN(T664)-1))/100))</f>
        <v>0.1</v>
      </c>
      <c r="W664" s="2" t="str">
        <f aca="false">IF(AND(V664&gt;=0,V664&lt;=0.25),"Valid","Invalid")</f>
        <v>Valid</v>
      </c>
      <c r="X664" s="2" t="n">
        <v>9637.92</v>
      </c>
      <c r="Y664" s="2" t="n">
        <f aca="false">R664*S664*(1-V664)</f>
        <v>9637.92</v>
      </c>
      <c r="Z664" s="2" t="str">
        <f aca="false">IF(ABS(X664-Y664)&gt;1,"Mismatch","OK")</f>
        <v>OK</v>
      </c>
      <c r="AA664" s="2" t="n">
        <v>7329.29</v>
      </c>
      <c r="AB664" s="2" t="n">
        <v>2308.63</v>
      </c>
      <c r="AC664" s="2" t="n">
        <f aca="false">Y664-AA664</f>
        <v>2308.63</v>
      </c>
      <c r="AD664" s="2" t="str">
        <f aca="false">IF(ABS(AB664-AC664)&gt;1,"Mismatch","OK")</f>
        <v>OK</v>
      </c>
      <c r="AE664" s="4" t="n">
        <f aca="false">IF(Y664=0,0,AC664/Y664)</f>
        <v>0.239536123976958</v>
      </c>
      <c r="AF664" s="2" t="s">
        <v>52</v>
      </c>
      <c r="AG664" s="2" t="s">
        <v>53</v>
      </c>
      <c r="AH664" s="2" t="str">
        <f aca="false">IF(AND(AG664="Completed",AF664&lt;&gt;"Paid"),"Inconsistent","OK")</f>
        <v>OK</v>
      </c>
      <c r="AI664" s="2" t="n">
        <f aca="false">IF(OR(ISBLANK(B664),ISBLANK(C664)),"",C664-B664)</f>
        <v>4</v>
      </c>
      <c r="AJ664" s="2" t="str">
        <f aca="false">IF(AI664="","Unknown",IF(AI664&lt;0,"Invalid","OK"))</f>
        <v>OK</v>
      </c>
      <c r="AK664" s="2" t="str">
        <f aca="false">IF(ISBLANK(B664),"",TEXT(B664,"mmm"))</f>
        <v>Jan</v>
      </c>
      <c r="AL664" s="2" t="n">
        <f aca="false">IF(ISBLANK(B664),"",YEAR(B664))</f>
        <v>2024</v>
      </c>
      <c r="AM664" s="2" t="s">
        <v>41</v>
      </c>
      <c r="AN664" s="2" t="str">
        <f aca="false">IF(OR(W664="Invalid",AJ664="Invalid",AH664="Inconsistent",Z664="Mismatch",AD664="Mismatch",AM664="Yes",D664="Yes",E664="Yes"),"Invalid",IF(OR(J664="Yes",Q664="Yes",U664="Yes"),"Warning","Clean"))</f>
        <v>Clean</v>
      </c>
    </row>
    <row r="665" customFormat="false" ht="15" hidden="false" customHeight="false" outlineLevel="0" collapsed="false">
      <c r="A665" s="2" t="s">
        <v>2099</v>
      </c>
      <c r="B665" s="3" t="n">
        <v>45414</v>
      </c>
      <c r="C665" s="3" t="n">
        <v>45420</v>
      </c>
      <c r="D665" s="2" t="s">
        <v>41</v>
      </c>
      <c r="E665" s="2" t="s">
        <v>41</v>
      </c>
      <c r="F665" s="2" t="s">
        <v>2100</v>
      </c>
      <c r="G665" s="2" t="s">
        <v>138</v>
      </c>
      <c r="H665" s="2" t="s">
        <v>115</v>
      </c>
      <c r="I665" s="2" t="s">
        <v>58</v>
      </c>
      <c r="J665" s="2" t="s">
        <v>41</v>
      </c>
      <c r="K665" s="2" t="s">
        <v>250</v>
      </c>
      <c r="L665" s="2" t="s">
        <v>251</v>
      </c>
      <c r="M665" s="2" t="s">
        <v>94</v>
      </c>
      <c r="N665" s="2" t="s">
        <v>100</v>
      </c>
      <c r="O665" s="2" t="s">
        <v>2101</v>
      </c>
      <c r="P665" s="2" t="s">
        <v>51</v>
      </c>
      <c r="Q665" s="2" t="s">
        <v>41</v>
      </c>
      <c r="R665" s="2" t="n">
        <v>2</v>
      </c>
      <c r="S665" s="2" t="n">
        <v>3185.01</v>
      </c>
      <c r="T665" s="2" t="n">
        <v>-0.24</v>
      </c>
      <c r="U665" s="2" t="str">
        <f aca="false">IF(ISBLANK(T665),"Yes","No")</f>
        <v>No</v>
      </c>
      <c r="V665" s="2" t="n">
        <f aca="false">IF(ISBLANK(T665),0,IF(ISNUMBER(T665),T665,VALUE(LEFT(T665,LEN(T665)-1))/100))</f>
        <v>-0.24</v>
      </c>
      <c r="W665" s="2" t="str">
        <f aca="false">IF(AND(V665&gt;=0,V665&lt;=0.25),"Valid","Invalid")</f>
        <v>Invalid</v>
      </c>
      <c r="X665" s="2" t="n">
        <v>4777.52</v>
      </c>
      <c r="Y665" s="2" t="n">
        <f aca="false">R665*S665*(1-V665)</f>
        <v>7898.8248</v>
      </c>
      <c r="Z665" s="2" t="str">
        <f aca="false">IF(ABS(X665-Y665)&gt;1,"Mismatch","OK")</f>
        <v>Mismatch</v>
      </c>
      <c r="AA665" s="2" t="n">
        <v>3152.98</v>
      </c>
      <c r="AB665" s="2" t="n">
        <v>1624.54</v>
      </c>
      <c r="AC665" s="2" t="n">
        <f aca="false">Y665-AA665</f>
        <v>4745.8448</v>
      </c>
      <c r="AD665" s="2" t="str">
        <f aca="false">IF(ABS(AB665-AC665)&gt;1,"Mismatch","OK")</f>
        <v>Mismatch</v>
      </c>
      <c r="AE665" s="4" t="n">
        <f aca="false">IF(Y665=0,0,AC665/Y665)</f>
        <v>0.60082922715288</v>
      </c>
      <c r="AF665" s="2" t="s">
        <v>52</v>
      </c>
      <c r="AG665" s="2" t="s">
        <v>53</v>
      </c>
      <c r="AH665" s="2" t="str">
        <f aca="false">IF(AND(AG665="Completed",AF665&lt;&gt;"Paid"),"Inconsistent","OK")</f>
        <v>OK</v>
      </c>
      <c r="AI665" s="2" t="n">
        <f aca="false">IF(OR(ISBLANK(B665),ISBLANK(C665)),"",C665-B665)</f>
        <v>6</v>
      </c>
      <c r="AJ665" s="2" t="str">
        <f aca="false">IF(AI665="","Unknown",IF(AI665&lt;0,"Invalid","OK"))</f>
        <v>OK</v>
      </c>
      <c r="AK665" s="2" t="str">
        <f aca="false">IF(ISBLANK(B665),"",TEXT(B665,"mmm"))</f>
        <v>May</v>
      </c>
      <c r="AL665" s="2" t="n">
        <f aca="false">IF(ISBLANK(B665),"",YEAR(B665))</f>
        <v>2024</v>
      </c>
      <c r="AM665" s="2" t="s">
        <v>41</v>
      </c>
      <c r="AN665" s="2" t="str">
        <f aca="false">IF(OR(W665="Invalid",AJ665="Invalid",AH665="Inconsistent",Z665="Mismatch",AD665="Mismatch",AM665="Yes",D665="Yes",E665="Yes"),"Invalid",IF(OR(J665="Yes",Q665="Yes",U665="Yes"),"Warning","Clean"))</f>
        <v>Invalid</v>
      </c>
    </row>
    <row r="666" customFormat="false" ht="15" hidden="false" customHeight="false" outlineLevel="0" collapsed="false">
      <c r="A666" s="2" t="s">
        <v>2102</v>
      </c>
      <c r="B666" s="3" t="n">
        <v>45633</v>
      </c>
      <c r="C666" s="3" t="n">
        <v>45636</v>
      </c>
      <c r="D666" s="2" t="s">
        <v>41</v>
      </c>
      <c r="E666" s="2" t="s">
        <v>41</v>
      </c>
      <c r="F666" s="2" t="s">
        <v>2103</v>
      </c>
      <c r="G666" s="2" t="s">
        <v>56</v>
      </c>
      <c r="H666" s="2" t="s">
        <v>115</v>
      </c>
      <c r="I666" s="2" t="s">
        <v>74</v>
      </c>
      <c r="J666" s="2" t="s">
        <v>41</v>
      </c>
      <c r="K666" s="2" t="s">
        <v>75</v>
      </c>
      <c r="L666" s="2" t="s">
        <v>76</v>
      </c>
      <c r="M666" s="2" t="s">
        <v>94</v>
      </c>
      <c r="N666" s="2" t="s">
        <v>95</v>
      </c>
      <c r="O666" s="2" t="s">
        <v>2104</v>
      </c>
      <c r="P666" s="2" t="s">
        <v>79</v>
      </c>
      <c r="Q666" s="2" t="s">
        <v>41</v>
      </c>
      <c r="R666" s="2" t="n">
        <v>1</v>
      </c>
      <c r="S666" s="2" t="n">
        <v>1908.83</v>
      </c>
      <c r="T666" s="2" t="n">
        <v>0.2</v>
      </c>
      <c r="U666" s="2" t="str">
        <f aca="false">IF(ISBLANK(T666),"Yes","No")</f>
        <v>No</v>
      </c>
      <c r="V666" s="2" t="n">
        <f aca="false">IF(ISBLANK(T666),0,IF(ISNUMBER(T666),T666,VALUE(LEFT(T666,LEN(T666)-1))/100))</f>
        <v>0.2</v>
      </c>
      <c r="W666" s="2" t="str">
        <f aca="false">IF(AND(V666&gt;=0,V666&lt;=0.25),"Valid","Invalid")</f>
        <v>Valid</v>
      </c>
      <c r="X666" s="2" t="n">
        <v>1527.06</v>
      </c>
      <c r="Y666" s="2" t="n">
        <f aca="false">R666*S666*(1-V666)</f>
        <v>1527.064</v>
      </c>
      <c r="Z666" s="2" t="str">
        <f aca="false">IF(ABS(X666-Y666)&gt;1,"Mismatch","OK")</f>
        <v>OK</v>
      </c>
      <c r="AA666" s="2" t="n">
        <v>1055.89</v>
      </c>
      <c r="AB666" s="2" t="n">
        <v>471.17</v>
      </c>
      <c r="AC666" s="2" t="n">
        <f aca="false">Y666-AA666</f>
        <v>471.174</v>
      </c>
      <c r="AD666" s="2" t="str">
        <f aca="false">IF(ABS(AB666-AC666)&gt;1,"Mismatch","OK")</f>
        <v>OK</v>
      </c>
      <c r="AE666" s="4" t="n">
        <f aca="false">IF(Y666=0,0,AC666/Y666)</f>
        <v>0.308548954071342</v>
      </c>
      <c r="AF666" s="2" t="s">
        <v>52</v>
      </c>
      <c r="AG666" s="2" t="s">
        <v>53</v>
      </c>
      <c r="AH666" s="2" t="str">
        <f aca="false">IF(AND(AG666="Completed",AF666&lt;&gt;"Paid"),"Inconsistent","OK")</f>
        <v>OK</v>
      </c>
      <c r="AI666" s="2" t="n">
        <f aca="false">IF(OR(ISBLANK(B666),ISBLANK(C666)),"",C666-B666)</f>
        <v>3</v>
      </c>
      <c r="AJ666" s="2" t="str">
        <f aca="false">IF(AI666="","Unknown",IF(AI666&lt;0,"Invalid","OK"))</f>
        <v>OK</v>
      </c>
      <c r="AK666" s="2" t="str">
        <f aca="false">IF(ISBLANK(B666),"",TEXT(B666,"mmm"))</f>
        <v>Dec</v>
      </c>
      <c r="AL666" s="2" t="n">
        <f aca="false">IF(ISBLANK(B666),"",YEAR(B666))</f>
        <v>2024</v>
      </c>
      <c r="AM666" s="2" t="s">
        <v>41</v>
      </c>
      <c r="AN666" s="2" t="str">
        <f aca="false">IF(OR(W666="Invalid",AJ666="Invalid",AH666="Inconsistent",Z666="Mismatch",AD666="Mismatch",AM666="Yes",D666="Yes",E666="Yes"),"Invalid",IF(OR(J666="Yes",Q666="Yes",U666="Yes"),"Warning","Clean"))</f>
        <v>Clean</v>
      </c>
    </row>
    <row r="667" customFormat="false" ht="15" hidden="false" customHeight="false" outlineLevel="0" collapsed="false">
      <c r="A667" s="2" t="s">
        <v>2105</v>
      </c>
      <c r="B667" s="3" t="n">
        <v>45670</v>
      </c>
      <c r="C667" s="3" t="n">
        <v>45670</v>
      </c>
      <c r="D667" s="2" t="s">
        <v>41</v>
      </c>
      <c r="E667" s="2" t="s">
        <v>41</v>
      </c>
      <c r="F667" s="2" t="s">
        <v>2106</v>
      </c>
      <c r="G667" s="2" t="s">
        <v>138</v>
      </c>
      <c r="H667" s="2" t="s">
        <v>115</v>
      </c>
      <c r="I667" s="2" t="s">
        <v>83</v>
      </c>
      <c r="J667" s="2" t="s">
        <v>41</v>
      </c>
      <c r="K667" s="2" t="s">
        <v>200</v>
      </c>
      <c r="L667" s="2" t="s">
        <v>201</v>
      </c>
      <c r="M667" s="2" t="s">
        <v>48</v>
      </c>
      <c r="N667" s="2" t="s">
        <v>68</v>
      </c>
      <c r="O667" s="2" t="s">
        <v>2107</v>
      </c>
      <c r="P667" s="2" t="s">
        <v>79</v>
      </c>
      <c r="Q667" s="2" t="s">
        <v>41</v>
      </c>
      <c r="R667" s="2" t="n">
        <v>3</v>
      </c>
      <c r="S667" s="2" t="n">
        <v>2110.52</v>
      </c>
      <c r="T667" s="2" t="n">
        <v>0.1</v>
      </c>
      <c r="U667" s="2" t="str">
        <f aca="false">IF(ISBLANK(T667),"Yes","No")</f>
        <v>No</v>
      </c>
      <c r="V667" s="2" t="n">
        <f aca="false">IF(ISBLANK(T667),0,IF(ISNUMBER(T667),T667,VALUE(LEFT(T667,LEN(T667)-1))/100))</f>
        <v>0.1</v>
      </c>
      <c r="W667" s="2" t="str">
        <f aca="false">IF(AND(V667&gt;=0,V667&lt;=0.25),"Valid","Invalid")</f>
        <v>Valid</v>
      </c>
      <c r="X667" s="2" t="n">
        <v>5698.4</v>
      </c>
      <c r="Y667" s="2" t="n">
        <f aca="false">R667*S667*(1-V667)</f>
        <v>5698.404</v>
      </c>
      <c r="Z667" s="2" t="str">
        <f aca="false">IF(ABS(X667-Y667)&gt;1,"Mismatch","OK")</f>
        <v>OK</v>
      </c>
      <c r="AA667" s="2" t="n">
        <v>3640.89</v>
      </c>
      <c r="AB667" s="2" t="n">
        <v>2057.51</v>
      </c>
      <c r="AC667" s="2" t="n">
        <f aca="false">Y667-AA667</f>
        <v>2057.514</v>
      </c>
      <c r="AD667" s="2" t="str">
        <f aca="false">IF(ABS(AB667-AC667)&gt;1,"Mismatch","OK")</f>
        <v>OK</v>
      </c>
      <c r="AE667" s="4" t="n">
        <f aca="false">IF(Y667=0,0,AC667/Y667)</f>
        <v>0.361068467591978</v>
      </c>
      <c r="AF667" s="2" t="s">
        <v>175</v>
      </c>
      <c r="AG667" s="2" t="s">
        <v>88</v>
      </c>
      <c r="AH667" s="2" t="str">
        <f aca="false">IF(AND(AG667="Completed",AF667&lt;&gt;"Paid"),"Inconsistent","OK")</f>
        <v>OK</v>
      </c>
      <c r="AI667" s="2" t="n">
        <f aca="false">IF(OR(ISBLANK(B667),ISBLANK(C667)),"",C667-B667)</f>
        <v>0</v>
      </c>
      <c r="AJ667" s="2" t="str">
        <f aca="false">IF(AI667="","Unknown",IF(AI667&lt;0,"Invalid","OK"))</f>
        <v>OK</v>
      </c>
      <c r="AK667" s="2" t="str">
        <f aca="false">IF(ISBLANK(B667),"",TEXT(B667,"mmm"))</f>
        <v>Jan</v>
      </c>
      <c r="AL667" s="2" t="n">
        <f aca="false">IF(ISBLANK(B667),"",YEAR(B667))</f>
        <v>2025</v>
      </c>
      <c r="AM667" s="2" t="s">
        <v>41</v>
      </c>
      <c r="AN667" s="2" t="str">
        <f aca="false">IF(OR(W667="Invalid",AJ667="Invalid",AH667="Inconsistent",Z667="Mismatch",AD667="Mismatch",AM667="Yes",D667="Yes",E667="Yes"),"Invalid",IF(OR(J667="Yes",Q667="Yes",U667="Yes"),"Warning","Clean"))</f>
        <v>Clean</v>
      </c>
    </row>
    <row r="668" customFormat="false" ht="15" hidden="false" customHeight="false" outlineLevel="0" collapsed="false">
      <c r="A668" s="2" t="s">
        <v>2108</v>
      </c>
      <c r="B668" s="3" t="n">
        <v>45464</v>
      </c>
      <c r="C668" s="3" t="n">
        <v>45469</v>
      </c>
      <c r="D668" s="2" t="s">
        <v>41</v>
      </c>
      <c r="E668" s="2" t="s">
        <v>41</v>
      </c>
      <c r="F668" s="2" t="s">
        <v>2109</v>
      </c>
      <c r="G668" s="2" t="s">
        <v>161</v>
      </c>
      <c r="H668" s="2" t="s">
        <v>57</v>
      </c>
      <c r="I668" s="2" t="s">
        <v>45</v>
      </c>
      <c r="J668" s="2" t="s">
        <v>41</v>
      </c>
      <c r="K668" s="2" t="s">
        <v>142</v>
      </c>
      <c r="L668" s="2" t="s">
        <v>143</v>
      </c>
      <c r="M668" s="2" t="s">
        <v>94</v>
      </c>
      <c r="N668" s="2" t="s">
        <v>100</v>
      </c>
      <c r="O668" s="2" t="s">
        <v>2110</v>
      </c>
      <c r="P668" s="2" t="s">
        <v>64</v>
      </c>
      <c r="Q668" s="2" t="s">
        <v>41</v>
      </c>
      <c r="R668" s="2" t="n">
        <v>1</v>
      </c>
      <c r="S668" s="2" t="n">
        <v>279.83</v>
      </c>
      <c r="T668" s="2" t="n">
        <v>0.05</v>
      </c>
      <c r="U668" s="2" t="str">
        <f aca="false">IF(ISBLANK(T668),"Yes","No")</f>
        <v>No</v>
      </c>
      <c r="V668" s="2" t="n">
        <f aca="false">IF(ISBLANK(T668),0,IF(ISNUMBER(T668),T668,VALUE(LEFT(T668,LEN(T668)-1))/100))</f>
        <v>0.05</v>
      </c>
      <c r="W668" s="2" t="str">
        <f aca="false">IF(AND(V668&gt;=0,V668&lt;=0.25),"Valid","Invalid")</f>
        <v>Valid</v>
      </c>
      <c r="X668" s="2" t="n">
        <v>265.84</v>
      </c>
      <c r="Y668" s="2" t="n">
        <f aca="false">R668*S668*(1-V668)</f>
        <v>265.8385</v>
      </c>
      <c r="Z668" s="2" t="str">
        <f aca="false">IF(ABS(X668-Y668)&gt;1,"Mismatch","OK")</f>
        <v>OK</v>
      </c>
      <c r="AA668" s="2" t="n">
        <v>223.49</v>
      </c>
      <c r="AB668" s="2" t="n">
        <v>42.35</v>
      </c>
      <c r="AC668" s="2" t="n">
        <f aca="false">Y668-AA668</f>
        <v>42.3484999999999</v>
      </c>
      <c r="AD668" s="2" t="str">
        <f aca="false">IF(ABS(AB668-AC668)&gt;1,"Mismatch","OK")</f>
        <v>OK</v>
      </c>
      <c r="AE668" s="4" t="n">
        <f aca="false">IF(Y668=0,0,AC668/Y668)</f>
        <v>0.15930160605029</v>
      </c>
      <c r="AF668" s="2" t="s">
        <v>52</v>
      </c>
      <c r="AG668" s="2" t="s">
        <v>53</v>
      </c>
      <c r="AH668" s="2" t="str">
        <f aca="false">IF(AND(AG668="Completed",AF668&lt;&gt;"Paid"),"Inconsistent","OK")</f>
        <v>OK</v>
      </c>
      <c r="AI668" s="2" t="n">
        <f aca="false">IF(OR(ISBLANK(B668),ISBLANK(C668)),"",C668-B668)</f>
        <v>5</v>
      </c>
      <c r="AJ668" s="2" t="str">
        <f aca="false">IF(AI668="","Unknown",IF(AI668&lt;0,"Invalid","OK"))</f>
        <v>OK</v>
      </c>
      <c r="AK668" s="2" t="str">
        <f aca="false">IF(ISBLANK(B668),"",TEXT(B668,"mmm"))</f>
        <v>Jun</v>
      </c>
      <c r="AL668" s="2" t="n">
        <f aca="false">IF(ISBLANK(B668),"",YEAR(B668))</f>
        <v>2024</v>
      </c>
      <c r="AM668" s="2" t="s">
        <v>41</v>
      </c>
      <c r="AN668" s="2" t="str">
        <f aca="false">IF(OR(W668="Invalid",AJ668="Invalid",AH668="Inconsistent",Z668="Mismatch",AD668="Mismatch",AM668="Yes",D668="Yes",E668="Yes"),"Invalid",IF(OR(J668="Yes",Q668="Yes",U668="Yes"),"Warning","Clean"))</f>
        <v>Clean</v>
      </c>
    </row>
    <row r="669" customFormat="false" ht="15" hidden="false" customHeight="false" outlineLevel="0" collapsed="false">
      <c r="A669" s="2" t="s">
        <v>2111</v>
      </c>
      <c r="B669" s="3" t="n">
        <v>45797</v>
      </c>
      <c r="C669" s="3" t="n">
        <v>45804</v>
      </c>
      <c r="D669" s="2" t="s">
        <v>41</v>
      </c>
      <c r="E669" s="2" t="s">
        <v>41</v>
      </c>
      <c r="F669" s="2" t="s">
        <v>2112</v>
      </c>
      <c r="G669" s="2" t="s">
        <v>182</v>
      </c>
      <c r="H669" s="2" t="s">
        <v>57</v>
      </c>
      <c r="I669" s="2" t="s">
        <v>58</v>
      </c>
      <c r="J669" s="2" t="s">
        <v>41</v>
      </c>
      <c r="K669" s="2" t="s">
        <v>165</v>
      </c>
      <c r="L669" s="2" t="s">
        <v>166</v>
      </c>
      <c r="M669" s="2" t="s">
        <v>94</v>
      </c>
      <c r="N669" s="2" t="s">
        <v>296</v>
      </c>
      <c r="O669" s="2" t="s">
        <v>2113</v>
      </c>
      <c r="P669" s="2" t="s">
        <v>79</v>
      </c>
      <c r="Q669" s="2" t="s">
        <v>41</v>
      </c>
      <c r="R669" s="2" t="n">
        <v>1</v>
      </c>
      <c r="S669" s="2" t="n">
        <v>3959.14</v>
      </c>
      <c r="T669" s="2" t="n">
        <v>0</v>
      </c>
      <c r="U669" s="2" t="str">
        <f aca="false">IF(ISBLANK(T669),"Yes","No")</f>
        <v>No</v>
      </c>
      <c r="V669" s="2" t="n">
        <f aca="false">IF(ISBLANK(T669),0,IF(ISNUMBER(T669),T669,VALUE(LEFT(T669,LEN(T669)-1))/100))</f>
        <v>0</v>
      </c>
      <c r="W669" s="2" t="str">
        <f aca="false">IF(AND(V669&gt;=0,V669&lt;=0.25),"Valid","Invalid")</f>
        <v>Valid</v>
      </c>
      <c r="X669" s="2" t="n">
        <v>3959.14</v>
      </c>
      <c r="Y669" s="2" t="n">
        <f aca="false">R669*S669*(1-V669)</f>
        <v>3959.14</v>
      </c>
      <c r="Z669" s="2" t="str">
        <f aca="false">IF(ABS(X669-Y669)&gt;1,"Mismatch","OK")</f>
        <v>OK</v>
      </c>
      <c r="AA669" s="2" t="n">
        <v>3239.53</v>
      </c>
      <c r="AB669" s="2" t="n">
        <v>719.61</v>
      </c>
      <c r="AC669" s="2" t="n">
        <f aca="false">Y669-AA669</f>
        <v>719.61</v>
      </c>
      <c r="AD669" s="2" t="str">
        <f aca="false">IF(ABS(AB669-AC669)&gt;1,"Mismatch","OK")</f>
        <v>OK</v>
      </c>
      <c r="AE669" s="4" t="n">
        <f aca="false">IF(Y669=0,0,AC669/Y669)</f>
        <v>0.18175916992074</v>
      </c>
      <c r="AF669" s="2" t="s">
        <v>131</v>
      </c>
      <c r="AG669" s="2" t="s">
        <v>123</v>
      </c>
      <c r="AH669" s="2" t="str">
        <f aca="false">IF(AND(AG669="Completed",AF669&lt;&gt;"Paid"),"Inconsistent","OK")</f>
        <v>OK</v>
      </c>
      <c r="AI669" s="2" t="n">
        <f aca="false">IF(OR(ISBLANK(B669),ISBLANK(C669)),"",C669-B669)</f>
        <v>7</v>
      </c>
      <c r="AJ669" s="2" t="str">
        <f aca="false">IF(AI669="","Unknown",IF(AI669&lt;0,"Invalid","OK"))</f>
        <v>OK</v>
      </c>
      <c r="AK669" s="2" t="str">
        <f aca="false">IF(ISBLANK(B669),"",TEXT(B669,"mmm"))</f>
        <v>May</v>
      </c>
      <c r="AL669" s="2" t="n">
        <f aca="false">IF(ISBLANK(B669),"",YEAR(B669))</f>
        <v>2025</v>
      </c>
      <c r="AM669" s="2" t="s">
        <v>41</v>
      </c>
      <c r="AN669" s="2" t="str">
        <f aca="false">IF(OR(W669="Invalid",AJ669="Invalid",AH669="Inconsistent",Z669="Mismatch",AD669="Mismatch",AM669="Yes",D669="Yes",E669="Yes"),"Invalid",IF(OR(J669="Yes",Q669="Yes",U669="Yes"),"Warning","Clean"))</f>
        <v>Clean</v>
      </c>
    </row>
    <row r="670" customFormat="false" ht="15" hidden="false" customHeight="false" outlineLevel="0" collapsed="false">
      <c r="A670" s="2" t="s">
        <v>2114</v>
      </c>
      <c r="B670" s="3" t="n">
        <v>45617</v>
      </c>
      <c r="C670" s="3" t="n">
        <v>45619</v>
      </c>
      <c r="D670" s="2" t="s">
        <v>41</v>
      </c>
      <c r="E670" s="2" t="s">
        <v>41</v>
      </c>
      <c r="F670" s="2" t="s">
        <v>2115</v>
      </c>
      <c r="G670" s="2" t="s">
        <v>56</v>
      </c>
      <c r="H670" s="2" t="s">
        <v>110</v>
      </c>
      <c r="I670" s="2" t="s">
        <v>83</v>
      </c>
      <c r="J670" s="2" t="s">
        <v>41</v>
      </c>
      <c r="K670" s="2" t="s">
        <v>200</v>
      </c>
      <c r="L670" s="2" t="s">
        <v>201</v>
      </c>
      <c r="M670" s="2" t="s">
        <v>48</v>
      </c>
      <c r="N670" s="2" t="s">
        <v>49</v>
      </c>
      <c r="O670" s="2" t="s">
        <v>2116</v>
      </c>
      <c r="P670" s="2" t="s">
        <v>51</v>
      </c>
      <c r="Q670" s="2" t="s">
        <v>41</v>
      </c>
      <c r="R670" s="2" t="n">
        <v>5</v>
      </c>
      <c r="S670" s="2" t="n">
        <v>600.46</v>
      </c>
      <c r="T670" s="2" t="n">
        <v>0.2</v>
      </c>
      <c r="U670" s="2" t="str">
        <f aca="false">IF(ISBLANK(T670),"Yes","No")</f>
        <v>No</v>
      </c>
      <c r="V670" s="2" t="n">
        <f aca="false">IF(ISBLANK(T670),0,IF(ISNUMBER(T670),T670,VALUE(LEFT(T670,LEN(T670)-1))/100))</f>
        <v>0.2</v>
      </c>
      <c r="W670" s="2" t="str">
        <f aca="false">IF(AND(V670&gt;=0,V670&lt;=0.25),"Valid","Invalid")</f>
        <v>Valid</v>
      </c>
      <c r="X670" s="2" t="n">
        <v>2401.84</v>
      </c>
      <c r="Y670" s="2" t="n">
        <f aca="false">R670*S670*(1-V670)</f>
        <v>2401.84</v>
      </c>
      <c r="Z670" s="2" t="str">
        <f aca="false">IF(ABS(X670-Y670)&gt;1,"Mismatch","OK")</f>
        <v>OK</v>
      </c>
      <c r="AA670" s="2" t="n">
        <v>1873.11</v>
      </c>
      <c r="AB670" s="2" t="n">
        <v>528.73</v>
      </c>
      <c r="AC670" s="2" t="n">
        <f aca="false">Y670-AA670</f>
        <v>528.73</v>
      </c>
      <c r="AD670" s="2" t="str">
        <f aca="false">IF(ABS(AB670-AC670)&gt;1,"Mismatch","OK")</f>
        <v>OK</v>
      </c>
      <c r="AE670" s="4" t="n">
        <f aca="false">IF(Y670=0,0,AC670/Y670)</f>
        <v>0.22013539619625</v>
      </c>
      <c r="AF670" s="2" t="s">
        <v>52</v>
      </c>
      <c r="AG670" s="2" t="s">
        <v>53</v>
      </c>
      <c r="AH670" s="2" t="str">
        <f aca="false">IF(AND(AG670="Completed",AF670&lt;&gt;"Paid"),"Inconsistent","OK")</f>
        <v>OK</v>
      </c>
      <c r="AI670" s="2" t="n">
        <f aca="false">IF(OR(ISBLANK(B670),ISBLANK(C670)),"",C670-B670)</f>
        <v>2</v>
      </c>
      <c r="AJ670" s="2" t="str">
        <f aca="false">IF(AI670="","Unknown",IF(AI670&lt;0,"Invalid","OK"))</f>
        <v>OK</v>
      </c>
      <c r="AK670" s="2" t="str">
        <f aca="false">IF(ISBLANK(B670),"",TEXT(B670,"mmm"))</f>
        <v>Nov</v>
      </c>
      <c r="AL670" s="2" t="n">
        <f aca="false">IF(ISBLANK(B670),"",YEAR(B670))</f>
        <v>2024</v>
      </c>
      <c r="AM670" s="2" t="s">
        <v>41</v>
      </c>
      <c r="AN670" s="2" t="str">
        <f aca="false">IF(OR(W670="Invalid",AJ670="Invalid",AH670="Inconsistent",Z670="Mismatch",AD670="Mismatch",AM670="Yes",D670="Yes",E670="Yes"),"Invalid",IF(OR(J670="Yes",Q670="Yes",U670="Yes"),"Warning","Clean"))</f>
        <v>Clean</v>
      </c>
    </row>
    <row r="671" customFormat="false" ht="15" hidden="false" customHeight="false" outlineLevel="0" collapsed="false">
      <c r="A671" s="2" t="s">
        <v>2117</v>
      </c>
      <c r="B671" s="3" t="n">
        <v>45375</v>
      </c>
      <c r="C671" s="3" t="n">
        <v>45383</v>
      </c>
      <c r="D671" s="2" t="s">
        <v>41</v>
      </c>
      <c r="E671" s="2" t="s">
        <v>41</v>
      </c>
      <c r="F671" s="2" t="s">
        <v>2118</v>
      </c>
      <c r="G671" s="2" t="s">
        <v>82</v>
      </c>
      <c r="H671" s="2" t="s">
        <v>115</v>
      </c>
      <c r="I671" s="2" t="s">
        <v>83</v>
      </c>
      <c r="J671" s="2" t="s">
        <v>41</v>
      </c>
      <c r="K671" s="2" t="s">
        <v>84</v>
      </c>
      <c r="L671" s="2" t="s">
        <v>85</v>
      </c>
      <c r="M671" s="2" t="s">
        <v>61</v>
      </c>
      <c r="N671" s="2" t="s">
        <v>62</v>
      </c>
      <c r="O671" s="2" t="s">
        <v>2119</v>
      </c>
      <c r="P671" s="2" t="s">
        <v>51</v>
      </c>
      <c r="Q671" s="2" t="s">
        <v>41</v>
      </c>
      <c r="R671" s="2" t="n">
        <v>4</v>
      </c>
      <c r="S671" s="2" t="n">
        <v>1700.72</v>
      </c>
      <c r="T671" s="2" t="n">
        <v>0.25</v>
      </c>
      <c r="U671" s="2" t="str">
        <f aca="false">IF(ISBLANK(T671),"Yes","No")</f>
        <v>No</v>
      </c>
      <c r="V671" s="2" t="n">
        <f aca="false">IF(ISBLANK(T671),0,IF(ISNUMBER(T671),T671,VALUE(LEFT(T671,LEN(T671)-1))/100))</f>
        <v>0.25</v>
      </c>
      <c r="W671" s="2" t="str">
        <f aca="false">IF(AND(V671&gt;=0,V671&lt;=0.25),"Valid","Invalid")</f>
        <v>Valid</v>
      </c>
      <c r="X671" s="2" t="n">
        <v>5102.16</v>
      </c>
      <c r="Y671" s="2" t="n">
        <f aca="false">R671*S671*(1-V671)</f>
        <v>5102.16</v>
      </c>
      <c r="Z671" s="2" t="str">
        <f aca="false">IF(ABS(X671-Y671)&gt;1,"Mismatch","OK")</f>
        <v>OK</v>
      </c>
      <c r="AA671" s="2" t="n">
        <v>3226.45</v>
      </c>
      <c r="AB671" s="2" t="n">
        <v>1875.71</v>
      </c>
      <c r="AC671" s="2" t="n">
        <f aca="false">Y671-AA671</f>
        <v>1875.71</v>
      </c>
      <c r="AD671" s="2" t="str">
        <f aca="false">IF(ABS(AB671-AC671)&gt;1,"Mismatch","OK")</f>
        <v>OK</v>
      </c>
      <c r="AE671" s="4" t="n">
        <f aca="false">IF(Y671=0,0,AC671/Y671)</f>
        <v>0.367630572149835</v>
      </c>
      <c r="AF671" s="2" t="s">
        <v>52</v>
      </c>
      <c r="AG671" s="2" t="s">
        <v>53</v>
      </c>
      <c r="AH671" s="2" t="str">
        <f aca="false">IF(AND(AG671="Completed",AF671&lt;&gt;"Paid"),"Inconsistent","OK")</f>
        <v>OK</v>
      </c>
      <c r="AI671" s="2" t="n">
        <f aca="false">IF(OR(ISBLANK(B671),ISBLANK(C671)),"",C671-B671)</f>
        <v>8</v>
      </c>
      <c r="AJ671" s="2" t="str">
        <f aca="false">IF(AI671="","Unknown",IF(AI671&lt;0,"Invalid","OK"))</f>
        <v>OK</v>
      </c>
      <c r="AK671" s="2" t="str">
        <f aca="false">IF(ISBLANK(B671),"",TEXT(B671,"mmm"))</f>
        <v>Mar</v>
      </c>
      <c r="AL671" s="2" t="n">
        <f aca="false">IF(ISBLANK(B671),"",YEAR(B671))</f>
        <v>2024</v>
      </c>
      <c r="AM671" s="2" t="s">
        <v>41</v>
      </c>
      <c r="AN671" s="2" t="str">
        <f aca="false">IF(OR(W671="Invalid",AJ671="Invalid",AH671="Inconsistent",Z671="Mismatch",AD671="Mismatch",AM671="Yes",D671="Yes",E671="Yes"),"Invalid",IF(OR(J671="Yes",Q671="Yes",U671="Yes"),"Warning","Clean"))</f>
        <v>Clean</v>
      </c>
    </row>
    <row r="672" customFormat="false" ht="15" hidden="false" customHeight="false" outlineLevel="0" collapsed="false">
      <c r="A672" s="2" t="s">
        <v>2120</v>
      </c>
      <c r="B672" s="3" t="n">
        <v>45690</v>
      </c>
      <c r="C672" s="3" t="n">
        <v>45694</v>
      </c>
      <c r="D672" s="2" t="s">
        <v>41</v>
      </c>
      <c r="E672" s="2" t="s">
        <v>41</v>
      </c>
      <c r="F672" s="2" t="s">
        <v>1621</v>
      </c>
      <c r="G672" s="2" t="s">
        <v>152</v>
      </c>
      <c r="H672" s="2" t="s">
        <v>110</v>
      </c>
      <c r="I672" s="2" t="s">
        <v>45</v>
      </c>
      <c r="J672" s="2" t="s">
        <v>41</v>
      </c>
      <c r="K672" s="2" t="s">
        <v>156</v>
      </c>
      <c r="L672" s="2" t="s">
        <v>157</v>
      </c>
      <c r="M672" s="2" t="s">
        <v>61</v>
      </c>
      <c r="N672" s="2" t="s">
        <v>62</v>
      </c>
      <c r="O672" s="2" t="s">
        <v>2121</v>
      </c>
      <c r="P672" s="2" t="s">
        <v>79</v>
      </c>
      <c r="Q672" s="2" t="s">
        <v>41</v>
      </c>
      <c r="R672" s="2" t="n">
        <v>8</v>
      </c>
      <c r="S672" s="2" t="n">
        <v>857.86</v>
      </c>
      <c r="T672" s="2" t="n">
        <v>0.1</v>
      </c>
      <c r="U672" s="2" t="str">
        <f aca="false">IF(ISBLANK(T672),"Yes","No")</f>
        <v>No</v>
      </c>
      <c r="V672" s="2" t="n">
        <f aca="false">IF(ISBLANK(T672),0,IF(ISNUMBER(T672),T672,VALUE(LEFT(T672,LEN(T672)-1))/100))</f>
        <v>0.1</v>
      </c>
      <c r="W672" s="2" t="str">
        <f aca="false">IF(AND(V672&gt;=0,V672&lt;=0.25),"Valid","Invalid")</f>
        <v>Valid</v>
      </c>
      <c r="X672" s="2" t="n">
        <v>6176.59</v>
      </c>
      <c r="Y672" s="2" t="n">
        <f aca="false">R672*S672*(1-V672)</f>
        <v>6176.592</v>
      </c>
      <c r="Z672" s="2" t="str">
        <f aca="false">IF(ABS(X672-Y672)&gt;1,"Mismatch","OK")</f>
        <v>OK</v>
      </c>
      <c r="AA672" s="2" t="n">
        <v>3560.96</v>
      </c>
      <c r="AB672" s="2" t="n">
        <v>2615.63</v>
      </c>
      <c r="AC672" s="2" t="n">
        <f aca="false">Y672-AA672</f>
        <v>2615.632</v>
      </c>
      <c r="AD672" s="2" t="str">
        <f aca="false">IF(ABS(AB672-AC672)&gt;1,"Mismatch","OK")</f>
        <v>OK</v>
      </c>
      <c r="AE672" s="4" t="n">
        <f aca="false">IF(Y672=0,0,AC672/Y672)</f>
        <v>0.423474951882851</v>
      </c>
      <c r="AF672" s="2" t="s">
        <v>52</v>
      </c>
      <c r="AG672" s="2" t="s">
        <v>53</v>
      </c>
      <c r="AH672" s="2" t="str">
        <f aca="false">IF(AND(AG672="Completed",AF672&lt;&gt;"Paid"),"Inconsistent","OK")</f>
        <v>OK</v>
      </c>
      <c r="AI672" s="2" t="n">
        <f aca="false">IF(OR(ISBLANK(B672),ISBLANK(C672)),"",C672-B672)</f>
        <v>4</v>
      </c>
      <c r="AJ672" s="2" t="str">
        <f aca="false">IF(AI672="","Unknown",IF(AI672&lt;0,"Invalid","OK"))</f>
        <v>OK</v>
      </c>
      <c r="AK672" s="2" t="str">
        <f aca="false">IF(ISBLANK(B672),"",TEXT(B672,"mmm"))</f>
        <v>Feb</v>
      </c>
      <c r="AL672" s="2" t="n">
        <f aca="false">IF(ISBLANK(B672),"",YEAR(B672))</f>
        <v>2025</v>
      </c>
      <c r="AM672" s="2" t="s">
        <v>41</v>
      </c>
      <c r="AN672" s="2" t="str">
        <f aca="false">IF(OR(W672="Invalid",AJ672="Invalid",AH672="Inconsistent",Z672="Mismatch",AD672="Mismatch",AM672="Yes",D672="Yes",E672="Yes"),"Invalid",IF(OR(J672="Yes",Q672="Yes",U672="Yes"),"Warning","Clean"))</f>
        <v>Clean</v>
      </c>
    </row>
    <row r="673" customFormat="false" ht="15" hidden="false" customHeight="false" outlineLevel="0" collapsed="false">
      <c r="A673" s="2" t="s">
        <v>2122</v>
      </c>
      <c r="B673" s="3" t="n">
        <v>45373</v>
      </c>
      <c r="C673" s="3" t="n">
        <v>45378</v>
      </c>
      <c r="D673" s="2" t="s">
        <v>41</v>
      </c>
      <c r="E673" s="2" t="s">
        <v>41</v>
      </c>
      <c r="F673" s="2" t="s">
        <v>2123</v>
      </c>
      <c r="G673" s="2" t="s">
        <v>109</v>
      </c>
      <c r="H673" s="2" t="s">
        <v>115</v>
      </c>
      <c r="I673" s="2" t="s">
        <v>83</v>
      </c>
      <c r="J673" s="2" t="s">
        <v>41</v>
      </c>
      <c r="K673" s="2" t="s">
        <v>210</v>
      </c>
      <c r="L673" s="2" t="s">
        <v>211</v>
      </c>
      <c r="M673" s="2" t="s">
        <v>94</v>
      </c>
      <c r="N673" s="2" t="s">
        <v>100</v>
      </c>
      <c r="O673" s="2" t="s">
        <v>2124</v>
      </c>
      <c r="P673" s="2" t="s">
        <v>51</v>
      </c>
      <c r="Q673" s="2" t="s">
        <v>41</v>
      </c>
      <c r="R673" s="2" t="n">
        <v>9</v>
      </c>
      <c r="S673" s="2" t="n">
        <v>3649.51</v>
      </c>
      <c r="T673" s="2" t="n">
        <v>0.05</v>
      </c>
      <c r="U673" s="2" t="str">
        <f aca="false">IF(ISBLANK(T673),"Yes","No")</f>
        <v>No</v>
      </c>
      <c r="V673" s="2" t="n">
        <f aca="false">IF(ISBLANK(T673),0,IF(ISNUMBER(T673),T673,VALUE(LEFT(T673,LEN(T673)-1))/100))</f>
        <v>0.05</v>
      </c>
      <c r="W673" s="2" t="str">
        <f aca="false">IF(AND(V673&gt;=0,V673&lt;=0.25),"Valid","Invalid")</f>
        <v>Valid</v>
      </c>
      <c r="X673" s="2" t="n">
        <v>31203.31</v>
      </c>
      <c r="Y673" s="2" t="n">
        <f aca="false">R673*S673*(1-V673)</f>
        <v>31203.3105</v>
      </c>
      <c r="Z673" s="2" t="str">
        <f aca="false">IF(ABS(X673-Y673)&gt;1,"Mismatch","OK")</f>
        <v>OK</v>
      </c>
      <c r="AA673" s="2" t="n">
        <v>17738.13</v>
      </c>
      <c r="AB673" s="2" t="n">
        <v>13465.18</v>
      </c>
      <c r="AC673" s="2" t="n">
        <f aca="false">Y673-AA673</f>
        <v>13465.1805</v>
      </c>
      <c r="AD673" s="2" t="str">
        <f aca="false">IF(ABS(AB673-AC673)&gt;1,"Mismatch","OK")</f>
        <v>OK</v>
      </c>
      <c r="AE673" s="4" t="n">
        <f aca="false">IF(Y673=0,0,AC673/Y673)</f>
        <v>0.431530510200192</v>
      </c>
      <c r="AF673" s="2" t="s">
        <v>52</v>
      </c>
      <c r="AG673" s="2" t="s">
        <v>53</v>
      </c>
      <c r="AH673" s="2" t="str">
        <f aca="false">IF(AND(AG673="Completed",AF673&lt;&gt;"Paid"),"Inconsistent","OK")</f>
        <v>OK</v>
      </c>
      <c r="AI673" s="2" t="n">
        <f aca="false">IF(OR(ISBLANK(B673),ISBLANK(C673)),"",C673-B673)</f>
        <v>5</v>
      </c>
      <c r="AJ673" s="2" t="str">
        <f aca="false">IF(AI673="","Unknown",IF(AI673&lt;0,"Invalid","OK"))</f>
        <v>OK</v>
      </c>
      <c r="AK673" s="2" t="str">
        <f aca="false">IF(ISBLANK(B673),"",TEXT(B673,"mmm"))</f>
        <v>Mar</v>
      </c>
      <c r="AL673" s="2" t="n">
        <f aca="false">IF(ISBLANK(B673),"",YEAR(B673))</f>
        <v>2024</v>
      </c>
      <c r="AM673" s="2" t="s">
        <v>41</v>
      </c>
      <c r="AN673" s="2" t="str">
        <f aca="false">IF(OR(W673="Invalid",AJ673="Invalid",AH673="Inconsistent",Z673="Mismatch",AD673="Mismatch",AM673="Yes",D673="Yes",E673="Yes"),"Invalid",IF(OR(J673="Yes",Q673="Yes",U673="Yes"),"Warning","Clean"))</f>
        <v>Clean</v>
      </c>
    </row>
    <row r="674" customFormat="false" ht="15" hidden="false" customHeight="false" outlineLevel="0" collapsed="false">
      <c r="A674" s="2" t="s">
        <v>2125</v>
      </c>
      <c r="B674" s="3" t="n">
        <v>45539</v>
      </c>
      <c r="C674" s="3" t="n">
        <v>45540</v>
      </c>
      <c r="D674" s="2" t="s">
        <v>41</v>
      </c>
      <c r="E674" s="2" t="s">
        <v>41</v>
      </c>
      <c r="F674" s="2" t="s">
        <v>2126</v>
      </c>
      <c r="G674" s="2" t="s">
        <v>109</v>
      </c>
      <c r="H674" s="2" t="s">
        <v>110</v>
      </c>
      <c r="I674" s="2" t="s">
        <v>83</v>
      </c>
      <c r="J674" s="2" t="s">
        <v>41</v>
      </c>
      <c r="K674" s="2" t="s">
        <v>92</v>
      </c>
      <c r="L674" s="2" t="s">
        <v>93</v>
      </c>
      <c r="M674" s="2" t="s">
        <v>61</v>
      </c>
      <c r="N674" s="2" t="s">
        <v>86</v>
      </c>
      <c r="O674" s="2" t="s">
        <v>2127</v>
      </c>
      <c r="P674" s="2" t="s">
        <v>79</v>
      </c>
      <c r="Q674" s="2" t="s">
        <v>41</v>
      </c>
      <c r="R674" s="2" t="n">
        <v>5</v>
      </c>
      <c r="S674" s="2" t="n">
        <v>2528.53</v>
      </c>
      <c r="T674" s="2" t="n">
        <v>0.05</v>
      </c>
      <c r="U674" s="2" t="str">
        <f aca="false">IF(ISBLANK(T674),"Yes","No")</f>
        <v>No</v>
      </c>
      <c r="V674" s="2" t="n">
        <f aca="false">IF(ISBLANK(T674),0,IF(ISNUMBER(T674),T674,VALUE(LEFT(T674,LEN(T674)-1))/100))</f>
        <v>0.05</v>
      </c>
      <c r="W674" s="2" t="str">
        <f aca="false">IF(AND(V674&gt;=0,V674&lt;=0.25),"Valid","Invalid")</f>
        <v>Valid</v>
      </c>
      <c r="X674" s="2" t="n">
        <v>12010.52</v>
      </c>
      <c r="Y674" s="2" t="n">
        <f aca="false">R674*S674*(1-V674)</f>
        <v>12010.5175</v>
      </c>
      <c r="Z674" s="2" t="str">
        <f aca="false">IF(ABS(X674-Y674)&gt;1,"Mismatch","OK")</f>
        <v>OK</v>
      </c>
      <c r="AA674" s="2" t="n">
        <v>7864.61</v>
      </c>
      <c r="AB674" s="2" t="n">
        <v>4145.91</v>
      </c>
      <c r="AC674" s="2" t="n">
        <f aca="false">Y674-AA674</f>
        <v>4145.9075</v>
      </c>
      <c r="AD674" s="2" t="str">
        <f aca="false">IF(ABS(AB674-AC674)&gt;1,"Mismatch","OK")</f>
        <v>OK</v>
      </c>
      <c r="AE674" s="4" t="n">
        <f aca="false">IF(Y674=0,0,AC674/Y674)</f>
        <v>0.34518974723612</v>
      </c>
      <c r="AF674" s="2" t="s">
        <v>52</v>
      </c>
      <c r="AG674" s="2" t="s">
        <v>123</v>
      </c>
      <c r="AH674" s="2" t="str">
        <f aca="false">IF(AND(AG674="Completed",AF674&lt;&gt;"Paid"),"Inconsistent","OK")</f>
        <v>OK</v>
      </c>
      <c r="AI674" s="2" t="n">
        <f aca="false">IF(OR(ISBLANK(B674),ISBLANK(C674)),"",C674-B674)</f>
        <v>1</v>
      </c>
      <c r="AJ674" s="2" t="str">
        <f aca="false">IF(AI674="","Unknown",IF(AI674&lt;0,"Invalid","OK"))</f>
        <v>OK</v>
      </c>
      <c r="AK674" s="2" t="str">
        <f aca="false">IF(ISBLANK(B674),"",TEXT(B674,"mmm"))</f>
        <v>Sep</v>
      </c>
      <c r="AL674" s="2" t="n">
        <f aca="false">IF(ISBLANK(B674),"",YEAR(B674))</f>
        <v>2024</v>
      </c>
      <c r="AM674" s="2" t="s">
        <v>41</v>
      </c>
      <c r="AN674" s="2" t="str">
        <f aca="false">IF(OR(W674="Invalid",AJ674="Invalid",AH674="Inconsistent",Z674="Mismatch",AD674="Mismatch",AM674="Yes",D674="Yes",E674="Yes"),"Invalid",IF(OR(J674="Yes",Q674="Yes",U674="Yes"),"Warning","Clean"))</f>
        <v>Clean</v>
      </c>
    </row>
    <row r="675" customFormat="false" ht="15" hidden="false" customHeight="false" outlineLevel="0" collapsed="false">
      <c r="A675" s="2" t="s">
        <v>2128</v>
      </c>
      <c r="B675" s="3" t="n">
        <v>45701</v>
      </c>
      <c r="C675" s="3" t="n">
        <v>45704</v>
      </c>
      <c r="D675" s="2" t="s">
        <v>41</v>
      </c>
      <c r="E675" s="2" t="s">
        <v>41</v>
      </c>
      <c r="F675" s="2" t="s">
        <v>2129</v>
      </c>
      <c r="G675" s="2" t="s">
        <v>73</v>
      </c>
      <c r="H675" s="2" t="s">
        <v>57</v>
      </c>
      <c r="I675" s="2" t="s">
        <v>83</v>
      </c>
      <c r="J675" s="2" t="s">
        <v>41</v>
      </c>
      <c r="K675" s="2" t="s">
        <v>46</v>
      </c>
      <c r="L675" s="2" t="s">
        <v>129</v>
      </c>
      <c r="M675" s="2" t="s">
        <v>61</v>
      </c>
      <c r="N675" s="2" t="s">
        <v>178</v>
      </c>
      <c r="O675" s="2" t="s">
        <v>2130</v>
      </c>
      <c r="P675" s="2" t="s">
        <v>51</v>
      </c>
      <c r="Q675" s="2" t="s">
        <v>41</v>
      </c>
      <c r="R675" s="2" t="n">
        <v>4</v>
      </c>
      <c r="S675" s="2" t="n">
        <v>4072.9</v>
      </c>
      <c r="T675" s="2" t="n">
        <v>0.15</v>
      </c>
      <c r="U675" s="2" t="str">
        <f aca="false">IF(ISBLANK(T675),"Yes","No")</f>
        <v>No</v>
      </c>
      <c r="V675" s="2" t="n">
        <f aca="false">IF(ISBLANK(T675),0,IF(ISNUMBER(T675),T675,VALUE(LEFT(T675,LEN(T675)-1))/100))</f>
        <v>0.15</v>
      </c>
      <c r="W675" s="2" t="str">
        <f aca="false">IF(AND(V675&gt;=0,V675&lt;=0.25),"Valid","Invalid")</f>
        <v>Valid</v>
      </c>
      <c r="X675" s="2" t="n">
        <v>13847.86</v>
      </c>
      <c r="Y675" s="2" t="n">
        <f aca="false">R675*S675*(1-V675)</f>
        <v>13847.86</v>
      </c>
      <c r="Z675" s="2" t="str">
        <f aca="false">IF(ABS(X675-Y675)&gt;1,"Mismatch","OK")</f>
        <v>OK</v>
      </c>
      <c r="AA675" s="2" t="n">
        <v>8471.78</v>
      </c>
      <c r="AB675" s="2" t="n">
        <v>5376.08</v>
      </c>
      <c r="AC675" s="2" t="n">
        <f aca="false">Y675-AA675</f>
        <v>5376.08</v>
      </c>
      <c r="AD675" s="2" t="str">
        <f aca="false">IF(ABS(AB675-AC675)&gt;1,"Mismatch","OK")</f>
        <v>OK</v>
      </c>
      <c r="AE675" s="4" t="n">
        <f aca="false">IF(Y675=0,0,AC675/Y675)</f>
        <v>0.388224606545705</v>
      </c>
      <c r="AF675" s="2" t="s">
        <v>52</v>
      </c>
      <c r="AG675" s="2" t="s">
        <v>53</v>
      </c>
      <c r="AH675" s="2" t="str">
        <f aca="false">IF(AND(AG675="Completed",AF675&lt;&gt;"Paid"),"Inconsistent","OK")</f>
        <v>OK</v>
      </c>
      <c r="AI675" s="2" t="n">
        <f aca="false">IF(OR(ISBLANK(B675),ISBLANK(C675)),"",C675-B675)</f>
        <v>3</v>
      </c>
      <c r="AJ675" s="2" t="str">
        <f aca="false">IF(AI675="","Unknown",IF(AI675&lt;0,"Invalid","OK"))</f>
        <v>OK</v>
      </c>
      <c r="AK675" s="2" t="str">
        <f aca="false">IF(ISBLANK(B675),"",TEXT(B675,"mmm"))</f>
        <v>Feb</v>
      </c>
      <c r="AL675" s="2" t="n">
        <f aca="false">IF(ISBLANK(B675),"",YEAR(B675))</f>
        <v>2025</v>
      </c>
      <c r="AM675" s="2" t="s">
        <v>41</v>
      </c>
      <c r="AN675" s="2" t="str">
        <f aca="false">IF(OR(W675="Invalid",AJ675="Invalid",AH675="Inconsistent",Z675="Mismatch",AD675="Mismatch",AM675="Yes",D675="Yes",E675="Yes"),"Invalid",IF(OR(J675="Yes",Q675="Yes",U675="Yes"),"Warning","Clean"))</f>
        <v>Clean</v>
      </c>
    </row>
    <row r="676" customFormat="false" ht="15" hidden="false" customHeight="false" outlineLevel="0" collapsed="false">
      <c r="A676" s="2" t="s">
        <v>2131</v>
      </c>
      <c r="B676" s="3" t="n">
        <v>45430</v>
      </c>
      <c r="C676" s="3" t="n">
        <v>45433</v>
      </c>
      <c r="D676" s="2" t="s">
        <v>41</v>
      </c>
      <c r="E676" s="2" t="s">
        <v>41</v>
      </c>
      <c r="F676" s="2" t="s">
        <v>2132</v>
      </c>
      <c r="G676" s="2" t="s">
        <v>91</v>
      </c>
      <c r="H676" s="2" t="s">
        <v>110</v>
      </c>
      <c r="I676" s="2" t="s">
        <v>58</v>
      </c>
      <c r="J676" s="2" t="s">
        <v>41</v>
      </c>
      <c r="K676" s="2" t="s">
        <v>250</v>
      </c>
      <c r="L676" s="2" t="s">
        <v>251</v>
      </c>
      <c r="M676" s="2" t="s">
        <v>94</v>
      </c>
      <c r="N676" s="2" t="s">
        <v>95</v>
      </c>
      <c r="O676" s="2" t="s">
        <v>2133</v>
      </c>
      <c r="P676" s="2" t="s">
        <v>51</v>
      </c>
      <c r="Q676" s="2" t="s">
        <v>41</v>
      </c>
      <c r="R676" s="2" t="n">
        <v>1</v>
      </c>
      <c r="S676" s="2" t="n">
        <v>1033.71</v>
      </c>
      <c r="T676" s="2" t="n">
        <v>0</v>
      </c>
      <c r="U676" s="2" t="str">
        <f aca="false">IF(ISBLANK(T676),"Yes","No")</f>
        <v>No</v>
      </c>
      <c r="V676" s="2" t="n">
        <f aca="false">IF(ISBLANK(T676),0,IF(ISNUMBER(T676),T676,VALUE(LEFT(T676,LEN(T676)-1))/100))</f>
        <v>0</v>
      </c>
      <c r="W676" s="2" t="str">
        <f aca="false">IF(AND(V676&gt;=0,V676&lt;=0.25),"Valid","Invalid")</f>
        <v>Valid</v>
      </c>
      <c r="X676" s="2" t="n">
        <v>1033.71</v>
      </c>
      <c r="Y676" s="2" t="n">
        <f aca="false">R676*S676*(1-V676)</f>
        <v>1033.71</v>
      </c>
      <c r="Z676" s="2" t="str">
        <f aca="false">IF(ABS(X676-Y676)&gt;1,"Mismatch","OK")</f>
        <v>OK</v>
      </c>
      <c r="AA676" s="2" t="n">
        <v>630.82</v>
      </c>
      <c r="AB676" s="2" t="n">
        <v>402.89</v>
      </c>
      <c r="AC676" s="2" t="n">
        <f aca="false">Y676-AA676</f>
        <v>402.89</v>
      </c>
      <c r="AD676" s="2" t="str">
        <f aca="false">IF(ABS(AB676-AC676)&gt;1,"Mismatch","OK")</f>
        <v>OK</v>
      </c>
      <c r="AE676" s="4" t="n">
        <f aca="false">IF(Y676=0,0,AC676/Y676)</f>
        <v>0.389751477687166</v>
      </c>
      <c r="AF676" s="2" t="s">
        <v>131</v>
      </c>
      <c r="AG676" s="2" t="s">
        <v>123</v>
      </c>
      <c r="AH676" s="2" t="str">
        <f aca="false">IF(AND(AG676="Completed",AF676&lt;&gt;"Paid"),"Inconsistent","OK")</f>
        <v>OK</v>
      </c>
      <c r="AI676" s="2" t="n">
        <f aca="false">IF(OR(ISBLANK(B676),ISBLANK(C676)),"",C676-B676)</f>
        <v>3</v>
      </c>
      <c r="AJ676" s="2" t="str">
        <f aca="false">IF(AI676="","Unknown",IF(AI676&lt;0,"Invalid","OK"))</f>
        <v>OK</v>
      </c>
      <c r="AK676" s="2" t="str">
        <f aca="false">IF(ISBLANK(B676),"",TEXT(B676,"mmm"))</f>
        <v>May</v>
      </c>
      <c r="AL676" s="2" t="n">
        <f aca="false">IF(ISBLANK(B676),"",YEAR(B676))</f>
        <v>2024</v>
      </c>
      <c r="AM676" s="2" t="s">
        <v>41</v>
      </c>
      <c r="AN676" s="2" t="str">
        <f aca="false">IF(OR(W676="Invalid",AJ676="Invalid",AH676="Inconsistent",Z676="Mismatch",AD676="Mismatch",AM676="Yes",D676="Yes",E676="Yes"),"Invalid",IF(OR(J676="Yes",Q676="Yes",U676="Yes"),"Warning","Clean"))</f>
        <v>Clean</v>
      </c>
    </row>
    <row r="677" customFormat="false" ht="15" hidden="false" customHeight="false" outlineLevel="0" collapsed="false">
      <c r="A677" s="2" t="s">
        <v>2134</v>
      </c>
      <c r="B677" s="3" t="n">
        <v>45815</v>
      </c>
      <c r="C677" s="3" t="n">
        <v>45818</v>
      </c>
      <c r="D677" s="2" t="s">
        <v>41</v>
      </c>
      <c r="E677" s="2" t="s">
        <v>41</v>
      </c>
      <c r="F677" s="2" t="s">
        <v>2035</v>
      </c>
      <c r="G677" s="2" t="s">
        <v>148</v>
      </c>
      <c r="H677" s="2" t="s">
        <v>44</v>
      </c>
      <c r="I677" s="2" t="s">
        <v>45</v>
      </c>
      <c r="J677" s="2" t="s">
        <v>41</v>
      </c>
      <c r="K677" s="2" t="s">
        <v>46</v>
      </c>
      <c r="L677" s="2" t="s">
        <v>47</v>
      </c>
      <c r="M677" s="2" t="s">
        <v>61</v>
      </c>
      <c r="N677" s="2" t="s">
        <v>77</v>
      </c>
      <c r="O677" s="2" t="s">
        <v>2135</v>
      </c>
      <c r="P677" s="2" t="s">
        <v>64</v>
      </c>
      <c r="Q677" s="2" t="s">
        <v>41</v>
      </c>
      <c r="R677" s="2" t="n">
        <v>3</v>
      </c>
      <c r="S677" s="2" t="n">
        <v>963.26</v>
      </c>
      <c r="T677" s="2" t="n">
        <v>0</v>
      </c>
      <c r="U677" s="2" t="str">
        <f aca="false">IF(ISBLANK(T677),"Yes","No")</f>
        <v>No</v>
      </c>
      <c r="V677" s="2" t="n">
        <f aca="false">IF(ISBLANK(T677),0,IF(ISNUMBER(T677),T677,VALUE(LEFT(T677,LEN(T677)-1))/100))</f>
        <v>0</v>
      </c>
      <c r="W677" s="2" t="str">
        <f aca="false">IF(AND(V677&gt;=0,V677&lt;=0.25),"Valid","Invalid")</f>
        <v>Valid</v>
      </c>
      <c r="X677" s="2" t="n">
        <v>2889.78</v>
      </c>
      <c r="Y677" s="2" t="n">
        <f aca="false">R677*S677*(1-V677)</f>
        <v>2889.78</v>
      </c>
      <c r="Z677" s="2" t="str">
        <f aca="false">IF(ABS(X677-Y677)&gt;1,"Mismatch","OK")</f>
        <v>OK</v>
      </c>
      <c r="AA677" s="2" t="n">
        <v>1811.23</v>
      </c>
      <c r="AB677" s="2" t="n">
        <v>1078.55</v>
      </c>
      <c r="AC677" s="2" t="n">
        <f aca="false">Y677-AA677</f>
        <v>1078.55</v>
      </c>
      <c r="AD677" s="2" t="str">
        <f aca="false">IF(ABS(AB677-AC677)&gt;1,"Mismatch","OK")</f>
        <v>OK</v>
      </c>
      <c r="AE677" s="4" t="n">
        <f aca="false">IF(Y677=0,0,AC677/Y677)</f>
        <v>0.373229103945629</v>
      </c>
      <c r="AF677" s="2" t="s">
        <v>52</v>
      </c>
      <c r="AG677" s="2" t="s">
        <v>53</v>
      </c>
      <c r="AH677" s="2" t="str">
        <f aca="false">IF(AND(AG677="Completed",AF677&lt;&gt;"Paid"),"Inconsistent","OK")</f>
        <v>OK</v>
      </c>
      <c r="AI677" s="2" t="n">
        <f aca="false">IF(OR(ISBLANK(B677),ISBLANK(C677)),"",C677-B677)</f>
        <v>3</v>
      </c>
      <c r="AJ677" s="2" t="str">
        <f aca="false">IF(AI677="","Unknown",IF(AI677&lt;0,"Invalid","OK"))</f>
        <v>OK</v>
      </c>
      <c r="AK677" s="2" t="str">
        <f aca="false">IF(ISBLANK(B677),"",TEXT(B677,"mmm"))</f>
        <v>Jun</v>
      </c>
      <c r="AL677" s="2" t="n">
        <f aca="false">IF(ISBLANK(B677),"",YEAR(B677))</f>
        <v>2025</v>
      </c>
      <c r="AM677" s="2" t="s">
        <v>41</v>
      </c>
      <c r="AN677" s="2" t="str">
        <f aca="false">IF(OR(W677="Invalid",AJ677="Invalid",AH677="Inconsistent",Z677="Mismatch",AD677="Mismatch",AM677="Yes",D677="Yes",E677="Yes"),"Invalid",IF(OR(J677="Yes",Q677="Yes",U677="Yes"),"Warning","Clean"))</f>
        <v>Clean</v>
      </c>
    </row>
    <row r="678" customFormat="false" ht="15" hidden="false" customHeight="false" outlineLevel="0" collapsed="false">
      <c r="A678" s="2" t="s">
        <v>2136</v>
      </c>
      <c r="B678" s="3" t="n">
        <v>45911</v>
      </c>
      <c r="C678" s="3" t="n">
        <v>45918</v>
      </c>
      <c r="D678" s="2" t="s">
        <v>41</v>
      </c>
      <c r="E678" s="2" t="s">
        <v>41</v>
      </c>
      <c r="F678" s="2" t="s">
        <v>2137</v>
      </c>
      <c r="G678" s="2" t="s">
        <v>138</v>
      </c>
      <c r="H678" s="2" t="s">
        <v>57</v>
      </c>
      <c r="I678" s="2" t="s">
        <v>45</v>
      </c>
      <c r="J678" s="2" t="s">
        <v>41</v>
      </c>
      <c r="K678" s="2" t="s">
        <v>372</v>
      </c>
      <c r="L678" s="2" t="s">
        <v>373</v>
      </c>
      <c r="M678" s="2" t="s">
        <v>94</v>
      </c>
      <c r="N678" s="2" t="s">
        <v>191</v>
      </c>
      <c r="O678" s="2" t="s">
        <v>2138</v>
      </c>
      <c r="P678" s="2" t="s">
        <v>64</v>
      </c>
      <c r="Q678" s="2" t="s">
        <v>41</v>
      </c>
      <c r="R678" s="2" t="n">
        <v>7</v>
      </c>
      <c r="S678" s="2" t="n">
        <v>3411.21</v>
      </c>
      <c r="T678" s="2" t="n">
        <v>0.15</v>
      </c>
      <c r="U678" s="2" t="str">
        <f aca="false">IF(ISBLANK(T678),"Yes","No")</f>
        <v>No</v>
      </c>
      <c r="V678" s="2" t="n">
        <f aca="false">IF(ISBLANK(T678),0,IF(ISNUMBER(T678),T678,VALUE(LEFT(T678,LEN(T678)-1))/100))</f>
        <v>0.15</v>
      </c>
      <c r="W678" s="2" t="str">
        <f aca="false">IF(AND(V678&gt;=0,V678&lt;=0.25),"Valid","Invalid")</f>
        <v>Valid</v>
      </c>
      <c r="X678" s="2" t="n">
        <v>20296.7</v>
      </c>
      <c r="Y678" s="2" t="n">
        <f aca="false">R678*S678*(1-V678)</f>
        <v>20296.6995</v>
      </c>
      <c r="Z678" s="2" t="str">
        <f aca="false">IF(ABS(X678-Y678)&gt;1,"Mismatch","OK")</f>
        <v>OK</v>
      </c>
      <c r="AA678" s="2" t="n">
        <v>14920.87</v>
      </c>
      <c r="AB678" s="2" t="n">
        <v>5375.83</v>
      </c>
      <c r="AC678" s="2" t="n">
        <f aca="false">Y678-AA678</f>
        <v>5375.8295</v>
      </c>
      <c r="AD678" s="2" t="str">
        <f aca="false">IF(ABS(AB678-AC678)&gt;1,"Mismatch","OK")</f>
        <v>OK</v>
      </c>
      <c r="AE678" s="4" t="n">
        <f aca="false">IF(Y678=0,0,AC678/Y678)</f>
        <v>0.264862250140719</v>
      </c>
      <c r="AF678" s="2" t="s">
        <v>52</v>
      </c>
      <c r="AG678" s="2" t="s">
        <v>53</v>
      </c>
      <c r="AH678" s="2" t="str">
        <f aca="false">IF(AND(AG678="Completed",AF678&lt;&gt;"Paid"),"Inconsistent","OK")</f>
        <v>OK</v>
      </c>
      <c r="AI678" s="2" t="n">
        <f aca="false">IF(OR(ISBLANK(B678),ISBLANK(C678)),"",C678-B678)</f>
        <v>7</v>
      </c>
      <c r="AJ678" s="2" t="str">
        <f aca="false">IF(AI678="","Unknown",IF(AI678&lt;0,"Invalid","OK"))</f>
        <v>OK</v>
      </c>
      <c r="AK678" s="2" t="str">
        <f aca="false">IF(ISBLANK(B678),"",TEXT(B678,"mmm"))</f>
        <v>Sep</v>
      </c>
      <c r="AL678" s="2" t="n">
        <f aca="false">IF(ISBLANK(B678),"",YEAR(B678))</f>
        <v>2025</v>
      </c>
      <c r="AM678" s="2" t="s">
        <v>41</v>
      </c>
      <c r="AN678" s="2" t="str">
        <f aca="false">IF(OR(W678="Invalid",AJ678="Invalid",AH678="Inconsistent",Z678="Mismatch",AD678="Mismatch",AM678="Yes",D678="Yes",E678="Yes"),"Invalid",IF(OR(J678="Yes",Q678="Yes",U678="Yes"),"Warning","Clean"))</f>
        <v>Clean</v>
      </c>
    </row>
    <row r="679" customFormat="false" ht="15" hidden="false" customHeight="false" outlineLevel="0" collapsed="false">
      <c r="A679" s="2" t="s">
        <v>2139</v>
      </c>
      <c r="B679" s="3" t="n">
        <v>45465</v>
      </c>
      <c r="C679" s="3" t="n">
        <v>45470</v>
      </c>
      <c r="D679" s="2" t="s">
        <v>41</v>
      </c>
      <c r="E679" s="2" t="s">
        <v>41</v>
      </c>
      <c r="F679" s="2" t="s">
        <v>42</v>
      </c>
      <c r="G679" s="2" t="s">
        <v>67</v>
      </c>
      <c r="H679" s="2" t="s">
        <v>115</v>
      </c>
      <c r="I679" s="2" t="s">
        <v>74</v>
      </c>
      <c r="J679" s="2" t="s">
        <v>41</v>
      </c>
      <c r="K679" s="2" t="s">
        <v>195</v>
      </c>
      <c r="L679" s="2" t="s">
        <v>196</v>
      </c>
      <c r="M679" s="2" t="s">
        <v>61</v>
      </c>
      <c r="N679" s="2" t="s">
        <v>86</v>
      </c>
      <c r="O679" s="2" t="s">
        <v>2140</v>
      </c>
      <c r="P679" s="2" t="s">
        <v>64</v>
      </c>
      <c r="Q679" s="2" t="s">
        <v>41</v>
      </c>
      <c r="R679" s="2" t="n">
        <v>7</v>
      </c>
      <c r="S679" s="2" t="n">
        <v>2623.48</v>
      </c>
      <c r="T679" s="2" t="n">
        <v>0</v>
      </c>
      <c r="U679" s="2" t="str">
        <f aca="false">IF(ISBLANK(T679),"Yes","No")</f>
        <v>No</v>
      </c>
      <c r="V679" s="2" t="n">
        <f aca="false">IF(ISBLANK(T679),0,IF(ISNUMBER(T679),T679,VALUE(LEFT(T679,LEN(T679)-1))/100))</f>
        <v>0</v>
      </c>
      <c r="W679" s="2" t="str">
        <f aca="false">IF(AND(V679&gt;=0,V679&lt;=0.25),"Valid","Invalid")</f>
        <v>Valid</v>
      </c>
      <c r="X679" s="2" t="n">
        <v>18364.36</v>
      </c>
      <c r="Y679" s="2" t="n">
        <f aca="false">R679*S679*(1-V679)</f>
        <v>18364.36</v>
      </c>
      <c r="Z679" s="2" t="str">
        <f aca="false">IF(ABS(X679-Y679)&gt;1,"Mismatch","OK")</f>
        <v>OK</v>
      </c>
      <c r="AA679" s="2" t="n">
        <v>15445.81</v>
      </c>
      <c r="AB679" s="2" t="n">
        <v>2918.55</v>
      </c>
      <c r="AC679" s="2" t="n">
        <f aca="false">Y679-AA679</f>
        <v>2918.55</v>
      </c>
      <c r="AD679" s="2" t="str">
        <f aca="false">IF(ABS(AB679-AC679)&gt;1,"Mismatch","OK")</f>
        <v>OK</v>
      </c>
      <c r="AE679" s="4" t="n">
        <f aca="false">IF(Y679=0,0,AC679/Y679)</f>
        <v>0.158924678017639</v>
      </c>
      <c r="AF679" s="2" t="s">
        <v>52</v>
      </c>
      <c r="AG679" s="2" t="s">
        <v>53</v>
      </c>
      <c r="AH679" s="2" t="str">
        <f aca="false">IF(AND(AG679="Completed",AF679&lt;&gt;"Paid"),"Inconsistent","OK")</f>
        <v>OK</v>
      </c>
      <c r="AI679" s="2" t="n">
        <f aca="false">IF(OR(ISBLANK(B679),ISBLANK(C679)),"",C679-B679)</f>
        <v>5</v>
      </c>
      <c r="AJ679" s="2" t="str">
        <f aca="false">IF(AI679="","Unknown",IF(AI679&lt;0,"Invalid","OK"))</f>
        <v>OK</v>
      </c>
      <c r="AK679" s="2" t="str">
        <f aca="false">IF(ISBLANK(B679),"",TEXT(B679,"mmm"))</f>
        <v>Jun</v>
      </c>
      <c r="AL679" s="2" t="n">
        <f aca="false">IF(ISBLANK(B679),"",YEAR(B679))</f>
        <v>2024</v>
      </c>
      <c r="AM679" s="2" t="s">
        <v>41</v>
      </c>
      <c r="AN679" s="2" t="str">
        <f aca="false">IF(OR(W679="Invalid",AJ679="Invalid",AH679="Inconsistent",Z679="Mismatch",AD679="Mismatch",AM679="Yes",D679="Yes",E679="Yes"),"Invalid",IF(OR(J679="Yes",Q679="Yes",U679="Yes"),"Warning","Clean"))</f>
        <v>Clean</v>
      </c>
    </row>
    <row r="680" customFormat="false" ht="15" hidden="false" customHeight="false" outlineLevel="0" collapsed="false">
      <c r="A680" s="2" t="s">
        <v>2141</v>
      </c>
      <c r="B680" s="3" t="n">
        <v>45620</v>
      </c>
      <c r="C680" s="3" t="n">
        <v>45627</v>
      </c>
      <c r="D680" s="2" t="s">
        <v>41</v>
      </c>
      <c r="E680" s="2" t="s">
        <v>41</v>
      </c>
      <c r="F680" s="2" t="s">
        <v>2142</v>
      </c>
      <c r="G680" s="2" t="s">
        <v>286</v>
      </c>
      <c r="H680" s="2" t="s">
        <v>110</v>
      </c>
      <c r="I680" s="2" t="s">
        <v>74</v>
      </c>
      <c r="J680" s="2" t="s">
        <v>41</v>
      </c>
      <c r="K680" s="2" t="s">
        <v>195</v>
      </c>
      <c r="L680" s="2" t="s">
        <v>196</v>
      </c>
      <c r="M680" s="2" t="s">
        <v>61</v>
      </c>
      <c r="N680" s="2" t="s">
        <v>62</v>
      </c>
      <c r="O680" s="2" t="s">
        <v>2143</v>
      </c>
      <c r="P680" s="2" t="s">
        <v>51</v>
      </c>
      <c r="Q680" s="2" t="s">
        <v>41</v>
      </c>
      <c r="R680" s="2" t="n">
        <v>9</v>
      </c>
      <c r="S680" s="2" t="n">
        <v>2763.61</v>
      </c>
      <c r="T680" s="2" t="n">
        <v>0.15</v>
      </c>
      <c r="U680" s="2" t="str">
        <f aca="false">IF(ISBLANK(T680),"Yes","No")</f>
        <v>No</v>
      </c>
      <c r="V680" s="2" t="n">
        <f aca="false">IF(ISBLANK(T680),0,IF(ISNUMBER(T680),T680,VALUE(LEFT(T680,LEN(T680)-1))/100))</f>
        <v>0.15</v>
      </c>
      <c r="W680" s="2" t="str">
        <f aca="false">IF(AND(V680&gt;=0,V680&lt;=0.25),"Valid","Invalid")</f>
        <v>Valid</v>
      </c>
      <c r="X680" s="2" t="n">
        <v>21141.62</v>
      </c>
      <c r="Y680" s="2" t="n">
        <f aca="false">R680*S680*(1-V680)</f>
        <v>21141.6165</v>
      </c>
      <c r="Z680" s="2" t="str">
        <f aca="false">IF(ABS(X680-Y680)&gt;1,"Mismatch","OK")</f>
        <v>OK</v>
      </c>
      <c r="AA680" s="2" t="n">
        <v>11676.33</v>
      </c>
      <c r="AB680" s="2" t="n">
        <v>9465.29</v>
      </c>
      <c r="AC680" s="2" t="n">
        <f aca="false">Y680-AA680</f>
        <v>9465.2865</v>
      </c>
      <c r="AD680" s="2" t="str">
        <f aca="false">IF(ABS(AB680-AC680)&gt;1,"Mismatch","OK")</f>
        <v>OK</v>
      </c>
      <c r="AE680" s="4" t="n">
        <f aca="false">IF(Y680=0,0,AC680/Y680)</f>
        <v>0.447708740719992</v>
      </c>
      <c r="AF680" s="2" t="s">
        <v>52</v>
      </c>
      <c r="AG680" s="2" t="s">
        <v>53</v>
      </c>
      <c r="AH680" s="2" t="str">
        <f aca="false">IF(AND(AG680="Completed",AF680&lt;&gt;"Paid"),"Inconsistent","OK")</f>
        <v>OK</v>
      </c>
      <c r="AI680" s="2" t="n">
        <f aca="false">IF(OR(ISBLANK(B680),ISBLANK(C680)),"",C680-B680)</f>
        <v>7</v>
      </c>
      <c r="AJ680" s="2" t="str">
        <f aca="false">IF(AI680="","Unknown",IF(AI680&lt;0,"Invalid","OK"))</f>
        <v>OK</v>
      </c>
      <c r="AK680" s="2" t="str">
        <f aca="false">IF(ISBLANK(B680),"",TEXT(B680,"mmm"))</f>
        <v>Nov</v>
      </c>
      <c r="AL680" s="2" t="n">
        <f aca="false">IF(ISBLANK(B680),"",YEAR(B680))</f>
        <v>2024</v>
      </c>
      <c r="AM680" s="2" t="s">
        <v>41</v>
      </c>
      <c r="AN680" s="2" t="str">
        <f aca="false">IF(OR(W680="Invalid",AJ680="Invalid",AH680="Inconsistent",Z680="Mismatch",AD680="Mismatch",AM680="Yes",D680="Yes",E680="Yes"),"Invalid",IF(OR(J680="Yes",Q680="Yes",U680="Yes"),"Warning","Clean"))</f>
        <v>Clean</v>
      </c>
    </row>
    <row r="681" customFormat="false" ht="15" hidden="false" customHeight="false" outlineLevel="0" collapsed="false">
      <c r="A681" s="2" t="s">
        <v>2144</v>
      </c>
      <c r="B681" s="3" t="n">
        <v>45885</v>
      </c>
      <c r="C681" s="3" t="n">
        <v>45892</v>
      </c>
      <c r="D681" s="2" t="s">
        <v>41</v>
      </c>
      <c r="E681" s="2" t="s">
        <v>41</v>
      </c>
      <c r="F681" s="2" t="s">
        <v>2145</v>
      </c>
      <c r="G681" s="2" t="s">
        <v>161</v>
      </c>
      <c r="H681" s="2" t="s">
        <v>110</v>
      </c>
      <c r="I681" s="2" t="s">
        <v>45</v>
      </c>
      <c r="J681" s="2" t="s">
        <v>41</v>
      </c>
      <c r="K681" s="2" t="s">
        <v>142</v>
      </c>
      <c r="L681" s="2" t="s">
        <v>143</v>
      </c>
      <c r="M681" s="2" t="s">
        <v>94</v>
      </c>
      <c r="N681" s="2" t="s">
        <v>100</v>
      </c>
      <c r="O681" s="2" t="s">
        <v>2146</v>
      </c>
      <c r="P681" s="2" t="s">
        <v>64</v>
      </c>
      <c r="Q681" s="2" t="s">
        <v>41</v>
      </c>
      <c r="R681" s="2" t="n">
        <v>4</v>
      </c>
      <c r="S681" s="2" t="n">
        <v>1410.57</v>
      </c>
      <c r="T681" s="2" t="s">
        <v>485</v>
      </c>
      <c r="U681" s="2" t="str">
        <f aca="false">IF(ISBLANK(T681),"Yes","No")</f>
        <v>No</v>
      </c>
      <c r="V681" s="2" t="n">
        <f aca="false">IF(ISBLANK(T681),0,IF(ISNUMBER(T681),T681,VALUE(LEFT(T681,LEN(T681)-1))/100))</f>
        <v>0.7</v>
      </c>
      <c r="W681" s="2" t="str">
        <f aca="false">IF(AND(V681&gt;=0,V681&lt;=0.25),"Valid","Invalid")</f>
        <v>Invalid</v>
      </c>
      <c r="X681" s="2" t="n">
        <v>5360.17</v>
      </c>
      <c r="Y681" s="2" t="n">
        <f aca="false">R681*S681*(1-V681)</f>
        <v>1692.684</v>
      </c>
      <c r="Z681" s="2" t="str">
        <f aca="false">IF(ABS(X681-Y681)&gt;1,"Mismatch","OK")</f>
        <v>Mismatch</v>
      </c>
      <c r="AA681" s="2" t="n">
        <v>3881.51</v>
      </c>
      <c r="AB681" s="2" t="n">
        <v>1478.66</v>
      </c>
      <c r="AC681" s="2" t="n">
        <f aca="false">Y681-AA681</f>
        <v>-2188.826</v>
      </c>
      <c r="AD681" s="2" t="str">
        <f aca="false">IF(ABS(AB681-AC681)&gt;1,"Mismatch","OK")</f>
        <v>Mismatch</v>
      </c>
      <c r="AE681" s="4" t="n">
        <f aca="false">IF(Y681=0,0,AC681/Y681)</f>
        <v>-1.29310964125614</v>
      </c>
      <c r="AF681" s="2" t="s">
        <v>122</v>
      </c>
      <c r="AG681" s="2" t="s">
        <v>88</v>
      </c>
      <c r="AH681" s="2" t="str">
        <f aca="false">IF(AND(AG681="Completed",AF681&lt;&gt;"Paid"),"Inconsistent","OK")</f>
        <v>OK</v>
      </c>
      <c r="AI681" s="2" t="n">
        <f aca="false">IF(OR(ISBLANK(B681),ISBLANK(C681)),"",C681-B681)</f>
        <v>7</v>
      </c>
      <c r="AJ681" s="2" t="str">
        <f aca="false">IF(AI681="","Unknown",IF(AI681&lt;0,"Invalid","OK"))</f>
        <v>OK</v>
      </c>
      <c r="AK681" s="2" t="str">
        <f aca="false">IF(ISBLANK(B681),"",TEXT(B681,"mmm"))</f>
        <v>Aug</v>
      </c>
      <c r="AL681" s="2" t="n">
        <f aca="false">IF(ISBLANK(B681),"",YEAR(B681))</f>
        <v>2025</v>
      </c>
      <c r="AM681" s="2" t="s">
        <v>41</v>
      </c>
      <c r="AN681" s="2" t="str">
        <f aca="false">IF(OR(W681="Invalid",AJ681="Invalid",AH681="Inconsistent",Z681="Mismatch",AD681="Mismatch",AM681="Yes",D681="Yes",E681="Yes"),"Invalid",IF(OR(J681="Yes",Q681="Yes",U681="Yes"),"Warning","Clean"))</f>
        <v>Invalid</v>
      </c>
    </row>
    <row r="682" customFormat="false" ht="15" hidden="false" customHeight="false" outlineLevel="0" collapsed="false">
      <c r="A682" s="2" t="s">
        <v>2147</v>
      </c>
      <c r="B682" s="3" t="n">
        <v>45441</v>
      </c>
      <c r="C682" s="3" t="n">
        <v>45448</v>
      </c>
      <c r="D682" s="2" t="s">
        <v>41</v>
      </c>
      <c r="E682" s="2" t="s">
        <v>41</v>
      </c>
      <c r="F682" s="2" t="s">
        <v>2148</v>
      </c>
      <c r="G682" s="2" t="s">
        <v>286</v>
      </c>
      <c r="H682" s="2" t="s">
        <v>110</v>
      </c>
      <c r="I682" s="2" t="s">
        <v>74</v>
      </c>
      <c r="J682" s="2" t="s">
        <v>41</v>
      </c>
      <c r="K682" s="2" t="s">
        <v>269</v>
      </c>
      <c r="L682" s="2" t="s">
        <v>270</v>
      </c>
      <c r="M682" s="2" t="s">
        <v>94</v>
      </c>
      <c r="N682" s="2" t="s">
        <v>95</v>
      </c>
      <c r="O682" s="2" t="s">
        <v>2149</v>
      </c>
      <c r="P682" s="2" t="s">
        <v>70</v>
      </c>
      <c r="Q682" s="2" t="s">
        <v>41</v>
      </c>
      <c r="R682" s="2" t="n">
        <v>4</v>
      </c>
      <c r="S682" s="2" t="n">
        <v>3700.24</v>
      </c>
      <c r="T682" s="2" t="n">
        <v>0</v>
      </c>
      <c r="U682" s="2" t="str">
        <f aca="false">IF(ISBLANK(T682),"Yes","No")</f>
        <v>No</v>
      </c>
      <c r="V682" s="2" t="n">
        <f aca="false">IF(ISBLANK(T682),0,IF(ISNUMBER(T682),T682,VALUE(LEFT(T682,LEN(T682)-1))/100))</f>
        <v>0</v>
      </c>
      <c r="W682" s="2" t="str">
        <f aca="false">IF(AND(V682&gt;=0,V682&lt;=0.25),"Valid","Invalid")</f>
        <v>Valid</v>
      </c>
      <c r="X682" s="2" t="n">
        <v>14800.96</v>
      </c>
      <c r="Y682" s="2" t="n">
        <f aca="false">R682*S682*(1-V682)</f>
        <v>14800.96</v>
      </c>
      <c r="Z682" s="2" t="str">
        <f aca="false">IF(ABS(X682-Y682)&gt;1,"Mismatch","OK")</f>
        <v>OK</v>
      </c>
      <c r="AA682" s="2" t="n">
        <v>12048.39</v>
      </c>
      <c r="AB682" s="2" t="n">
        <v>2752.57</v>
      </c>
      <c r="AC682" s="2" t="n">
        <f aca="false">Y682-AA682</f>
        <v>2752.57</v>
      </c>
      <c r="AD682" s="2" t="str">
        <f aca="false">IF(ABS(AB682-AC682)&gt;1,"Mismatch","OK")</f>
        <v>OK</v>
      </c>
      <c r="AE682" s="4" t="n">
        <f aca="false">IF(Y682=0,0,AC682/Y682)</f>
        <v>0.185972396385099</v>
      </c>
      <c r="AF682" s="2" t="s">
        <v>52</v>
      </c>
      <c r="AG682" s="2" t="s">
        <v>53</v>
      </c>
      <c r="AH682" s="2" t="str">
        <f aca="false">IF(AND(AG682="Completed",AF682&lt;&gt;"Paid"),"Inconsistent","OK")</f>
        <v>OK</v>
      </c>
      <c r="AI682" s="2" t="n">
        <f aca="false">IF(OR(ISBLANK(B682),ISBLANK(C682)),"",C682-B682)</f>
        <v>7</v>
      </c>
      <c r="AJ682" s="2" t="str">
        <f aca="false">IF(AI682="","Unknown",IF(AI682&lt;0,"Invalid","OK"))</f>
        <v>OK</v>
      </c>
      <c r="AK682" s="2" t="str">
        <f aca="false">IF(ISBLANK(B682),"",TEXT(B682,"mmm"))</f>
        <v>May</v>
      </c>
      <c r="AL682" s="2" t="n">
        <f aca="false">IF(ISBLANK(B682),"",YEAR(B682))</f>
        <v>2024</v>
      </c>
      <c r="AM682" s="2" t="s">
        <v>41</v>
      </c>
      <c r="AN682" s="2" t="str">
        <f aca="false">IF(OR(W682="Invalid",AJ682="Invalid",AH682="Inconsistent",Z682="Mismatch",AD682="Mismatch",AM682="Yes",D682="Yes",E682="Yes"),"Invalid",IF(OR(J682="Yes",Q682="Yes",U682="Yes"),"Warning","Clean"))</f>
        <v>Clean</v>
      </c>
    </row>
    <row r="683" customFormat="false" ht="15" hidden="false" customHeight="false" outlineLevel="0" collapsed="false">
      <c r="A683" s="2" t="s">
        <v>2150</v>
      </c>
      <c r="B683" s="3" t="n">
        <v>45477</v>
      </c>
      <c r="C683" s="3" t="n">
        <v>45483</v>
      </c>
      <c r="D683" s="2" t="s">
        <v>41</v>
      </c>
      <c r="E683" s="2" t="s">
        <v>41</v>
      </c>
      <c r="F683" s="2" t="s">
        <v>2151</v>
      </c>
      <c r="G683" s="2" t="s">
        <v>91</v>
      </c>
      <c r="H683" s="2" t="s">
        <v>110</v>
      </c>
      <c r="I683" s="2" t="s">
        <v>45</v>
      </c>
      <c r="J683" s="2" t="s">
        <v>41</v>
      </c>
      <c r="K683" s="2" t="s">
        <v>372</v>
      </c>
      <c r="L683" s="2" t="s">
        <v>373</v>
      </c>
      <c r="M683" s="2" t="s">
        <v>61</v>
      </c>
      <c r="N683" s="2" t="s">
        <v>62</v>
      </c>
      <c r="O683" s="2" t="s">
        <v>2152</v>
      </c>
      <c r="P683" s="2" t="s">
        <v>51</v>
      </c>
      <c r="Q683" s="2" t="s">
        <v>41</v>
      </c>
      <c r="R683" s="2" t="n">
        <v>5</v>
      </c>
      <c r="S683" s="2" t="n">
        <v>1200.27</v>
      </c>
      <c r="T683" s="2" t="n">
        <v>0</v>
      </c>
      <c r="U683" s="2" t="str">
        <f aca="false">IF(ISBLANK(T683),"Yes","No")</f>
        <v>No</v>
      </c>
      <c r="V683" s="2" t="n">
        <f aca="false">IF(ISBLANK(T683),0,IF(ISNUMBER(T683),T683,VALUE(LEFT(T683,LEN(T683)-1))/100))</f>
        <v>0</v>
      </c>
      <c r="W683" s="2" t="str">
        <f aca="false">IF(AND(V683&gt;=0,V683&lt;=0.25),"Valid","Invalid")</f>
        <v>Valid</v>
      </c>
      <c r="X683" s="2" t="n">
        <v>6001.35</v>
      </c>
      <c r="Y683" s="2" t="n">
        <f aca="false">R683*S683*(1-V683)</f>
        <v>6001.35</v>
      </c>
      <c r="Z683" s="2" t="str">
        <f aca="false">IF(ABS(X683-Y683)&gt;1,"Mismatch","OK")</f>
        <v>OK</v>
      </c>
      <c r="AA683" s="2" t="n">
        <v>4182.99</v>
      </c>
      <c r="AB683" s="2" t="n">
        <v>1818.36</v>
      </c>
      <c r="AC683" s="2" t="n">
        <f aca="false">Y683-AA683</f>
        <v>1818.36</v>
      </c>
      <c r="AD683" s="2" t="str">
        <f aca="false">IF(ABS(AB683-AC683)&gt;1,"Mismatch","OK")</f>
        <v>OK</v>
      </c>
      <c r="AE683" s="4" t="n">
        <f aca="false">IF(Y683=0,0,AC683/Y683)</f>
        <v>0.302991826838961</v>
      </c>
      <c r="AF683" s="2" t="s">
        <v>52</v>
      </c>
      <c r="AG683" s="2" t="s">
        <v>88</v>
      </c>
      <c r="AH683" s="2" t="str">
        <f aca="false">IF(AND(AG683="Completed",AF683&lt;&gt;"Paid"),"Inconsistent","OK")</f>
        <v>OK</v>
      </c>
      <c r="AI683" s="2" t="n">
        <f aca="false">IF(OR(ISBLANK(B683),ISBLANK(C683)),"",C683-B683)</f>
        <v>6</v>
      </c>
      <c r="AJ683" s="2" t="str">
        <f aca="false">IF(AI683="","Unknown",IF(AI683&lt;0,"Invalid","OK"))</f>
        <v>OK</v>
      </c>
      <c r="AK683" s="2" t="str">
        <f aca="false">IF(ISBLANK(B683),"",TEXT(B683,"mmm"))</f>
        <v>Jul</v>
      </c>
      <c r="AL683" s="2" t="n">
        <f aca="false">IF(ISBLANK(B683),"",YEAR(B683))</f>
        <v>2024</v>
      </c>
      <c r="AM683" s="2" t="s">
        <v>41</v>
      </c>
      <c r="AN683" s="2" t="str">
        <f aca="false">IF(OR(W683="Invalid",AJ683="Invalid",AH683="Inconsistent",Z683="Mismatch",AD683="Mismatch",AM683="Yes",D683="Yes",E683="Yes"),"Invalid",IF(OR(J683="Yes",Q683="Yes",U683="Yes"),"Warning","Clean"))</f>
        <v>Clean</v>
      </c>
    </row>
    <row r="684" customFormat="false" ht="15" hidden="false" customHeight="false" outlineLevel="0" collapsed="false">
      <c r="A684" s="2" t="s">
        <v>2153</v>
      </c>
      <c r="B684" s="3" t="n">
        <v>45693</v>
      </c>
      <c r="C684" s="3" t="n">
        <v>45693</v>
      </c>
      <c r="D684" s="2" t="s">
        <v>41</v>
      </c>
      <c r="E684" s="2" t="s">
        <v>41</v>
      </c>
      <c r="F684" s="2" t="s">
        <v>2154</v>
      </c>
      <c r="G684" s="2" t="s">
        <v>2155</v>
      </c>
      <c r="H684" s="2" t="s">
        <v>110</v>
      </c>
      <c r="I684" s="2" t="s">
        <v>45</v>
      </c>
      <c r="J684" s="2" t="s">
        <v>41</v>
      </c>
      <c r="K684" s="2" t="s">
        <v>258</v>
      </c>
      <c r="L684" s="2" t="s">
        <v>259</v>
      </c>
      <c r="M684" s="2" t="s">
        <v>48</v>
      </c>
      <c r="N684" s="2" t="s">
        <v>144</v>
      </c>
      <c r="O684" s="2" t="s">
        <v>2156</v>
      </c>
      <c r="P684" s="2" t="s">
        <v>64</v>
      </c>
      <c r="Q684" s="2" t="s">
        <v>41</v>
      </c>
      <c r="R684" s="2" t="n">
        <v>3</v>
      </c>
      <c r="S684" s="2" t="n">
        <v>2590.78</v>
      </c>
      <c r="T684" s="2"/>
      <c r="U684" s="2" t="str">
        <f aca="false">IF(ISBLANK(T684),"Yes","No")</f>
        <v>Yes</v>
      </c>
      <c r="V684" s="2" t="n">
        <f aca="false">IF(ISBLANK(T684),0,IF(ISNUMBER(T684),T684,VALUE(LEFT(T684,LEN(T684)-1))/100))</f>
        <v>0</v>
      </c>
      <c r="W684" s="2" t="str">
        <f aca="false">IF(AND(V684&gt;=0,V684&lt;=0.25),"Valid","Invalid")</f>
        <v>Valid</v>
      </c>
      <c r="X684" s="2" t="n">
        <v>7383.72</v>
      </c>
      <c r="Y684" s="2" t="n">
        <f aca="false">R684*S684*(1-V684)</f>
        <v>7772.34</v>
      </c>
      <c r="Z684" s="2" t="str">
        <f aca="false">IF(ABS(X684-Y684)&gt;1,"Mismatch","OK")</f>
        <v>Mismatch</v>
      </c>
      <c r="AA684" s="2" t="n">
        <v>4113.66</v>
      </c>
      <c r="AB684" s="2" t="n">
        <v>3270.06</v>
      </c>
      <c r="AC684" s="2" t="n">
        <f aca="false">Y684-AA684</f>
        <v>3658.68</v>
      </c>
      <c r="AD684" s="2" t="str">
        <f aca="false">IF(ABS(AB684-AC684)&gt;1,"Mismatch","OK")</f>
        <v>Mismatch</v>
      </c>
      <c r="AE684" s="4" t="n">
        <f aca="false">IF(Y684=0,0,AC684/Y684)</f>
        <v>0.470730822377817</v>
      </c>
      <c r="AF684" s="2" t="s">
        <v>52</v>
      </c>
      <c r="AG684" s="2" t="s">
        <v>53</v>
      </c>
      <c r="AH684" s="2" t="str">
        <f aca="false">IF(AND(AG684="Completed",AF684&lt;&gt;"Paid"),"Inconsistent","OK")</f>
        <v>OK</v>
      </c>
      <c r="AI684" s="2" t="n">
        <f aca="false">IF(OR(ISBLANK(B684),ISBLANK(C684)),"",C684-B684)</f>
        <v>0</v>
      </c>
      <c r="AJ684" s="2" t="str">
        <f aca="false">IF(AI684="","Unknown",IF(AI684&lt;0,"Invalid","OK"))</f>
        <v>OK</v>
      </c>
      <c r="AK684" s="2" t="str">
        <f aca="false">IF(ISBLANK(B684),"",TEXT(B684,"mmm"))</f>
        <v>Feb</v>
      </c>
      <c r="AL684" s="2" t="n">
        <f aca="false">IF(ISBLANK(B684),"",YEAR(B684))</f>
        <v>2025</v>
      </c>
      <c r="AM684" s="2" t="s">
        <v>41</v>
      </c>
      <c r="AN684" s="2" t="str">
        <f aca="false">IF(OR(W684="Invalid",AJ684="Invalid",AH684="Inconsistent",Z684="Mismatch",AD684="Mismatch",AM684="Yes",D684="Yes",E684="Yes"),"Invalid",IF(OR(J684="Yes",Q684="Yes",U684="Yes"),"Warning","Clean"))</f>
        <v>Invalid</v>
      </c>
    </row>
    <row r="685" customFormat="false" ht="15" hidden="false" customHeight="false" outlineLevel="0" collapsed="false">
      <c r="A685" s="2" t="s">
        <v>2157</v>
      </c>
      <c r="B685" s="3" t="n">
        <v>45858</v>
      </c>
      <c r="C685" s="3" t="n">
        <v>45862</v>
      </c>
      <c r="D685" s="2" t="s">
        <v>41</v>
      </c>
      <c r="E685" s="2" t="s">
        <v>41</v>
      </c>
      <c r="F685" s="2" t="s">
        <v>2158</v>
      </c>
      <c r="G685" s="2" t="s">
        <v>73</v>
      </c>
      <c r="H685" s="2" t="s">
        <v>57</v>
      </c>
      <c r="I685" s="2" t="s">
        <v>74</v>
      </c>
      <c r="J685" s="2" t="s">
        <v>41</v>
      </c>
      <c r="K685" s="2" t="s">
        <v>75</v>
      </c>
      <c r="L685" s="2" t="s">
        <v>76</v>
      </c>
      <c r="M685" s="2" t="s">
        <v>61</v>
      </c>
      <c r="N685" s="2" t="s">
        <v>77</v>
      </c>
      <c r="O685" s="2" t="s">
        <v>2159</v>
      </c>
      <c r="P685" s="2" t="s">
        <v>51</v>
      </c>
      <c r="Q685" s="2" t="s">
        <v>41</v>
      </c>
      <c r="R685" s="2" t="n">
        <v>6</v>
      </c>
      <c r="S685" s="2" t="n">
        <v>1646.45</v>
      </c>
      <c r="T685" s="2" t="n">
        <v>0.2</v>
      </c>
      <c r="U685" s="2" t="str">
        <f aca="false">IF(ISBLANK(T685),"Yes","No")</f>
        <v>No</v>
      </c>
      <c r="V685" s="2" t="n">
        <f aca="false">IF(ISBLANK(T685),0,IF(ISNUMBER(T685),T685,VALUE(LEFT(T685,LEN(T685)-1))/100))</f>
        <v>0.2</v>
      </c>
      <c r="W685" s="2" t="str">
        <f aca="false">IF(AND(V685&gt;=0,V685&lt;=0.25),"Valid","Invalid")</f>
        <v>Valid</v>
      </c>
      <c r="X685" s="2" t="n">
        <v>7902.96</v>
      </c>
      <c r="Y685" s="2" t="n">
        <f aca="false">R685*S685*(1-V685)</f>
        <v>7902.96</v>
      </c>
      <c r="Z685" s="2" t="str">
        <f aca="false">IF(ABS(X685-Y685)&gt;1,"Mismatch","OK")</f>
        <v>OK</v>
      </c>
      <c r="AA685" s="2" t="n">
        <v>5512.03</v>
      </c>
      <c r="AB685" s="2" t="n">
        <v>2390.93</v>
      </c>
      <c r="AC685" s="2" t="n">
        <f aca="false">Y685-AA685</f>
        <v>2390.93</v>
      </c>
      <c r="AD685" s="2" t="str">
        <f aca="false">IF(ABS(AB685-AC685)&gt;1,"Mismatch","OK")</f>
        <v>OK</v>
      </c>
      <c r="AE685" s="4" t="n">
        <f aca="false">IF(Y685=0,0,AC685/Y685)</f>
        <v>0.302536011823418</v>
      </c>
      <c r="AF685" s="2" t="s">
        <v>122</v>
      </c>
      <c r="AG685" s="2" t="s">
        <v>88</v>
      </c>
      <c r="AH685" s="2" t="str">
        <f aca="false">IF(AND(AG685="Completed",AF685&lt;&gt;"Paid"),"Inconsistent","OK")</f>
        <v>OK</v>
      </c>
      <c r="AI685" s="2" t="n">
        <f aca="false">IF(OR(ISBLANK(B685),ISBLANK(C685)),"",C685-B685)</f>
        <v>4</v>
      </c>
      <c r="AJ685" s="2" t="str">
        <f aca="false">IF(AI685="","Unknown",IF(AI685&lt;0,"Invalid","OK"))</f>
        <v>OK</v>
      </c>
      <c r="AK685" s="2" t="str">
        <f aca="false">IF(ISBLANK(B685),"",TEXT(B685,"mmm"))</f>
        <v>Jul</v>
      </c>
      <c r="AL685" s="2" t="n">
        <f aca="false">IF(ISBLANK(B685),"",YEAR(B685))</f>
        <v>2025</v>
      </c>
      <c r="AM685" s="2" t="s">
        <v>41</v>
      </c>
      <c r="AN685" s="2" t="str">
        <f aca="false">IF(OR(W685="Invalid",AJ685="Invalid",AH685="Inconsistent",Z685="Mismatch",AD685="Mismatch",AM685="Yes",D685="Yes",E685="Yes"),"Invalid",IF(OR(J685="Yes",Q685="Yes",U685="Yes"),"Warning","Clean"))</f>
        <v>Clean</v>
      </c>
    </row>
    <row r="686" customFormat="false" ht="15" hidden="false" customHeight="false" outlineLevel="0" collapsed="false">
      <c r="A686" s="2" t="s">
        <v>2160</v>
      </c>
      <c r="B686" s="3" t="n">
        <v>45859</v>
      </c>
      <c r="C686" s="3" t="n">
        <v>45859</v>
      </c>
      <c r="D686" s="2" t="s">
        <v>41</v>
      </c>
      <c r="E686" s="2" t="s">
        <v>41</v>
      </c>
      <c r="F686" s="2" t="s">
        <v>2161</v>
      </c>
      <c r="G686" s="2" t="s">
        <v>67</v>
      </c>
      <c r="H686" s="2" t="s">
        <v>115</v>
      </c>
      <c r="I686" s="2" t="s">
        <v>74</v>
      </c>
      <c r="J686" s="2" t="s">
        <v>41</v>
      </c>
      <c r="K686" s="2" t="s">
        <v>269</v>
      </c>
      <c r="L686" s="2" t="s">
        <v>270</v>
      </c>
      <c r="M686" s="2" t="s">
        <v>61</v>
      </c>
      <c r="N686" s="2" t="s">
        <v>178</v>
      </c>
      <c r="O686" s="2" t="s">
        <v>2162</v>
      </c>
      <c r="P686" s="2" t="s">
        <v>70</v>
      </c>
      <c r="Q686" s="2" t="s">
        <v>41</v>
      </c>
      <c r="R686" s="2" t="n">
        <v>7</v>
      </c>
      <c r="S686" s="2" t="n">
        <v>4396.65</v>
      </c>
      <c r="T686" s="2" t="n">
        <v>0.2</v>
      </c>
      <c r="U686" s="2" t="str">
        <f aca="false">IF(ISBLANK(T686),"Yes","No")</f>
        <v>No</v>
      </c>
      <c r="V686" s="2" t="n">
        <f aca="false">IF(ISBLANK(T686),0,IF(ISNUMBER(T686),T686,VALUE(LEFT(T686,LEN(T686)-1))/100))</f>
        <v>0.2</v>
      </c>
      <c r="W686" s="2" t="str">
        <f aca="false">IF(AND(V686&gt;=0,V686&lt;=0.25),"Valid","Invalid")</f>
        <v>Valid</v>
      </c>
      <c r="X686" s="2" t="n">
        <v>24621.24</v>
      </c>
      <c r="Y686" s="2" t="n">
        <f aca="false">R686*S686*(1-V686)</f>
        <v>24621.24</v>
      </c>
      <c r="Z686" s="2" t="str">
        <f aca="false">IF(ABS(X686-Y686)&gt;1,"Mismatch","OK")</f>
        <v>OK</v>
      </c>
      <c r="AA686" s="2" t="n">
        <v>17155.48</v>
      </c>
      <c r="AB686" s="2" t="n">
        <v>7465.76</v>
      </c>
      <c r="AC686" s="2" t="n">
        <f aca="false">Y686-AA686</f>
        <v>7465.76</v>
      </c>
      <c r="AD686" s="2" t="str">
        <f aca="false">IF(ABS(AB686-AC686)&gt;1,"Mismatch","OK")</f>
        <v>OK</v>
      </c>
      <c r="AE686" s="4" t="n">
        <f aca="false">IF(Y686=0,0,AC686/Y686)</f>
        <v>0.303224370502867</v>
      </c>
      <c r="AF686" s="2" t="s">
        <v>122</v>
      </c>
      <c r="AG686" s="2" t="s">
        <v>88</v>
      </c>
      <c r="AH686" s="2" t="str">
        <f aca="false">IF(AND(AG686="Completed",AF686&lt;&gt;"Paid"),"Inconsistent","OK")</f>
        <v>OK</v>
      </c>
      <c r="AI686" s="2" t="n">
        <f aca="false">IF(OR(ISBLANK(B686),ISBLANK(C686)),"",C686-B686)</f>
        <v>0</v>
      </c>
      <c r="AJ686" s="2" t="str">
        <f aca="false">IF(AI686="","Unknown",IF(AI686&lt;0,"Invalid","OK"))</f>
        <v>OK</v>
      </c>
      <c r="AK686" s="2" t="str">
        <f aca="false">IF(ISBLANK(B686),"",TEXT(B686,"mmm"))</f>
        <v>Jul</v>
      </c>
      <c r="AL686" s="2" t="n">
        <f aca="false">IF(ISBLANK(B686),"",YEAR(B686))</f>
        <v>2025</v>
      </c>
      <c r="AM686" s="2" t="s">
        <v>41</v>
      </c>
      <c r="AN686" s="2" t="str">
        <f aca="false">IF(OR(W686="Invalid",AJ686="Invalid",AH686="Inconsistent",Z686="Mismatch",AD686="Mismatch",AM686="Yes",D686="Yes",E686="Yes"),"Invalid",IF(OR(J686="Yes",Q686="Yes",U686="Yes"),"Warning","Clean"))</f>
        <v>Clean</v>
      </c>
    </row>
    <row r="687" customFormat="false" ht="15" hidden="false" customHeight="false" outlineLevel="0" collapsed="false">
      <c r="A687" s="2" t="s">
        <v>2163</v>
      </c>
      <c r="B687" s="3" t="n">
        <v>45931</v>
      </c>
      <c r="C687" s="3" t="n">
        <v>45933</v>
      </c>
      <c r="D687" s="2" t="s">
        <v>41</v>
      </c>
      <c r="E687" s="2" t="s">
        <v>41</v>
      </c>
      <c r="F687" s="2" t="s">
        <v>1828</v>
      </c>
      <c r="G687" s="2" t="s">
        <v>99</v>
      </c>
      <c r="H687" s="2" t="s">
        <v>110</v>
      </c>
      <c r="I687" s="2" t="s">
        <v>83</v>
      </c>
      <c r="J687" s="2" t="s">
        <v>41</v>
      </c>
      <c r="K687" s="2" t="s">
        <v>210</v>
      </c>
      <c r="L687" s="2" t="s">
        <v>211</v>
      </c>
      <c r="M687" s="2" t="s">
        <v>48</v>
      </c>
      <c r="N687" s="2" t="s">
        <v>68</v>
      </c>
      <c r="O687" s="2" t="s">
        <v>2164</v>
      </c>
      <c r="P687" s="2" t="s">
        <v>79</v>
      </c>
      <c r="Q687" s="2" t="s">
        <v>41</v>
      </c>
      <c r="R687" s="2" t="n">
        <v>9</v>
      </c>
      <c r="S687" s="2" t="n">
        <v>818.15</v>
      </c>
      <c r="T687" s="2" t="n">
        <v>0.55</v>
      </c>
      <c r="U687" s="2" t="str">
        <f aca="false">IF(ISBLANK(T687),"Yes","No")</f>
        <v>No</v>
      </c>
      <c r="V687" s="2" t="n">
        <f aca="false">IF(ISBLANK(T687),0,IF(ISNUMBER(T687),T687,VALUE(LEFT(T687,LEN(T687)-1))/100))</f>
        <v>0.55</v>
      </c>
      <c r="W687" s="2" t="str">
        <f aca="false">IF(AND(V687&gt;=0,V687&lt;=0.25),"Valid","Invalid")</f>
        <v>Invalid</v>
      </c>
      <c r="X687" s="2" t="n">
        <v>6627.01</v>
      </c>
      <c r="Y687" s="2" t="n">
        <f aca="false">R687*S687*(1-V687)</f>
        <v>3313.5075</v>
      </c>
      <c r="Z687" s="2" t="str">
        <f aca="false">IF(ABS(X687-Y687)&gt;1,"Mismatch","OK")</f>
        <v>Mismatch</v>
      </c>
      <c r="AA687" s="2" t="n">
        <v>5606.79</v>
      </c>
      <c r="AB687" s="2" t="n">
        <v>1020.22</v>
      </c>
      <c r="AC687" s="2" t="n">
        <f aca="false">Y687-AA687</f>
        <v>-2293.2825</v>
      </c>
      <c r="AD687" s="2" t="str">
        <f aca="false">IF(ABS(AB687-AC687)&gt;1,"Mismatch","OK")</f>
        <v>Mismatch</v>
      </c>
      <c r="AE687" s="4" t="n">
        <f aca="false">IF(Y687=0,0,AC687/Y687)</f>
        <v>-0.692101194881859</v>
      </c>
      <c r="AF687" s="2" t="s">
        <v>175</v>
      </c>
      <c r="AG687" s="2" t="s">
        <v>88</v>
      </c>
      <c r="AH687" s="2" t="str">
        <f aca="false">IF(AND(AG687="Completed",AF687&lt;&gt;"Paid"),"Inconsistent","OK")</f>
        <v>OK</v>
      </c>
      <c r="AI687" s="2" t="n">
        <f aca="false">IF(OR(ISBLANK(B687),ISBLANK(C687)),"",C687-B687)</f>
        <v>2</v>
      </c>
      <c r="AJ687" s="2" t="str">
        <f aca="false">IF(AI687="","Unknown",IF(AI687&lt;0,"Invalid","OK"))</f>
        <v>OK</v>
      </c>
      <c r="AK687" s="2" t="str">
        <f aca="false">IF(ISBLANK(B687),"",TEXT(B687,"mmm"))</f>
        <v>Oct</v>
      </c>
      <c r="AL687" s="2" t="n">
        <f aca="false">IF(ISBLANK(B687),"",YEAR(B687))</f>
        <v>2025</v>
      </c>
      <c r="AM687" s="2" t="s">
        <v>41</v>
      </c>
      <c r="AN687" s="2" t="str">
        <f aca="false">IF(OR(W687="Invalid",AJ687="Invalid",AH687="Inconsistent",Z687="Mismatch",AD687="Mismatch",AM687="Yes",D687="Yes",E687="Yes"),"Invalid",IF(OR(J687="Yes",Q687="Yes",U687="Yes"),"Warning","Clean"))</f>
        <v>Invalid</v>
      </c>
    </row>
    <row r="688" customFormat="false" ht="15" hidden="false" customHeight="false" outlineLevel="0" collapsed="false">
      <c r="A688" s="2" t="s">
        <v>2165</v>
      </c>
      <c r="B688" s="3" t="n">
        <v>45376</v>
      </c>
      <c r="C688" s="3" t="n">
        <v>45384</v>
      </c>
      <c r="D688" s="2" t="s">
        <v>41</v>
      </c>
      <c r="E688" s="2" t="s">
        <v>41</v>
      </c>
      <c r="F688" s="2" t="s">
        <v>2166</v>
      </c>
      <c r="G688" s="2" t="s">
        <v>152</v>
      </c>
      <c r="H688" s="2" t="s">
        <v>115</v>
      </c>
      <c r="I688" s="2" t="s">
        <v>74</v>
      </c>
      <c r="J688" s="2" t="s">
        <v>41</v>
      </c>
      <c r="K688" s="2" t="s">
        <v>269</v>
      </c>
      <c r="L688" s="2" t="s">
        <v>270</v>
      </c>
      <c r="M688" s="2" t="s">
        <v>94</v>
      </c>
      <c r="N688" s="2" t="s">
        <v>100</v>
      </c>
      <c r="O688" s="2" t="s">
        <v>2167</v>
      </c>
      <c r="P688" s="2" t="s">
        <v>79</v>
      </c>
      <c r="Q688" s="2" t="s">
        <v>41</v>
      </c>
      <c r="R688" s="2" t="n">
        <v>2</v>
      </c>
      <c r="S688" s="2" t="n">
        <v>2349.13</v>
      </c>
      <c r="T688" s="2" t="n">
        <v>0</v>
      </c>
      <c r="U688" s="2" t="str">
        <f aca="false">IF(ISBLANK(T688),"Yes","No")</f>
        <v>No</v>
      </c>
      <c r="V688" s="2" t="n">
        <f aca="false">IF(ISBLANK(T688),0,IF(ISNUMBER(T688),T688,VALUE(LEFT(T688,LEN(T688)-1))/100))</f>
        <v>0</v>
      </c>
      <c r="W688" s="2" t="str">
        <f aca="false">IF(AND(V688&gt;=0,V688&lt;=0.25),"Valid","Invalid")</f>
        <v>Valid</v>
      </c>
      <c r="X688" s="2" t="n">
        <v>4698.26</v>
      </c>
      <c r="Y688" s="2" t="n">
        <f aca="false">R688*S688*(1-V688)</f>
        <v>4698.26</v>
      </c>
      <c r="Z688" s="2" t="str">
        <f aca="false">IF(ABS(X688-Y688)&gt;1,"Mismatch","OK")</f>
        <v>OK</v>
      </c>
      <c r="AA688" s="2" t="n">
        <v>2654.92</v>
      </c>
      <c r="AB688" s="2" t="n">
        <v>2043.34</v>
      </c>
      <c r="AC688" s="2" t="n">
        <f aca="false">Y688-AA688</f>
        <v>2043.34</v>
      </c>
      <c r="AD688" s="2" t="str">
        <f aca="false">IF(ABS(AB688-AC688)&gt;1,"Mismatch","OK")</f>
        <v>OK</v>
      </c>
      <c r="AE688" s="4" t="n">
        <f aca="false">IF(Y688=0,0,AC688/Y688)</f>
        <v>0.434914202279142</v>
      </c>
      <c r="AF688" s="2" t="s">
        <v>52</v>
      </c>
      <c r="AG688" s="2" t="s">
        <v>53</v>
      </c>
      <c r="AH688" s="2" t="str">
        <f aca="false">IF(AND(AG688="Completed",AF688&lt;&gt;"Paid"),"Inconsistent","OK")</f>
        <v>OK</v>
      </c>
      <c r="AI688" s="2" t="n">
        <f aca="false">IF(OR(ISBLANK(B688),ISBLANK(C688)),"",C688-B688)</f>
        <v>8</v>
      </c>
      <c r="AJ688" s="2" t="str">
        <f aca="false">IF(AI688="","Unknown",IF(AI688&lt;0,"Invalid","OK"))</f>
        <v>OK</v>
      </c>
      <c r="AK688" s="2" t="str">
        <f aca="false">IF(ISBLANK(B688),"",TEXT(B688,"mmm"))</f>
        <v>Mar</v>
      </c>
      <c r="AL688" s="2" t="n">
        <f aca="false">IF(ISBLANK(B688),"",YEAR(B688))</f>
        <v>2024</v>
      </c>
      <c r="AM688" s="2" t="s">
        <v>41</v>
      </c>
      <c r="AN688" s="2" t="str">
        <f aca="false">IF(OR(W688="Invalid",AJ688="Invalid",AH688="Inconsistent",Z688="Mismatch",AD688="Mismatch",AM688="Yes",D688="Yes",E688="Yes"),"Invalid",IF(OR(J688="Yes",Q688="Yes",U688="Yes"),"Warning","Clean"))</f>
        <v>Clean</v>
      </c>
    </row>
    <row r="689" customFormat="false" ht="15" hidden="false" customHeight="false" outlineLevel="0" collapsed="false">
      <c r="A689" s="2" t="s">
        <v>2168</v>
      </c>
      <c r="B689" s="3" t="n">
        <v>45938</v>
      </c>
      <c r="C689" s="3" t="n">
        <v>45943</v>
      </c>
      <c r="D689" s="2" t="s">
        <v>41</v>
      </c>
      <c r="E689" s="2" t="s">
        <v>41</v>
      </c>
      <c r="F689" s="2" t="s">
        <v>2169</v>
      </c>
      <c r="G689" s="2" t="s">
        <v>56</v>
      </c>
      <c r="H689" s="2" t="s">
        <v>115</v>
      </c>
      <c r="I689" s="2" t="s">
        <v>45</v>
      </c>
      <c r="J689" s="2" t="s">
        <v>41</v>
      </c>
      <c r="K689" s="2" t="s">
        <v>142</v>
      </c>
      <c r="L689" s="2" t="s">
        <v>143</v>
      </c>
      <c r="M689" s="2" t="s">
        <v>61</v>
      </c>
      <c r="N689" s="2" t="s">
        <v>62</v>
      </c>
      <c r="O689" s="2" t="s">
        <v>2170</v>
      </c>
      <c r="P689" s="2" t="s">
        <v>70</v>
      </c>
      <c r="Q689" s="2" t="s">
        <v>41</v>
      </c>
      <c r="R689" s="2" t="n">
        <v>4</v>
      </c>
      <c r="S689" s="2" t="n">
        <v>172.05</v>
      </c>
      <c r="T689" s="2" t="n">
        <v>0</v>
      </c>
      <c r="U689" s="2" t="str">
        <f aca="false">IF(ISBLANK(T689),"Yes","No")</f>
        <v>No</v>
      </c>
      <c r="V689" s="2" t="n">
        <f aca="false">IF(ISBLANK(T689),0,IF(ISNUMBER(T689),T689,VALUE(LEFT(T689,LEN(T689)-1))/100))</f>
        <v>0</v>
      </c>
      <c r="W689" s="2" t="str">
        <f aca="false">IF(AND(V689&gt;=0,V689&lt;=0.25),"Valid","Invalid")</f>
        <v>Valid</v>
      </c>
      <c r="X689" s="2" t="n">
        <v>688.2</v>
      </c>
      <c r="Y689" s="2" t="n">
        <f aca="false">R689*S689*(1-V689)</f>
        <v>688.2</v>
      </c>
      <c r="Z689" s="2" t="str">
        <f aca="false">IF(ABS(X689-Y689)&gt;1,"Mismatch","OK")</f>
        <v>OK</v>
      </c>
      <c r="AA689" s="2" t="n">
        <v>497.68</v>
      </c>
      <c r="AB689" s="2" t="n">
        <v>190.52</v>
      </c>
      <c r="AC689" s="2" t="n">
        <f aca="false">Y689-AA689</f>
        <v>190.52</v>
      </c>
      <c r="AD689" s="2" t="str">
        <f aca="false">IF(ABS(AB689-AC689)&gt;1,"Mismatch","OK")</f>
        <v>OK</v>
      </c>
      <c r="AE689" s="4" t="n">
        <f aca="false">IF(Y689=0,0,AC689/Y689)</f>
        <v>0.276838128451032</v>
      </c>
      <c r="AF689" s="2" t="s">
        <v>175</v>
      </c>
      <c r="AG689" s="2" t="s">
        <v>88</v>
      </c>
      <c r="AH689" s="2" t="str">
        <f aca="false">IF(AND(AG689="Completed",AF689&lt;&gt;"Paid"),"Inconsistent","OK")</f>
        <v>OK</v>
      </c>
      <c r="AI689" s="2" t="n">
        <f aca="false">IF(OR(ISBLANK(B689),ISBLANK(C689)),"",C689-B689)</f>
        <v>5</v>
      </c>
      <c r="AJ689" s="2" t="str">
        <f aca="false">IF(AI689="","Unknown",IF(AI689&lt;0,"Invalid","OK"))</f>
        <v>OK</v>
      </c>
      <c r="AK689" s="2" t="str">
        <f aca="false">IF(ISBLANK(B689),"",TEXT(B689,"mmm"))</f>
        <v>Oct</v>
      </c>
      <c r="AL689" s="2" t="n">
        <f aca="false">IF(ISBLANK(B689),"",YEAR(B689))</f>
        <v>2025</v>
      </c>
      <c r="AM689" s="2" t="s">
        <v>41</v>
      </c>
      <c r="AN689" s="2" t="str">
        <f aca="false">IF(OR(W689="Invalid",AJ689="Invalid",AH689="Inconsistent",Z689="Mismatch",AD689="Mismatch",AM689="Yes",D689="Yes",E689="Yes"),"Invalid",IF(OR(J689="Yes",Q689="Yes",U689="Yes"),"Warning","Clean"))</f>
        <v>Clean</v>
      </c>
    </row>
    <row r="690" customFormat="false" ht="15" hidden="false" customHeight="false" outlineLevel="0" collapsed="false">
      <c r="A690" s="2" t="s">
        <v>2171</v>
      </c>
      <c r="B690" s="3" t="n">
        <v>45714</v>
      </c>
      <c r="C690" s="3" t="n">
        <v>45715</v>
      </c>
      <c r="D690" s="2" t="s">
        <v>41</v>
      </c>
      <c r="E690" s="2" t="s">
        <v>41</v>
      </c>
      <c r="F690" s="2" t="s">
        <v>2172</v>
      </c>
      <c r="G690" s="2" t="s">
        <v>99</v>
      </c>
      <c r="H690" s="2" t="s">
        <v>115</v>
      </c>
      <c r="I690" s="2" t="s">
        <v>45</v>
      </c>
      <c r="J690" s="2" t="s">
        <v>41</v>
      </c>
      <c r="K690" s="2" t="s">
        <v>258</v>
      </c>
      <c r="L690" s="2" t="s">
        <v>259</v>
      </c>
      <c r="M690" s="2" t="s">
        <v>48</v>
      </c>
      <c r="N690" s="2" t="s">
        <v>68</v>
      </c>
      <c r="O690" s="2" t="s">
        <v>2173</v>
      </c>
      <c r="P690" s="2" t="s">
        <v>51</v>
      </c>
      <c r="Q690" s="2" t="s">
        <v>41</v>
      </c>
      <c r="R690" s="2" t="n">
        <v>6</v>
      </c>
      <c r="S690" s="2" t="n">
        <v>3037.66</v>
      </c>
      <c r="T690" s="2" t="n">
        <v>0.15</v>
      </c>
      <c r="U690" s="2" t="str">
        <f aca="false">IF(ISBLANK(T690),"Yes","No")</f>
        <v>No</v>
      </c>
      <c r="V690" s="2" t="n">
        <f aca="false">IF(ISBLANK(T690),0,IF(ISNUMBER(T690),T690,VALUE(LEFT(T690,LEN(T690)-1))/100))</f>
        <v>0.15</v>
      </c>
      <c r="W690" s="2" t="str">
        <f aca="false">IF(AND(V690&gt;=0,V690&lt;=0.25),"Valid","Invalid")</f>
        <v>Valid</v>
      </c>
      <c r="X690" s="2" t="n">
        <v>15492.07</v>
      </c>
      <c r="Y690" s="2" t="n">
        <f aca="false">R690*S690*(1-V690)</f>
        <v>15492.066</v>
      </c>
      <c r="Z690" s="2" t="str">
        <f aca="false">IF(ABS(X690-Y690)&gt;1,"Mismatch","OK")</f>
        <v>OK</v>
      </c>
      <c r="AA690" s="2" t="n">
        <v>12581.23</v>
      </c>
      <c r="AB690" s="2" t="n">
        <v>2910.84</v>
      </c>
      <c r="AC690" s="2" t="n">
        <f aca="false">Y690-AA690</f>
        <v>2910.836</v>
      </c>
      <c r="AD690" s="2" t="str">
        <f aca="false">IF(ABS(AB690-AC690)&gt;1,"Mismatch","OK")</f>
        <v>OK</v>
      </c>
      <c r="AE690" s="4" t="n">
        <f aca="false">IF(Y690=0,0,AC690/Y690)</f>
        <v>0.187892047451902</v>
      </c>
      <c r="AF690" s="2" t="s">
        <v>52</v>
      </c>
      <c r="AG690" s="2" t="s">
        <v>53</v>
      </c>
      <c r="AH690" s="2" t="str">
        <f aca="false">IF(AND(AG690="Completed",AF690&lt;&gt;"Paid"),"Inconsistent","OK")</f>
        <v>OK</v>
      </c>
      <c r="AI690" s="2" t="n">
        <f aca="false">IF(OR(ISBLANK(B690),ISBLANK(C690)),"",C690-B690)</f>
        <v>1</v>
      </c>
      <c r="AJ690" s="2" t="str">
        <f aca="false">IF(AI690="","Unknown",IF(AI690&lt;0,"Invalid","OK"))</f>
        <v>OK</v>
      </c>
      <c r="AK690" s="2" t="str">
        <f aca="false">IF(ISBLANK(B690),"",TEXT(B690,"mmm"))</f>
        <v>Feb</v>
      </c>
      <c r="AL690" s="2" t="n">
        <f aca="false">IF(ISBLANK(B690),"",YEAR(B690))</f>
        <v>2025</v>
      </c>
      <c r="AM690" s="2" t="s">
        <v>41</v>
      </c>
      <c r="AN690" s="2" t="str">
        <f aca="false">IF(OR(W690="Invalid",AJ690="Invalid",AH690="Inconsistent",Z690="Mismatch",AD690="Mismatch",AM690="Yes",D690="Yes",E690="Yes"),"Invalid",IF(OR(J690="Yes",Q690="Yes",U690="Yes"),"Warning","Clean"))</f>
        <v>Clean</v>
      </c>
    </row>
    <row r="691" customFormat="false" ht="15" hidden="false" customHeight="false" outlineLevel="0" collapsed="false">
      <c r="A691" s="2" t="s">
        <v>2174</v>
      </c>
      <c r="B691" s="3" t="n">
        <v>45570</v>
      </c>
      <c r="C691" s="3" t="n">
        <v>45571</v>
      </c>
      <c r="D691" s="2" t="s">
        <v>41</v>
      </c>
      <c r="E691" s="2" t="s">
        <v>41</v>
      </c>
      <c r="F691" s="2" t="s">
        <v>2175</v>
      </c>
      <c r="G691" s="2" t="s">
        <v>161</v>
      </c>
      <c r="H691" s="2" t="s">
        <v>57</v>
      </c>
      <c r="I691" s="2" t="s">
        <v>45</v>
      </c>
      <c r="J691" s="2" t="s">
        <v>41</v>
      </c>
      <c r="K691" s="2" t="s">
        <v>142</v>
      </c>
      <c r="L691" s="2" t="s">
        <v>143</v>
      </c>
      <c r="M691" s="2" t="s">
        <v>61</v>
      </c>
      <c r="N691" s="2" t="s">
        <v>62</v>
      </c>
      <c r="O691" s="2" t="s">
        <v>2176</v>
      </c>
      <c r="P691" s="2" t="s">
        <v>79</v>
      </c>
      <c r="Q691" s="2" t="s">
        <v>41</v>
      </c>
      <c r="R691" s="2" t="n">
        <v>9</v>
      </c>
      <c r="S691" s="2" t="n">
        <v>489.58</v>
      </c>
      <c r="T691" s="2" t="n">
        <v>0.15</v>
      </c>
      <c r="U691" s="2" t="str">
        <f aca="false">IF(ISBLANK(T691),"Yes","No")</f>
        <v>No</v>
      </c>
      <c r="V691" s="2" t="n">
        <f aca="false">IF(ISBLANK(T691),0,IF(ISNUMBER(T691),T691,VALUE(LEFT(T691,LEN(T691)-1))/100))</f>
        <v>0.15</v>
      </c>
      <c r="W691" s="2" t="str">
        <f aca="false">IF(AND(V691&gt;=0,V691&lt;=0.25),"Valid","Invalid")</f>
        <v>Valid</v>
      </c>
      <c r="X691" s="2" t="n">
        <v>3745.29</v>
      </c>
      <c r="Y691" s="2" t="n">
        <f aca="false">R691*S691*(1-V691)</f>
        <v>3745.287</v>
      </c>
      <c r="Z691" s="2" t="str">
        <f aca="false">IF(ABS(X691-Y691)&gt;1,"Mismatch","OK")</f>
        <v>OK</v>
      </c>
      <c r="AA691" s="2" t="n">
        <v>2302.65</v>
      </c>
      <c r="AB691" s="2" t="n">
        <v>1442.64</v>
      </c>
      <c r="AC691" s="2" t="n">
        <f aca="false">Y691-AA691</f>
        <v>1442.637</v>
      </c>
      <c r="AD691" s="2" t="str">
        <f aca="false">IF(ABS(AB691-AC691)&gt;1,"Mismatch","OK")</f>
        <v>OK</v>
      </c>
      <c r="AE691" s="4" t="n">
        <f aca="false">IF(Y691=0,0,AC691/Y691)</f>
        <v>0.385187303402917</v>
      </c>
      <c r="AF691" s="2" t="s">
        <v>175</v>
      </c>
      <c r="AG691" s="2" t="s">
        <v>88</v>
      </c>
      <c r="AH691" s="2" t="str">
        <f aca="false">IF(AND(AG691="Completed",AF691&lt;&gt;"Paid"),"Inconsistent","OK")</f>
        <v>OK</v>
      </c>
      <c r="AI691" s="2" t="n">
        <f aca="false">IF(OR(ISBLANK(B691),ISBLANK(C691)),"",C691-B691)</f>
        <v>1</v>
      </c>
      <c r="AJ691" s="2" t="str">
        <f aca="false">IF(AI691="","Unknown",IF(AI691&lt;0,"Invalid","OK"))</f>
        <v>OK</v>
      </c>
      <c r="AK691" s="2" t="str">
        <f aca="false">IF(ISBLANK(B691),"",TEXT(B691,"mmm"))</f>
        <v>Oct</v>
      </c>
      <c r="AL691" s="2" t="n">
        <f aca="false">IF(ISBLANK(B691),"",YEAR(B691))</f>
        <v>2024</v>
      </c>
      <c r="AM691" s="2" t="s">
        <v>41</v>
      </c>
      <c r="AN691" s="2" t="str">
        <f aca="false">IF(OR(W691="Invalid",AJ691="Invalid",AH691="Inconsistent",Z691="Mismatch",AD691="Mismatch",AM691="Yes",D691="Yes",E691="Yes"),"Invalid",IF(OR(J691="Yes",Q691="Yes",U691="Yes"),"Warning","Clean"))</f>
        <v>Clean</v>
      </c>
    </row>
    <row r="692" customFormat="false" ht="15" hidden="false" customHeight="false" outlineLevel="0" collapsed="false">
      <c r="A692" s="2" t="s">
        <v>2177</v>
      </c>
      <c r="B692" s="3" t="n">
        <v>45546</v>
      </c>
      <c r="C692" s="3" t="n">
        <v>45550</v>
      </c>
      <c r="D692" s="2" t="s">
        <v>41</v>
      </c>
      <c r="E692" s="2" t="s">
        <v>41</v>
      </c>
      <c r="F692" s="2" t="s">
        <v>2178</v>
      </c>
      <c r="G692" s="2" t="s">
        <v>152</v>
      </c>
      <c r="H692" s="2" t="s">
        <v>110</v>
      </c>
      <c r="I692" s="2" t="s">
        <v>74</v>
      </c>
      <c r="J692" s="2" t="s">
        <v>41</v>
      </c>
      <c r="K692" s="2" t="s">
        <v>269</v>
      </c>
      <c r="L692" s="2" t="s">
        <v>270</v>
      </c>
      <c r="M692" s="2" t="s">
        <v>48</v>
      </c>
      <c r="N692" s="2" t="s">
        <v>68</v>
      </c>
      <c r="O692" s="2" t="s">
        <v>2179</v>
      </c>
      <c r="P692" s="2" t="s">
        <v>79</v>
      </c>
      <c r="Q692" s="2" t="s">
        <v>41</v>
      </c>
      <c r="R692" s="2" t="n">
        <v>4</v>
      </c>
      <c r="S692" s="2" t="n">
        <v>865.63</v>
      </c>
      <c r="T692" s="2" t="n">
        <v>0</v>
      </c>
      <c r="U692" s="2" t="str">
        <f aca="false">IF(ISBLANK(T692),"Yes","No")</f>
        <v>No</v>
      </c>
      <c r="V692" s="2" t="n">
        <f aca="false">IF(ISBLANK(T692),0,IF(ISNUMBER(T692),T692,VALUE(LEFT(T692,LEN(T692)-1))/100))</f>
        <v>0</v>
      </c>
      <c r="W692" s="2" t="str">
        <f aca="false">IF(AND(V692&gt;=0,V692&lt;=0.25),"Valid","Invalid")</f>
        <v>Valid</v>
      </c>
      <c r="X692" s="2" t="n">
        <v>3462.52</v>
      </c>
      <c r="Y692" s="2" t="n">
        <f aca="false">R692*S692*(1-V692)</f>
        <v>3462.52</v>
      </c>
      <c r="Z692" s="2" t="str">
        <f aca="false">IF(ABS(X692-Y692)&gt;1,"Mismatch","OK")</f>
        <v>OK</v>
      </c>
      <c r="AA692" s="2" t="n">
        <v>2797.29</v>
      </c>
      <c r="AB692" s="2" t="n">
        <v>665.23</v>
      </c>
      <c r="AC692" s="2" t="n">
        <f aca="false">Y692-AA692</f>
        <v>665.23</v>
      </c>
      <c r="AD692" s="2" t="str">
        <f aca="false">IF(ABS(AB692-AC692)&gt;1,"Mismatch","OK")</f>
        <v>OK</v>
      </c>
      <c r="AE692" s="4" t="n">
        <f aca="false">IF(Y692=0,0,AC692/Y692)</f>
        <v>0.192123077989441</v>
      </c>
      <c r="AF692" s="2" t="s">
        <v>175</v>
      </c>
      <c r="AG692" s="2" t="s">
        <v>123</v>
      </c>
      <c r="AH692" s="2" t="str">
        <f aca="false">IF(AND(AG692="Completed",AF692&lt;&gt;"Paid"),"Inconsistent","OK")</f>
        <v>OK</v>
      </c>
      <c r="AI692" s="2" t="n">
        <f aca="false">IF(OR(ISBLANK(B692),ISBLANK(C692)),"",C692-B692)</f>
        <v>4</v>
      </c>
      <c r="AJ692" s="2" t="str">
        <f aca="false">IF(AI692="","Unknown",IF(AI692&lt;0,"Invalid","OK"))</f>
        <v>OK</v>
      </c>
      <c r="AK692" s="2" t="str">
        <f aca="false">IF(ISBLANK(B692),"",TEXT(B692,"mmm"))</f>
        <v>Sep</v>
      </c>
      <c r="AL692" s="2" t="n">
        <f aca="false">IF(ISBLANK(B692),"",YEAR(B692))</f>
        <v>2024</v>
      </c>
      <c r="AM692" s="2" t="s">
        <v>41</v>
      </c>
      <c r="AN692" s="2" t="str">
        <f aca="false">IF(OR(W692="Invalid",AJ692="Invalid",AH692="Inconsistent",Z692="Mismatch",AD692="Mismatch",AM692="Yes",D692="Yes",E692="Yes"),"Invalid",IF(OR(J692="Yes",Q692="Yes",U692="Yes"),"Warning","Clean"))</f>
        <v>Clean</v>
      </c>
    </row>
    <row r="693" customFormat="false" ht="15" hidden="false" customHeight="false" outlineLevel="0" collapsed="false">
      <c r="A693" s="2" t="s">
        <v>2180</v>
      </c>
      <c r="B693" s="3" t="n">
        <v>45641</v>
      </c>
      <c r="C693" s="3" t="n">
        <v>45642</v>
      </c>
      <c r="D693" s="2" t="s">
        <v>41</v>
      </c>
      <c r="E693" s="2" t="s">
        <v>41</v>
      </c>
      <c r="F693" s="2" t="s">
        <v>2181</v>
      </c>
      <c r="G693" s="2" t="s">
        <v>161</v>
      </c>
      <c r="H693" s="2" t="s">
        <v>44</v>
      </c>
      <c r="I693" s="2" t="s">
        <v>58</v>
      </c>
      <c r="J693" s="2" t="s">
        <v>41</v>
      </c>
      <c r="K693" s="2" t="s">
        <v>59</v>
      </c>
      <c r="L693" s="2" t="s">
        <v>60</v>
      </c>
      <c r="M693" s="2" t="s">
        <v>94</v>
      </c>
      <c r="N693" s="2" t="s">
        <v>100</v>
      </c>
      <c r="O693" s="2" t="s">
        <v>2182</v>
      </c>
      <c r="P693" s="2" t="s">
        <v>51</v>
      </c>
      <c r="Q693" s="2" t="s">
        <v>41</v>
      </c>
      <c r="R693" s="2" t="n">
        <v>6</v>
      </c>
      <c r="S693" s="2" t="n">
        <v>1538.1</v>
      </c>
      <c r="T693" s="2" t="n">
        <v>0.05</v>
      </c>
      <c r="U693" s="2" t="str">
        <f aca="false">IF(ISBLANK(T693),"Yes","No")</f>
        <v>No</v>
      </c>
      <c r="V693" s="2" t="n">
        <f aca="false">IF(ISBLANK(T693),0,IF(ISNUMBER(T693),T693,VALUE(LEFT(T693,LEN(T693)-1))/100))</f>
        <v>0.05</v>
      </c>
      <c r="W693" s="2" t="str">
        <f aca="false">IF(AND(V693&gt;=0,V693&lt;=0.25),"Valid","Invalid")</f>
        <v>Valid</v>
      </c>
      <c r="X693" s="2" t="n">
        <v>8767.17</v>
      </c>
      <c r="Y693" s="2" t="n">
        <f aca="false">R693*S693*(1-V693)</f>
        <v>8767.17</v>
      </c>
      <c r="Z693" s="2" t="str">
        <f aca="false">IF(ABS(X693-Y693)&gt;1,"Mismatch","OK")</f>
        <v>OK</v>
      </c>
      <c r="AA693" s="2" t="n">
        <v>5098.2</v>
      </c>
      <c r="AB693" s="2" t="n">
        <v>3668.97</v>
      </c>
      <c r="AC693" s="2" t="n">
        <f aca="false">Y693-AA693</f>
        <v>3668.97</v>
      </c>
      <c r="AD693" s="2" t="str">
        <f aca="false">IF(ABS(AB693-AC693)&gt;1,"Mismatch","OK")</f>
        <v>OK</v>
      </c>
      <c r="AE693" s="4" t="n">
        <f aca="false">IF(Y693=0,0,AC693/Y693)</f>
        <v>0.418489660859776</v>
      </c>
      <c r="AF693" s="2" t="s">
        <v>52</v>
      </c>
      <c r="AG693" s="2" t="s">
        <v>53</v>
      </c>
      <c r="AH693" s="2" t="str">
        <f aca="false">IF(AND(AG693="Completed",AF693&lt;&gt;"Paid"),"Inconsistent","OK")</f>
        <v>OK</v>
      </c>
      <c r="AI693" s="2" t="n">
        <f aca="false">IF(OR(ISBLANK(B693),ISBLANK(C693)),"",C693-B693)</f>
        <v>1</v>
      </c>
      <c r="AJ693" s="2" t="str">
        <f aca="false">IF(AI693="","Unknown",IF(AI693&lt;0,"Invalid","OK"))</f>
        <v>OK</v>
      </c>
      <c r="AK693" s="2" t="str">
        <f aca="false">IF(ISBLANK(B693),"",TEXT(B693,"mmm"))</f>
        <v>Dec</v>
      </c>
      <c r="AL693" s="2" t="n">
        <f aca="false">IF(ISBLANK(B693),"",YEAR(B693))</f>
        <v>2024</v>
      </c>
      <c r="AM693" s="2" t="s">
        <v>41</v>
      </c>
      <c r="AN693" s="2" t="str">
        <f aca="false">IF(OR(W693="Invalid",AJ693="Invalid",AH693="Inconsistent",Z693="Mismatch",AD693="Mismatch",AM693="Yes",D693="Yes",E693="Yes"),"Invalid",IF(OR(J693="Yes",Q693="Yes",U693="Yes"),"Warning","Clean"))</f>
        <v>Clean</v>
      </c>
    </row>
    <row r="694" customFormat="false" ht="15" hidden="false" customHeight="false" outlineLevel="0" collapsed="false">
      <c r="A694" s="2" t="s">
        <v>2183</v>
      </c>
      <c r="B694" s="3" t="n">
        <v>45935</v>
      </c>
      <c r="C694" s="3" t="n">
        <v>45940</v>
      </c>
      <c r="D694" s="2" t="s">
        <v>41</v>
      </c>
      <c r="E694" s="2" t="s">
        <v>41</v>
      </c>
      <c r="F694" s="2" t="s">
        <v>2184</v>
      </c>
      <c r="G694" s="2" t="s">
        <v>67</v>
      </c>
      <c r="H694" s="2" t="s">
        <v>110</v>
      </c>
      <c r="I694" s="2" t="s">
        <v>74</v>
      </c>
      <c r="J694" s="2" t="s">
        <v>41</v>
      </c>
      <c r="K694" s="2" t="s">
        <v>195</v>
      </c>
      <c r="L694" s="2" t="s">
        <v>196</v>
      </c>
      <c r="M694" s="2" t="s">
        <v>61</v>
      </c>
      <c r="N694" s="2" t="s">
        <v>77</v>
      </c>
      <c r="O694" s="2" t="s">
        <v>2185</v>
      </c>
      <c r="P694" s="2" t="s">
        <v>51</v>
      </c>
      <c r="Q694" s="2" t="s">
        <v>41</v>
      </c>
      <c r="R694" s="2" t="n">
        <v>4</v>
      </c>
      <c r="S694" s="2" t="n">
        <v>2365.68</v>
      </c>
      <c r="T694" s="2" t="n">
        <v>0.1</v>
      </c>
      <c r="U694" s="2" t="str">
        <f aca="false">IF(ISBLANK(T694),"Yes","No")</f>
        <v>No</v>
      </c>
      <c r="V694" s="2" t="n">
        <f aca="false">IF(ISBLANK(T694),0,IF(ISNUMBER(T694),T694,VALUE(LEFT(T694,LEN(T694)-1))/100))</f>
        <v>0.1</v>
      </c>
      <c r="W694" s="2" t="str">
        <f aca="false">IF(AND(V694&gt;=0,V694&lt;=0.25),"Valid","Invalid")</f>
        <v>Valid</v>
      </c>
      <c r="X694" s="2" t="n">
        <v>8516.45</v>
      </c>
      <c r="Y694" s="2" t="n">
        <f aca="false">R694*S694*(1-V694)</f>
        <v>8516.448</v>
      </c>
      <c r="Z694" s="2" t="str">
        <f aca="false">IF(ABS(X694-Y694)&gt;1,"Mismatch","OK")</f>
        <v>OK</v>
      </c>
      <c r="AA694" s="2" t="n">
        <v>5903.81</v>
      </c>
      <c r="AB694" s="2" t="n">
        <v>2612.64</v>
      </c>
      <c r="AC694" s="2" t="n">
        <f aca="false">Y694-AA694</f>
        <v>2612.638</v>
      </c>
      <c r="AD694" s="2" t="str">
        <f aca="false">IF(ABS(AB694-AC694)&gt;1,"Mismatch","OK")</f>
        <v>OK</v>
      </c>
      <c r="AE694" s="4" t="n">
        <f aca="false">IF(Y694=0,0,AC694/Y694)</f>
        <v>0.306775547740091</v>
      </c>
      <c r="AF694" s="2" t="s">
        <v>52</v>
      </c>
      <c r="AG694" s="2" t="s">
        <v>53</v>
      </c>
      <c r="AH694" s="2" t="str">
        <f aca="false">IF(AND(AG694="Completed",AF694&lt;&gt;"Paid"),"Inconsistent","OK")</f>
        <v>OK</v>
      </c>
      <c r="AI694" s="2" t="n">
        <f aca="false">IF(OR(ISBLANK(B694),ISBLANK(C694)),"",C694-B694)</f>
        <v>5</v>
      </c>
      <c r="AJ694" s="2" t="str">
        <f aca="false">IF(AI694="","Unknown",IF(AI694&lt;0,"Invalid","OK"))</f>
        <v>OK</v>
      </c>
      <c r="AK694" s="2" t="str">
        <f aca="false">IF(ISBLANK(B694),"",TEXT(B694,"mmm"))</f>
        <v>Oct</v>
      </c>
      <c r="AL694" s="2" t="n">
        <f aca="false">IF(ISBLANK(B694),"",YEAR(B694))</f>
        <v>2025</v>
      </c>
      <c r="AM694" s="2" t="s">
        <v>41</v>
      </c>
      <c r="AN694" s="2" t="str">
        <f aca="false">IF(OR(W694="Invalid",AJ694="Invalid",AH694="Inconsistent",Z694="Mismatch",AD694="Mismatch",AM694="Yes",D694="Yes",E694="Yes"),"Invalid",IF(OR(J694="Yes",Q694="Yes",U694="Yes"),"Warning","Clean"))</f>
        <v>Clean</v>
      </c>
    </row>
    <row r="695" customFormat="false" ht="15" hidden="false" customHeight="false" outlineLevel="0" collapsed="false">
      <c r="A695" s="2" t="s">
        <v>2186</v>
      </c>
      <c r="B695" s="3" t="n">
        <v>45750</v>
      </c>
      <c r="C695" s="3" t="n">
        <v>45758</v>
      </c>
      <c r="D695" s="2" t="s">
        <v>41</v>
      </c>
      <c r="E695" s="2" t="s">
        <v>41</v>
      </c>
      <c r="F695" s="2" t="s">
        <v>2187</v>
      </c>
      <c r="G695" s="2" t="s">
        <v>73</v>
      </c>
      <c r="H695" s="2" t="s">
        <v>44</v>
      </c>
      <c r="I695" s="2" t="s">
        <v>74</v>
      </c>
      <c r="J695" s="2" t="s">
        <v>41</v>
      </c>
      <c r="K695" s="2" t="s">
        <v>269</v>
      </c>
      <c r="L695" s="2" t="s">
        <v>270</v>
      </c>
      <c r="M695" s="2" t="s">
        <v>61</v>
      </c>
      <c r="N695" s="2" t="s">
        <v>178</v>
      </c>
      <c r="O695" s="2" t="s">
        <v>2188</v>
      </c>
      <c r="P695" s="2" t="s">
        <v>51</v>
      </c>
      <c r="Q695" s="2" t="s">
        <v>41</v>
      </c>
      <c r="R695" s="2" t="n">
        <v>3</v>
      </c>
      <c r="S695" s="2" t="n">
        <v>4149.77</v>
      </c>
      <c r="T695" s="2" t="n">
        <v>0.05</v>
      </c>
      <c r="U695" s="2" t="str">
        <f aca="false">IF(ISBLANK(T695),"Yes","No")</f>
        <v>No</v>
      </c>
      <c r="V695" s="2" t="n">
        <f aca="false">IF(ISBLANK(T695),0,IF(ISNUMBER(T695),T695,VALUE(LEFT(T695,LEN(T695)-1))/100))</f>
        <v>0.05</v>
      </c>
      <c r="W695" s="2" t="str">
        <f aca="false">IF(AND(V695&gt;=0,V695&lt;=0.25),"Valid","Invalid")</f>
        <v>Valid</v>
      </c>
      <c r="X695" s="2" t="n">
        <v>11826.84</v>
      </c>
      <c r="Y695" s="2" t="n">
        <f aca="false">R695*S695*(1-V695)</f>
        <v>11826.8445</v>
      </c>
      <c r="Z695" s="2" t="str">
        <f aca="false">IF(ABS(X695-Y695)&gt;1,"Mismatch","OK")</f>
        <v>OK</v>
      </c>
      <c r="AA695" s="2" t="n">
        <v>8035.96</v>
      </c>
      <c r="AB695" s="2" t="n">
        <v>3790.88</v>
      </c>
      <c r="AC695" s="2" t="n">
        <f aca="false">Y695-AA695</f>
        <v>3790.8845</v>
      </c>
      <c r="AD695" s="2" t="str">
        <f aca="false">IF(ABS(AB695-AC695)&gt;1,"Mismatch","OK")</f>
        <v>OK</v>
      </c>
      <c r="AE695" s="4" t="n">
        <f aca="false">IF(Y695=0,0,AC695/Y695)</f>
        <v>0.320532201129388</v>
      </c>
      <c r="AF695" s="2" t="s">
        <v>52</v>
      </c>
      <c r="AG695" s="2" t="s">
        <v>53</v>
      </c>
      <c r="AH695" s="2" t="str">
        <f aca="false">IF(AND(AG695="Completed",AF695&lt;&gt;"Paid"),"Inconsistent","OK")</f>
        <v>OK</v>
      </c>
      <c r="AI695" s="2" t="n">
        <f aca="false">IF(OR(ISBLANK(B695),ISBLANK(C695)),"",C695-B695)</f>
        <v>8</v>
      </c>
      <c r="AJ695" s="2" t="str">
        <f aca="false">IF(AI695="","Unknown",IF(AI695&lt;0,"Invalid","OK"))</f>
        <v>OK</v>
      </c>
      <c r="AK695" s="2" t="str">
        <f aca="false">IF(ISBLANK(B695),"",TEXT(B695,"mmm"))</f>
        <v>Apr</v>
      </c>
      <c r="AL695" s="2" t="n">
        <f aca="false">IF(ISBLANK(B695),"",YEAR(B695))</f>
        <v>2025</v>
      </c>
      <c r="AM695" s="2" t="s">
        <v>41</v>
      </c>
      <c r="AN695" s="2" t="str">
        <f aca="false">IF(OR(W695="Invalid",AJ695="Invalid",AH695="Inconsistent",Z695="Mismatch",AD695="Mismatch",AM695="Yes",D695="Yes",E695="Yes"),"Invalid",IF(OR(J695="Yes",Q695="Yes",U695="Yes"),"Warning","Clean"))</f>
        <v>Clean</v>
      </c>
    </row>
    <row r="696" customFormat="false" ht="15" hidden="false" customHeight="false" outlineLevel="0" collapsed="false">
      <c r="A696" s="2" t="s">
        <v>2189</v>
      </c>
      <c r="B696" s="3" t="n">
        <v>45870</v>
      </c>
      <c r="C696" s="3" t="n">
        <v>45878</v>
      </c>
      <c r="D696" s="2" t="s">
        <v>41</v>
      </c>
      <c r="E696" s="2" t="s">
        <v>41</v>
      </c>
      <c r="F696" s="2" t="s">
        <v>1160</v>
      </c>
      <c r="G696" s="2" t="s">
        <v>67</v>
      </c>
      <c r="H696" s="2" t="s">
        <v>44</v>
      </c>
      <c r="I696" s="2" t="s">
        <v>74</v>
      </c>
      <c r="J696" s="2" t="s">
        <v>41</v>
      </c>
      <c r="K696" s="2" t="s">
        <v>104</v>
      </c>
      <c r="L696" s="2" t="s">
        <v>105</v>
      </c>
      <c r="M696" s="2" t="s">
        <v>48</v>
      </c>
      <c r="N696" s="2" t="s">
        <v>144</v>
      </c>
      <c r="O696" s="2" t="s">
        <v>2190</v>
      </c>
      <c r="P696" s="2" t="s">
        <v>70</v>
      </c>
      <c r="Q696" s="2" t="s">
        <v>41</v>
      </c>
      <c r="R696" s="2" t="n">
        <v>5</v>
      </c>
      <c r="S696" s="2" t="n">
        <v>2736.24</v>
      </c>
      <c r="T696" s="2" t="n">
        <v>0.15</v>
      </c>
      <c r="U696" s="2" t="str">
        <f aca="false">IF(ISBLANK(T696),"Yes","No")</f>
        <v>No</v>
      </c>
      <c r="V696" s="2" t="n">
        <f aca="false">IF(ISBLANK(T696),0,IF(ISNUMBER(T696),T696,VALUE(LEFT(T696,LEN(T696)-1))/100))</f>
        <v>0.15</v>
      </c>
      <c r="W696" s="2" t="str">
        <f aca="false">IF(AND(V696&gt;=0,V696&lt;=0.25),"Valid","Invalid")</f>
        <v>Valid</v>
      </c>
      <c r="X696" s="2" t="n">
        <v>11629.02</v>
      </c>
      <c r="Y696" s="2" t="n">
        <f aca="false">R696*S696*(1-V696)</f>
        <v>11629.02</v>
      </c>
      <c r="Z696" s="2" t="str">
        <f aca="false">IF(ABS(X696-Y696)&gt;1,"Mismatch","OK")</f>
        <v>OK</v>
      </c>
      <c r="AA696" s="2" t="n">
        <v>9627.21</v>
      </c>
      <c r="AB696" s="2" t="n">
        <v>2001.81</v>
      </c>
      <c r="AC696" s="2" t="n">
        <f aca="false">Y696-AA696</f>
        <v>2001.81</v>
      </c>
      <c r="AD696" s="2" t="str">
        <f aca="false">IF(ABS(AB696-AC696)&gt;1,"Mismatch","OK")</f>
        <v>OK</v>
      </c>
      <c r="AE696" s="4" t="n">
        <f aca="false">IF(Y696=0,0,AC696/Y696)</f>
        <v>0.172139182837419</v>
      </c>
      <c r="AF696" s="2" t="s">
        <v>52</v>
      </c>
      <c r="AG696" s="2" t="s">
        <v>53</v>
      </c>
      <c r="AH696" s="2" t="str">
        <f aca="false">IF(AND(AG696="Completed",AF696&lt;&gt;"Paid"),"Inconsistent","OK")</f>
        <v>OK</v>
      </c>
      <c r="AI696" s="2" t="n">
        <f aca="false">IF(OR(ISBLANK(B696),ISBLANK(C696)),"",C696-B696)</f>
        <v>8</v>
      </c>
      <c r="AJ696" s="2" t="str">
        <f aca="false">IF(AI696="","Unknown",IF(AI696&lt;0,"Invalid","OK"))</f>
        <v>OK</v>
      </c>
      <c r="AK696" s="2" t="str">
        <f aca="false">IF(ISBLANK(B696),"",TEXT(B696,"mmm"))</f>
        <v>Aug</v>
      </c>
      <c r="AL696" s="2" t="n">
        <f aca="false">IF(ISBLANK(B696),"",YEAR(B696))</f>
        <v>2025</v>
      </c>
      <c r="AM696" s="2" t="s">
        <v>41</v>
      </c>
      <c r="AN696" s="2" t="str">
        <f aca="false">IF(OR(W696="Invalid",AJ696="Invalid",AH696="Inconsistent",Z696="Mismatch",AD696="Mismatch",AM696="Yes",D696="Yes",E696="Yes"),"Invalid",IF(OR(J696="Yes",Q696="Yes",U696="Yes"),"Warning","Clean"))</f>
        <v>Clean</v>
      </c>
    </row>
    <row r="697" customFormat="false" ht="15" hidden="false" customHeight="false" outlineLevel="0" collapsed="false">
      <c r="A697" s="2" t="s">
        <v>2191</v>
      </c>
      <c r="B697" s="3" t="n">
        <v>45474</v>
      </c>
      <c r="C697" s="3" t="n">
        <v>45474</v>
      </c>
      <c r="D697" s="2" t="s">
        <v>41</v>
      </c>
      <c r="E697" s="2" t="s">
        <v>41</v>
      </c>
      <c r="F697" s="2" t="s">
        <v>2192</v>
      </c>
      <c r="G697" s="2" t="s">
        <v>148</v>
      </c>
      <c r="H697" s="2" t="s">
        <v>44</v>
      </c>
      <c r="I697" s="2" t="s">
        <v>83</v>
      </c>
      <c r="J697" s="2" t="s">
        <v>41</v>
      </c>
      <c r="K697" s="2" t="s">
        <v>92</v>
      </c>
      <c r="L697" s="2" t="s">
        <v>93</v>
      </c>
      <c r="M697" s="2" t="s">
        <v>94</v>
      </c>
      <c r="N697" s="2" t="s">
        <v>296</v>
      </c>
      <c r="O697" s="2" t="s">
        <v>2193</v>
      </c>
      <c r="P697" s="2" t="s">
        <v>79</v>
      </c>
      <c r="Q697" s="2" t="s">
        <v>41</v>
      </c>
      <c r="R697" s="2" t="n">
        <v>4</v>
      </c>
      <c r="S697" s="2" t="n">
        <v>257.39</v>
      </c>
      <c r="T697" s="2" t="n">
        <v>0</v>
      </c>
      <c r="U697" s="2" t="str">
        <f aca="false">IF(ISBLANK(T697),"Yes","No")</f>
        <v>No</v>
      </c>
      <c r="V697" s="2" t="n">
        <f aca="false">IF(ISBLANK(T697),0,IF(ISNUMBER(T697),T697,VALUE(LEFT(T697,LEN(T697)-1))/100))</f>
        <v>0</v>
      </c>
      <c r="W697" s="2" t="str">
        <f aca="false">IF(AND(V697&gt;=0,V697&lt;=0.25),"Valid","Invalid")</f>
        <v>Valid</v>
      </c>
      <c r="X697" s="2" t="n">
        <v>1029.56</v>
      </c>
      <c r="Y697" s="2" t="n">
        <f aca="false">R697*S697*(1-V697)</f>
        <v>1029.56</v>
      </c>
      <c r="Z697" s="2" t="str">
        <f aca="false">IF(ABS(X697-Y697)&gt;1,"Mismatch","OK")</f>
        <v>OK</v>
      </c>
      <c r="AA697" s="2" t="n">
        <v>626.33</v>
      </c>
      <c r="AB697" s="2" t="n">
        <v>403.23</v>
      </c>
      <c r="AC697" s="2" t="n">
        <f aca="false">Y697-AA697</f>
        <v>403.23</v>
      </c>
      <c r="AD697" s="2" t="str">
        <f aca="false">IF(ABS(AB697-AC697)&gt;1,"Mismatch","OK")</f>
        <v>OK</v>
      </c>
      <c r="AE697" s="4" t="n">
        <f aca="false">IF(Y697=0,0,AC697/Y697)</f>
        <v>0.391652744861883</v>
      </c>
      <c r="AF697" s="2" t="s">
        <v>52</v>
      </c>
      <c r="AG697" s="2" t="s">
        <v>53</v>
      </c>
      <c r="AH697" s="2" t="str">
        <f aca="false">IF(AND(AG697="Completed",AF697&lt;&gt;"Paid"),"Inconsistent","OK")</f>
        <v>OK</v>
      </c>
      <c r="AI697" s="2" t="n">
        <f aca="false">IF(OR(ISBLANK(B697),ISBLANK(C697)),"",C697-B697)</f>
        <v>0</v>
      </c>
      <c r="AJ697" s="2" t="str">
        <f aca="false">IF(AI697="","Unknown",IF(AI697&lt;0,"Invalid","OK"))</f>
        <v>OK</v>
      </c>
      <c r="AK697" s="2" t="str">
        <f aca="false">IF(ISBLANK(B697),"",TEXT(B697,"mmm"))</f>
        <v>Jul</v>
      </c>
      <c r="AL697" s="2" t="n">
        <f aca="false">IF(ISBLANK(B697),"",YEAR(B697))</f>
        <v>2024</v>
      </c>
      <c r="AM697" s="2" t="s">
        <v>41</v>
      </c>
      <c r="AN697" s="2" t="str">
        <f aca="false">IF(OR(W697="Invalid",AJ697="Invalid",AH697="Inconsistent",Z697="Mismatch",AD697="Mismatch",AM697="Yes",D697="Yes",E697="Yes"),"Invalid",IF(OR(J697="Yes",Q697="Yes",U697="Yes"),"Warning","Clean"))</f>
        <v>Clean</v>
      </c>
    </row>
    <row r="698" customFormat="false" ht="15" hidden="false" customHeight="false" outlineLevel="0" collapsed="false">
      <c r="A698" s="2" t="s">
        <v>2194</v>
      </c>
      <c r="B698" s="3" t="n">
        <v>45922</v>
      </c>
      <c r="C698" s="3" t="n">
        <v>45925</v>
      </c>
      <c r="D698" s="2" t="s">
        <v>41</v>
      </c>
      <c r="E698" s="2" t="s">
        <v>41</v>
      </c>
      <c r="F698" s="2" t="s">
        <v>2195</v>
      </c>
      <c r="G698" s="2" t="s">
        <v>67</v>
      </c>
      <c r="H698" s="2" t="s">
        <v>57</v>
      </c>
      <c r="I698" s="2" t="s">
        <v>74</v>
      </c>
      <c r="J698" s="2" t="s">
        <v>41</v>
      </c>
      <c r="K698" s="2" t="s">
        <v>205</v>
      </c>
      <c r="L698" s="2" t="s">
        <v>206</v>
      </c>
      <c r="M698" s="2" t="s">
        <v>94</v>
      </c>
      <c r="N698" s="2" t="s">
        <v>191</v>
      </c>
      <c r="O698" s="2" t="s">
        <v>2196</v>
      </c>
      <c r="P698" s="2" t="s">
        <v>225</v>
      </c>
      <c r="Q698" s="2" t="s">
        <v>226</v>
      </c>
      <c r="R698" s="2" t="n">
        <v>4</v>
      </c>
      <c r="S698" s="2" t="n">
        <v>1178.84</v>
      </c>
      <c r="T698" s="2" t="n">
        <v>0.25</v>
      </c>
      <c r="U698" s="2" t="str">
        <f aca="false">IF(ISBLANK(T698),"Yes","No")</f>
        <v>No</v>
      </c>
      <c r="V698" s="2" t="n">
        <f aca="false">IF(ISBLANK(T698),0,IF(ISNUMBER(T698),T698,VALUE(LEFT(T698,LEN(T698)-1))/100))</f>
        <v>0.25</v>
      </c>
      <c r="W698" s="2" t="str">
        <f aca="false">IF(AND(V698&gt;=0,V698&lt;=0.25),"Valid","Invalid")</f>
        <v>Valid</v>
      </c>
      <c r="X698" s="2" t="n">
        <v>3536.52</v>
      </c>
      <c r="Y698" s="2" t="n">
        <f aca="false">R698*S698*(1-V698)</f>
        <v>3536.52</v>
      </c>
      <c r="Z698" s="2" t="str">
        <f aca="false">IF(ABS(X698-Y698)&gt;1,"Mismatch","OK")</f>
        <v>OK</v>
      </c>
      <c r="AA698" s="2" t="n">
        <v>2102.41</v>
      </c>
      <c r="AB698" s="2" t="n">
        <v>1363.28</v>
      </c>
      <c r="AC698" s="2" t="n">
        <f aca="false">Y698-AA698</f>
        <v>1434.11</v>
      </c>
      <c r="AD698" s="2" t="str">
        <f aca="false">IF(ABS(AB698-AC698)&gt;1,"Mismatch","OK")</f>
        <v>Mismatch</v>
      </c>
      <c r="AE698" s="4" t="n">
        <f aca="false">IF(Y698=0,0,AC698/Y698)</f>
        <v>0.405514460543133</v>
      </c>
      <c r="AF698" s="2" t="s">
        <v>52</v>
      </c>
      <c r="AG698" s="2" t="s">
        <v>53</v>
      </c>
      <c r="AH698" s="2" t="str">
        <f aca="false">IF(AND(AG698="Completed",AF698&lt;&gt;"Paid"),"Inconsistent","OK")</f>
        <v>OK</v>
      </c>
      <c r="AI698" s="2" t="n">
        <f aca="false">IF(OR(ISBLANK(B698),ISBLANK(C698)),"",C698-B698)</f>
        <v>3</v>
      </c>
      <c r="AJ698" s="2" t="str">
        <f aca="false">IF(AI698="","Unknown",IF(AI698&lt;0,"Invalid","OK"))</f>
        <v>OK</v>
      </c>
      <c r="AK698" s="2" t="str">
        <f aca="false">IF(ISBLANK(B698),"",TEXT(B698,"mmm"))</f>
        <v>Sep</v>
      </c>
      <c r="AL698" s="2" t="n">
        <f aca="false">IF(ISBLANK(B698),"",YEAR(B698))</f>
        <v>2025</v>
      </c>
      <c r="AM698" s="2" t="s">
        <v>41</v>
      </c>
      <c r="AN698" s="2" t="str">
        <f aca="false">IF(OR(W698="Invalid",AJ698="Invalid",AH698="Inconsistent",Z698="Mismatch",AD698="Mismatch",AM698="Yes",D698="Yes",E698="Yes"),"Invalid",IF(OR(J698="Yes",Q698="Yes",U698="Yes"),"Warning","Clean"))</f>
        <v>Invalid</v>
      </c>
    </row>
    <row r="699" customFormat="false" ht="15" hidden="false" customHeight="false" outlineLevel="0" collapsed="false">
      <c r="A699" s="2" t="s">
        <v>2197</v>
      </c>
      <c r="B699" s="3" t="n">
        <v>45717</v>
      </c>
      <c r="C699" s="3" t="n">
        <v>45723</v>
      </c>
      <c r="D699" s="2" t="s">
        <v>41</v>
      </c>
      <c r="E699" s="2" t="s">
        <v>41</v>
      </c>
      <c r="F699" s="2" t="s">
        <v>2198</v>
      </c>
      <c r="G699" s="2" t="s">
        <v>73</v>
      </c>
      <c r="H699" s="2" t="s">
        <v>110</v>
      </c>
      <c r="I699" s="2" t="s">
        <v>74</v>
      </c>
      <c r="J699" s="2" t="s">
        <v>41</v>
      </c>
      <c r="K699" s="2" t="s">
        <v>104</v>
      </c>
      <c r="L699" s="2" t="s">
        <v>105</v>
      </c>
      <c r="M699" s="2" t="s">
        <v>48</v>
      </c>
      <c r="N699" s="2" t="s">
        <v>111</v>
      </c>
      <c r="O699" s="2" t="s">
        <v>2199</v>
      </c>
      <c r="P699" s="2" t="s">
        <v>70</v>
      </c>
      <c r="Q699" s="2" t="s">
        <v>41</v>
      </c>
      <c r="R699" s="2" t="n">
        <v>7</v>
      </c>
      <c r="S699" s="2" t="n">
        <v>567.15</v>
      </c>
      <c r="T699" s="2"/>
      <c r="U699" s="2" t="str">
        <f aca="false">IF(ISBLANK(T699),"Yes","No")</f>
        <v>Yes</v>
      </c>
      <c r="V699" s="2" t="n">
        <f aca="false">IF(ISBLANK(T699),0,IF(ISNUMBER(T699),T699,VALUE(LEFT(T699,LEN(T699)-1))/100))</f>
        <v>0</v>
      </c>
      <c r="W699" s="2" t="str">
        <f aca="false">IF(AND(V699&gt;=0,V699&lt;=0.25),"Valid","Invalid")</f>
        <v>Valid</v>
      </c>
      <c r="X699" s="2" t="n">
        <v>2977.54</v>
      </c>
      <c r="Y699" s="2" t="n">
        <f aca="false">R699*S699*(1-V699)</f>
        <v>3970.05</v>
      </c>
      <c r="Z699" s="2" t="str">
        <f aca="false">IF(ABS(X699-Y699)&gt;1,"Mismatch","OK")</f>
        <v>Mismatch</v>
      </c>
      <c r="AA699" s="2" t="n">
        <v>1849.3</v>
      </c>
      <c r="AB699" s="2" t="n">
        <v>1128.24</v>
      </c>
      <c r="AC699" s="2" t="n">
        <f aca="false">Y699-AA699</f>
        <v>2120.75</v>
      </c>
      <c r="AD699" s="2" t="str">
        <f aca="false">IF(ABS(AB699-AC699)&gt;1,"Mismatch","OK")</f>
        <v>Mismatch</v>
      </c>
      <c r="AE699" s="4" t="n">
        <f aca="false">IF(Y699=0,0,AC699/Y699)</f>
        <v>0.534187226861123</v>
      </c>
      <c r="AF699" s="2" t="s">
        <v>122</v>
      </c>
      <c r="AG699" s="2" t="s">
        <v>123</v>
      </c>
      <c r="AH699" s="2" t="str">
        <f aca="false">IF(AND(AG699="Completed",AF699&lt;&gt;"Paid"),"Inconsistent","OK")</f>
        <v>OK</v>
      </c>
      <c r="AI699" s="2" t="n">
        <f aca="false">IF(OR(ISBLANK(B699),ISBLANK(C699)),"",C699-B699)</f>
        <v>6</v>
      </c>
      <c r="AJ699" s="2" t="str">
        <f aca="false">IF(AI699="","Unknown",IF(AI699&lt;0,"Invalid","OK"))</f>
        <v>OK</v>
      </c>
      <c r="AK699" s="2" t="str">
        <f aca="false">IF(ISBLANK(B699),"",TEXT(B699,"mmm"))</f>
        <v>Mar</v>
      </c>
      <c r="AL699" s="2" t="n">
        <f aca="false">IF(ISBLANK(B699),"",YEAR(B699))</f>
        <v>2025</v>
      </c>
      <c r="AM699" s="2" t="s">
        <v>41</v>
      </c>
      <c r="AN699" s="2" t="str">
        <f aca="false">IF(OR(W699="Invalid",AJ699="Invalid",AH699="Inconsistent",Z699="Mismatch",AD699="Mismatch",AM699="Yes",D699="Yes",E699="Yes"),"Invalid",IF(OR(J699="Yes",Q699="Yes",U699="Yes"),"Warning","Clean"))</f>
        <v>Invalid</v>
      </c>
    </row>
    <row r="700" customFormat="false" ht="15" hidden="false" customHeight="false" outlineLevel="0" collapsed="false">
      <c r="A700" s="2" t="s">
        <v>2200</v>
      </c>
      <c r="B700" s="3" t="n">
        <v>45549</v>
      </c>
      <c r="C700" s="3" t="n">
        <v>45549</v>
      </c>
      <c r="D700" s="2" t="s">
        <v>41</v>
      </c>
      <c r="E700" s="2" t="s">
        <v>41</v>
      </c>
      <c r="F700" s="2" t="s">
        <v>2201</v>
      </c>
      <c r="G700" s="2" t="s">
        <v>56</v>
      </c>
      <c r="H700" s="2" t="s">
        <v>110</v>
      </c>
      <c r="I700" s="2" t="s">
        <v>45</v>
      </c>
      <c r="J700" s="2" t="s">
        <v>41</v>
      </c>
      <c r="K700" s="2" t="s">
        <v>46</v>
      </c>
      <c r="L700" s="2" t="s">
        <v>47</v>
      </c>
      <c r="M700" s="2" t="s">
        <v>94</v>
      </c>
      <c r="N700" s="2" t="s">
        <v>296</v>
      </c>
      <c r="O700" s="2" t="s">
        <v>2202</v>
      </c>
      <c r="P700" s="2" t="s">
        <v>79</v>
      </c>
      <c r="Q700" s="2" t="s">
        <v>41</v>
      </c>
      <c r="R700" s="2" t="n">
        <v>8</v>
      </c>
      <c r="S700" s="2" t="n">
        <v>4081.66</v>
      </c>
      <c r="T700" s="2" t="n">
        <v>0.15</v>
      </c>
      <c r="U700" s="2" t="str">
        <f aca="false">IF(ISBLANK(T700),"Yes","No")</f>
        <v>No</v>
      </c>
      <c r="V700" s="2" t="n">
        <f aca="false">IF(ISBLANK(T700),0,IF(ISNUMBER(T700),T700,VALUE(LEFT(T700,LEN(T700)-1))/100))</f>
        <v>0.15</v>
      </c>
      <c r="W700" s="2" t="str">
        <f aca="false">IF(AND(V700&gt;=0,V700&lt;=0.25),"Valid","Invalid")</f>
        <v>Valid</v>
      </c>
      <c r="X700" s="2" t="n">
        <v>28208.1</v>
      </c>
      <c r="Y700" s="2" t="n">
        <f aca="false">R700*S700*(1-V700)</f>
        <v>27755.288</v>
      </c>
      <c r="Z700" s="2" t="str">
        <f aca="false">IF(ABS(X700-Y700)&gt;1,"Mismatch","OK")</f>
        <v>Mismatch</v>
      </c>
      <c r="AA700" s="2" t="n">
        <v>23751.91</v>
      </c>
      <c r="AB700" s="2" t="n">
        <v>4003.38</v>
      </c>
      <c r="AC700" s="2" t="n">
        <f aca="false">Y700-AA700</f>
        <v>4003.378</v>
      </c>
      <c r="AD700" s="2" t="str">
        <f aca="false">IF(ABS(AB700-AC700)&gt;1,"Mismatch","OK")</f>
        <v>OK</v>
      </c>
      <c r="AE700" s="4" t="n">
        <f aca="false">IF(Y700=0,0,AC700/Y700)</f>
        <v>0.144238388014565</v>
      </c>
      <c r="AF700" s="2" t="s">
        <v>52</v>
      </c>
      <c r="AG700" s="2" t="s">
        <v>123</v>
      </c>
      <c r="AH700" s="2" t="str">
        <f aca="false">IF(AND(AG700="Completed",AF700&lt;&gt;"Paid"),"Inconsistent","OK")</f>
        <v>OK</v>
      </c>
      <c r="AI700" s="2" t="n">
        <f aca="false">IF(OR(ISBLANK(B700),ISBLANK(C700)),"",C700-B700)</f>
        <v>0</v>
      </c>
      <c r="AJ700" s="2" t="str">
        <f aca="false">IF(AI700="","Unknown",IF(AI700&lt;0,"Invalid","OK"))</f>
        <v>OK</v>
      </c>
      <c r="AK700" s="2" t="str">
        <f aca="false">IF(ISBLANK(B700),"",TEXT(B700,"mmm"))</f>
        <v>Sep</v>
      </c>
      <c r="AL700" s="2" t="n">
        <f aca="false">IF(ISBLANK(B700),"",YEAR(B700))</f>
        <v>2024</v>
      </c>
      <c r="AM700" s="2" t="s">
        <v>41</v>
      </c>
      <c r="AN700" s="2" t="str">
        <f aca="false">IF(OR(W700="Invalid",AJ700="Invalid",AH700="Inconsistent",Z700="Mismatch",AD700="Mismatch",AM700="Yes",D700="Yes",E700="Yes"),"Invalid",IF(OR(J700="Yes",Q700="Yes",U700="Yes"),"Warning","Clean"))</f>
        <v>Invalid</v>
      </c>
    </row>
    <row r="701" customFormat="false" ht="15" hidden="false" customHeight="false" outlineLevel="0" collapsed="false">
      <c r="A701" s="2" t="s">
        <v>2203</v>
      </c>
      <c r="B701" s="3" t="n">
        <v>45454</v>
      </c>
      <c r="C701" s="3" t="n">
        <v>45454</v>
      </c>
      <c r="D701" s="2" t="s">
        <v>41</v>
      </c>
      <c r="E701" s="2" t="s">
        <v>41</v>
      </c>
      <c r="F701" s="2" t="s">
        <v>2204</v>
      </c>
      <c r="G701" s="2" t="s">
        <v>73</v>
      </c>
      <c r="H701" s="2" t="s">
        <v>57</v>
      </c>
      <c r="I701" s="2" t="s">
        <v>74</v>
      </c>
      <c r="J701" s="2" t="s">
        <v>41</v>
      </c>
      <c r="K701" s="2" t="s">
        <v>195</v>
      </c>
      <c r="L701" s="2" t="s">
        <v>196</v>
      </c>
      <c r="M701" s="2" t="s">
        <v>61</v>
      </c>
      <c r="N701" s="2" t="s">
        <v>178</v>
      </c>
      <c r="O701" s="2" t="s">
        <v>2205</v>
      </c>
      <c r="P701" s="2" t="s">
        <v>79</v>
      </c>
      <c r="Q701" s="2" t="s">
        <v>41</v>
      </c>
      <c r="R701" s="2" t="n">
        <v>9</v>
      </c>
      <c r="S701" s="2" t="n">
        <v>1400.11</v>
      </c>
      <c r="T701" s="2" t="n">
        <v>0.25</v>
      </c>
      <c r="U701" s="2" t="str">
        <f aca="false">IF(ISBLANK(T701),"Yes","No")</f>
        <v>No</v>
      </c>
      <c r="V701" s="2" t="n">
        <f aca="false">IF(ISBLANK(T701),0,IF(ISNUMBER(T701),T701,VALUE(LEFT(T701,LEN(T701)-1))/100))</f>
        <v>0.25</v>
      </c>
      <c r="W701" s="2" t="str">
        <f aca="false">IF(AND(V701&gt;=0,V701&lt;=0.25),"Valid","Invalid")</f>
        <v>Valid</v>
      </c>
      <c r="X701" s="2" t="n">
        <v>9450.74</v>
      </c>
      <c r="Y701" s="2" t="n">
        <f aca="false">R701*S701*(1-V701)</f>
        <v>9450.7425</v>
      </c>
      <c r="Z701" s="2" t="str">
        <f aca="false">IF(ABS(X701-Y701)&gt;1,"Mismatch","OK")</f>
        <v>OK</v>
      </c>
      <c r="AA701" s="2" t="n">
        <v>7798.56</v>
      </c>
      <c r="AB701" s="2" t="n">
        <v>1652.18</v>
      </c>
      <c r="AC701" s="2" t="n">
        <f aca="false">Y701-AA701</f>
        <v>1652.1825</v>
      </c>
      <c r="AD701" s="2" t="str">
        <f aca="false">IF(ABS(AB701-AC701)&gt;1,"Mismatch","OK")</f>
        <v>OK</v>
      </c>
      <c r="AE701" s="4" t="n">
        <f aca="false">IF(Y701=0,0,AC701/Y701)</f>
        <v>0.174820391096255</v>
      </c>
      <c r="AF701" s="2" t="s">
        <v>52</v>
      </c>
      <c r="AG701" s="2" t="s">
        <v>53</v>
      </c>
      <c r="AH701" s="2" t="str">
        <f aca="false">IF(AND(AG701="Completed",AF701&lt;&gt;"Paid"),"Inconsistent","OK")</f>
        <v>OK</v>
      </c>
      <c r="AI701" s="2" t="n">
        <f aca="false">IF(OR(ISBLANK(B701),ISBLANK(C701)),"",C701-B701)</f>
        <v>0</v>
      </c>
      <c r="AJ701" s="2" t="str">
        <f aca="false">IF(AI701="","Unknown",IF(AI701&lt;0,"Invalid","OK"))</f>
        <v>OK</v>
      </c>
      <c r="AK701" s="2" t="str">
        <f aca="false">IF(ISBLANK(B701),"",TEXT(B701,"mmm"))</f>
        <v>Jun</v>
      </c>
      <c r="AL701" s="2" t="n">
        <f aca="false">IF(ISBLANK(B701),"",YEAR(B701))</f>
        <v>2024</v>
      </c>
      <c r="AM701" s="2" t="s">
        <v>41</v>
      </c>
      <c r="AN701" s="2" t="str">
        <f aca="false">IF(OR(W701="Invalid",AJ701="Invalid",AH701="Inconsistent",Z701="Mismatch",AD701="Mismatch",AM701="Yes",D701="Yes",E701="Yes"),"Invalid",IF(OR(J701="Yes",Q701="Yes",U701="Yes"),"Warning","Clean"))</f>
        <v>Clean</v>
      </c>
    </row>
    <row r="702" customFormat="false" ht="15" hidden="false" customHeight="false" outlineLevel="0" collapsed="false">
      <c r="A702" s="2" t="s">
        <v>2206</v>
      </c>
      <c r="B702" s="3" t="n">
        <v>45553</v>
      </c>
      <c r="C702" s="3" t="n">
        <v>45556</v>
      </c>
      <c r="D702" s="2" t="s">
        <v>41</v>
      </c>
      <c r="E702" s="2" t="s">
        <v>41</v>
      </c>
      <c r="F702" s="2" t="s">
        <v>2207</v>
      </c>
      <c r="G702" s="2" t="s">
        <v>99</v>
      </c>
      <c r="H702" s="2" t="s">
        <v>110</v>
      </c>
      <c r="I702" s="2" t="s">
        <v>58</v>
      </c>
      <c r="J702" s="2" t="s">
        <v>41</v>
      </c>
      <c r="K702" s="2" t="s">
        <v>119</v>
      </c>
      <c r="L702" s="2" t="s">
        <v>120</v>
      </c>
      <c r="M702" s="2" t="s">
        <v>94</v>
      </c>
      <c r="N702" s="2" t="s">
        <v>296</v>
      </c>
      <c r="O702" s="2" t="s">
        <v>2208</v>
      </c>
      <c r="P702" s="2" t="s">
        <v>79</v>
      </c>
      <c r="Q702" s="2" t="s">
        <v>41</v>
      </c>
      <c r="R702" s="2" t="n">
        <v>3</v>
      </c>
      <c r="S702" s="2" t="n">
        <v>3055.9</v>
      </c>
      <c r="T702" s="2" t="n">
        <v>0.15</v>
      </c>
      <c r="U702" s="2" t="str">
        <f aca="false">IF(ISBLANK(T702),"Yes","No")</f>
        <v>No</v>
      </c>
      <c r="V702" s="2" t="n">
        <f aca="false">IF(ISBLANK(T702),0,IF(ISNUMBER(T702),T702,VALUE(LEFT(T702,LEN(T702)-1))/100))</f>
        <v>0.15</v>
      </c>
      <c r="W702" s="2" t="str">
        <f aca="false">IF(AND(V702&gt;=0,V702&lt;=0.25),"Valid","Invalid")</f>
        <v>Valid</v>
      </c>
      <c r="X702" s="2" t="n">
        <v>7792.55</v>
      </c>
      <c r="Y702" s="2" t="n">
        <f aca="false">R702*S702*(1-V702)</f>
        <v>7792.545</v>
      </c>
      <c r="Z702" s="2" t="str">
        <f aca="false">IF(ABS(X702-Y702)&gt;1,"Mismatch","OK")</f>
        <v>OK</v>
      </c>
      <c r="AA702" s="2" t="n">
        <v>4691.73</v>
      </c>
      <c r="AB702" s="2" t="n">
        <v>3100.82</v>
      </c>
      <c r="AC702" s="2" t="n">
        <f aca="false">Y702-AA702</f>
        <v>3100.815</v>
      </c>
      <c r="AD702" s="2" t="str">
        <f aca="false">IF(ABS(AB702-AC702)&gt;1,"Mismatch","OK")</f>
        <v>OK</v>
      </c>
      <c r="AE702" s="4" t="n">
        <f aca="false">IF(Y702=0,0,AC702/Y702)</f>
        <v>0.397920704981492</v>
      </c>
      <c r="AF702" s="2" t="s">
        <v>52</v>
      </c>
      <c r="AG702" s="2" t="s">
        <v>53</v>
      </c>
      <c r="AH702" s="2" t="str">
        <f aca="false">IF(AND(AG702="Completed",AF702&lt;&gt;"Paid"),"Inconsistent","OK")</f>
        <v>OK</v>
      </c>
      <c r="AI702" s="2" t="n">
        <f aca="false">IF(OR(ISBLANK(B702),ISBLANK(C702)),"",C702-B702)</f>
        <v>3</v>
      </c>
      <c r="AJ702" s="2" t="str">
        <f aca="false">IF(AI702="","Unknown",IF(AI702&lt;0,"Invalid","OK"))</f>
        <v>OK</v>
      </c>
      <c r="AK702" s="2" t="str">
        <f aca="false">IF(ISBLANK(B702),"",TEXT(B702,"mmm"))</f>
        <v>Sep</v>
      </c>
      <c r="AL702" s="2" t="n">
        <f aca="false">IF(ISBLANK(B702),"",YEAR(B702))</f>
        <v>2024</v>
      </c>
      <c r="AM702" s="2" t="s">
        <v>41</v>
      </c>
      <c r="AN702" s="2" t="str">
        <f aca="false">IF(OR(W702="Invalid",AJ702="Invalid",AH702="Inconsistent",Z702="Mismatch",AD702="Mismatch",AM702="Yes",D702="Yes",E702="Yes"),"Invalid",IF(OR(J702="Yes",Q702="Yes",U702="Yes"),"Warning","Clean"))</f>
        <v>Clean</v>
      </c>
    </row>
    <row r="703" customFormat="false" ht="15" hidden="false" customHeight="false" outlineLevel="0" collapsed="false">
      <c r="A703" s="2" t="s">
        <v>2209</v>
      </c>
      <c r="B703" s="3" t="n">
        <v>45412</v>
      </c>
      <c r="C703" s="3" t="n">
        <v>45416</v>
      </c>
      <c r="D703" s="2" t="s">
        <v>41</v>
      </c>
      <c r="E703" s="2" t="s">
        <v>41</v>
      </c>
      <c r="F703" s="2" t="s">
        <v>2210</v>
      </c>
      <c r="G703" s="2" t="s">
        <v>161</v>
      </c>
      <c r="H703" s="2" t="s">
        <v>57</v>
      </c>
      <c r="I703" s="2" t="s">
        <v>83</v>
      </c>
      <c r="J703" s="2" t="s">
        <v>41</v>
      </c>
      <c r="K703" s="2" t="s">
        <v>200</v>
      </c>
      <c r="L703" s="2" t="s">
        <v>201</v>
      </c>
      <c r="M703" s="2" t="s">
        <v>48</v>
      </c>
      <c r="N703" s="2" t="s">
        <v>68</v>
      </c>
      <c r="O703" s="2" t="s">
        <v>2211</v>
      </c>
      <c r="P703" s="2" t="s">
        <v>64</v>
      </c>
      <c r="Q703" s="2" t="s">
        <v>41</v>
      </c>
      <c r="R703" s="2" t="n">
        <v>7</v>
      </c>
      <c r="S703" s="2" t="n">
        <v>1224.94</v>
      </c>
      <c r="T703" s="2" t="n">
        <v>0</v>
      </c>
      <c r="U703" s="2" t="str">
        <f aca="false">IF(ISBLANK(T703),"Yes","No")</f>
        <v>No</v>
      </c>
      <c r="V703" s="2" t="n">
        <f aca="false">IF(ISBLANK(T703),0,IF(ISNUMBER(T703),T703,VALUE(LEFT(T703,LEN(T703)-1))/100))</f>
        <v>0</v>
      </c>
      <c r="W703" s="2" t="str">
        <f aca="false">IF(AND(V703&gt;=0,V703&lt;=0.25),"Valid","Invalid")</f>
        <v>Valid</v>
      </c>
      <c r="X703" s="2" t="n">
        <v>8574.58</v>
      </c>
      <c r="Y703" s="2" t="n">
        <f aca="false">R703*S703*(1-V703)</f>
        <v>8574.58</v>
      </c>
      <c r="Z703" s="2" t="str">
        <f aca="false">IF(ABS(X703-Y703)&gt;1,"Mismatch","OK")</f>
        <v>OK</v>
      </c>
      <c r="AA703" s="2" t="n">
        <v>6685.81</v>
      </c>
      <c r="AB703" s="2" t="n">
        <v>1888.77</v>
      </c>
      <c r="AC703" s="2" t="n">
        <f aca="false">Y703-AA703</f>
        <v>1888.77</v>
      </c>
      <c r="AD703" s="2" t="str">
        <f aca="false">IF(ABS(AB703-AC703)&gt;1,"Mismatch","OK")</f>
        <v>OK</v>
      </c>
      <c r="AE703" s="4" t="n">
        <f aca="false">IF(Y703=0,0,AC703/Y703)</f>
        <v>0.220275512036741</v>
      </c>
      <c r="AF703" s="2" t="s">
        <v>52</v>
      </c>
      <c r="AG703" s="2" t="s">
        <v>123</v>
      </c>
      <c r="AH703" s="2" t="str">
        <f aca="false">IF(AND(AG703="Completed",AF703&lt;&gt;"Paid"),"Inconsistent","OK")</f>
        <v>OK</v>
      </c>
      <c r="AI703" s="2" t="n">
        <f aca="false">IF(OR(ISBLANK(B703),ISBLANK(C703)),"",C703-B703)</f>
        <v>4</v>
      </c>
      <c r="AJ703" s="2" t="str">
        <f aca="false">IF(AI703="","Unknown",IF(AI703&lt;0,"Invalid","OK"))</f>
        <v>OK</v>
      </c>
      <c r="AK703" s="2" t="str">
        <f aca="false">IF(ISBLANK(B703),"",TEXT(B703,"mmm"))</f>
        <v>Apr</v>
      </c>
      <c r="AL703" s="2" t="n">
        <f aca="false">IF(ISBLANK(B703),"",YEAR(B703))</f>
        <v>2024</v>
      </c>
      <c r="AM703" s="2" t="s">
        <v>41</v>
      </c>
      <c r="AN703" s="2" t="str">
        <f aca="false">IF(OR(W703="Invalid",AJ703="Invalid",AH703="Inconsistent",Z703="Mismatch",AD703="Mismatch",AM703="Yes",D703="Yes",E703="Yes"),"Invalid",IF(OR(J703="Yes",Q703="Yes",U703="Yes"),"Warning","Clean"))</f>
        <v>Clean</v>
      </c>
    </row>
    <row r="704" customFormat="false" ht="15" hidden="false" customHeight="false" outlineLevel="0" collapsed="false">
      <c r="A704" s="2" t="s">
        <v>2212</v>
      </c>
      <c r="B704" s="3" t="n">
        <v>45690</v>
      </c>
      <c r="C704" s="3" t="n">
        <v>45694</v>
      </c>
      <c r="D704" s="2" t="s">
        <v>41</v>
      </c>
      <c r="E704" s="2" t="s">
        <v>41</v>
      </c>
      <c r="F704" s="2" t="s">
        <v>2213</v>
      </c>
      <c r="G704" s="2" t="s">
        <v>43</v>
      </c>
      <c r="H704" s="2" t="s">
        <v>57</v>
      </c>
      <c r="I704" s="2" t="s">
        <v>83</v>
      </c>
      <c r="J704" s="2" t="s">
        <v>41</v>
      </c>
      <c r="K704" s="2" t="s">
        <v>46</v>
      </c>
      <c r="L704" s="2" t="s">
        <v>129</v>
      </c>
      <c r="M704" s="2" t="s">
        <v>61</v>
      </c>
      <c r="N704" s="2" t="s">
        <v>62</v>
      </c>
      <c r="O704" s="2" t="s">
        <v>2214</v>
      </c>
      <c r="P704" s="2" t="s">
        <v>51</v>
      </c>
      <c r="Q704" s="2" t="s">
        <v>41</v>
      </c>
      <c r="R704" s="2" t="n">
        <v>3</v>
      </c>
      <c r="S704" s="2" t="n">
        <v>997.34</v>
      </c>
      <c r="T704" s="2" t="n">
        <v>0.1</v>
      </c>
      <c r="U704" s="2" t="str">
        <f aca="false">IF(ISBLANK(T704),"Yes","No")</f>
        <v>No</v>
      </c>
      <c r="V704" s="2" t="n">
        <f aca="false">IF(ISBLANK(T704),0,IF(ISNUMBER(T704),T704,VALUE(LEFT(T704,LEN(T704)-1))/100))</f>
        <v>0.1</v>
      </c>
      <c r="W704" s="2" t="str">
        <f aca="false">IF(AND(V704&gt;=0,V704&lt;=0.25),"Valid","Invalid")</f>
        <v>Valid</v>
      </c>
      <c r="X704" s="2" t="n">
        <v>2692.82</v>
      </c>
      <c r="Y704" s="2" t="n">
        <f aca="false">R704*S704*(1-V704)</f>
        <v>2692.818</v>
      </c>
      <c r="Z704" s="2" t="str">
        <f aca="false">IF(ABS(X704-Y704)&gt;1,"Mismatch","OK")</f>
        <v>OK</v>
      </c>
      <c r="AA704" s="2" t="n">
        <v>1820.08</v>
      </c>
      <c r="AB704" s="2" t="n">
        <v>872.74</v>
      </c>
      <c r="AC704" s="2" t="n">
        <f aca="false">Y704-AA704</f>
        <v>872.738</v>
      </c>
      <c r="AD704" s="2" t="str">
        <f aca="false">IF(ABS(AB704-AC704)&gt;1,"Mismatch","OK")</f>
        <v>OK</v>
      </c>
      <c r="AE704" s="4" t="n">
        <f aca="false">IF(Y704=0,0,AC704/Y704)</f>
        <v>0.32409839803507</v>
      </c>
      <c r="AF704" s="2" t="s">
        <v>52</v>
      </c>
      <c r="AG704" s="2" t="s">
        <v>53</v>
      </c>
      <c r="AH704" s="2" t="str">
        <f aca="false">IF(AND(AG704="Completed",AF704&lt;&gt;"Paid"),"Inconsistent","OK")</f>
        <v>OK</v>
      </c>
      <c r="AI704" s="2" t="n">
        <f aca="false">IF(OR(ISBLANK(B704),ISBLANK(C704)),"",C704-B704)</f>
        <v>4</v>
      </c>
      <c r="AJ704" s="2" t="str">
        <f aca="false">IF(AI704="","Unknown",IF(AI704&lt;0,"Invalid","OK"))</f>
        <v>OK</v>
      </c>
      <c r="AK704" s="2" t="str">
        <f aca="false">IF(ISBLANK(B704),"",TEXT(B704,"mmm"))</f>
        <v>Feb</v>
      </c>
      <c r="AL704" s="2" t="n">
        <f aca="false">IF(ISBLANK(B704),"",YEAR(B704))</f>
        <v>2025</v>
      </c>
      <c r="AM704" s="2" t="s">
        <v>41</v>
      </c>
      <c r="AN704" s="2" t="str">
        <f aca="false">IF(OR(W704="Invalid",AJ704="Invalid",AH704="Inconsistent",Z704="Mismatch",AD704="Mismatch",AM704="Yes",D704="Yes",E704="Yes"),"Invalid",IF(OR(J704="Yes",Q704="Yes",U704="Yes"),"Warning","Clean"))</f>
        <v>Clean</v>
      </c>
    </row>
    <row r="705" customFormat="false" ht="15" hidden="false" customHeight="false" outlineLevel="0" collapsed="false">
      <c r="A705" s="2" t="s">
        <v>2215</v>
      </c>
      <c r="B705" s="3" t="n">
        <v>45584</v>
      </c>
      <c r="C705" s="3" t="n">
        <v>45585</v>
      </c>
      <c r="D705" s="2" t="s">
        <v>41</v>
      </c>
      <c r="E705" s="2" t="s">
        <v>41</v>
      </c>
      <c r="F705" s="2" t="s">
        <v>2216</v>
      </c>
      <c r="G705" s="2" t="s">
        <v>109</v>
      </c>
      <c r="H705" s="2" t="s">
        <v>110</v>
      </c>
      <c r="I705" s="2" t="s">
        <v>45</v>
      </c>
      <c r="J705" s="2" t="s">
        <v>41</v>
      </c>
      <c r="K705" s="2" t="s">
        <v>46</v>
      </c>
      <c r="L705" s="2" t="s">
        <v>47</v>
      </c>
      <c r="M705" s="2" t="s">
        <v>61</v>
      </c>
      <c r="N705" s="2" t="s">
        <v>62</v>
      </c>
      <c r="O705" s="2" t="s">
        <v>2217</v>
      </c>
      <c r="P705" s="2" t="s">
        <v>70</v>
      </c>
      <c r="Q705" s="2" t="s">
        <v>41</v>
      </c>
      <c r="R705" s="2" t="n">
        <v>1</v>
      </c>
      <c r="S705" s="2" t="n">
        <v>1150.03</v>
      </c>
      <c r="T705" s="2" t="n">
        <v>0.1</v>
      </c>
      <c r="U705" s="2" t="str">
        <f aca="false">IF(ISBLANK(T705),"Yes","No")</f>
        <v>No</v>
      </c>
      <c r="V705" s="2" t="n">
        <f aca="false">IF(ISBLANK(T705),0,IF(ISNUMBER(T705),T705,VALUE(LEFT(T705,LEN(T705)-1))/100))</f>
        <v>0.1</v>
      </c>
      <c r="W705" s="2" t="str">
        <f aca="false">IF(AND(V705&gt;=0,V705&lt;=0.25),"Valid","Invalid")</f>
        <v>Valid</v>
      </c>
      <c r="X705" s="2" t="n">
        <v>1035.03</v>
      </c>
      <c r="Y705" s="2" t="n">
        <f aca="false">R705*S705*(1-V705)</f>
        <v>1035.027</v>
      </c>
      <c r="Z705" s="2" t="str">
        <f aca="false">IF(ABS(X705-Y705)&gt;1,"Mismatch","OK")</f>
        <v>OK</v>
      </c>
      <c r="AA705" s="2" t="n">
        <v>854.35</v>
      </c>
      <c r="AB705" s="2" t="n">
        <v>180.68</v>
      </c>
      <c r="AC705" s="2" t="n">
        <f aca="false">Y705-AA705</f>
        <v>180.677</v>
      </c>
      <c r="AD705" s="2" t="str">
        <f aca="false">IF(ABS(AB705-AC705)&gt;1,"Mismatch","OK")</f>
        <v>OK</v>
      </c>
      <c r="AE705" s="4" t="n">
        <f aca="false">IF(Y705=0,0,AC705/Y705)</f>
        <v>0.174562595951603</v>
      </c>
      <c r="AF705" s="2" t="s">
        <v>52</v>
      </c>
      <c r="AG705" s="2" t="s">
        <v>53</v>
      </c>
      <c r="AH705" s="2" t="str">
        <f aca="false">IF(AND(AG705="Completed",AF705&lt;&gt;"Paid"),"Inconsistent","OK")</f>
        <v>OK</v>
      </c>
      <c r="AI705" s="2" t="n">
        <f aca="false">IF(OR(ISBLANK(B705),ISBLANK(C705)),"",C705-B705)</f>
        <v>1</v>
      </c>
      <c r="AJ705" s="2" t="str">
        <f aca="false">IF(AI705="","Unknown",IF(AI705&lt;0,"Invalid","OK"))</f>
        <v>OK</v>
      </c>
      <c r="AK705" s="2" t="str">
        <f aca="false">IF(ISBLANK(B705),"",TEXT(B705,"mmm"))</f>
        <v>Oct</v>
      </c>
      <c r="AL705" s="2" t="n">
        <f aca="false">IF(ISBLANK(B705),"",YEAR(B705))</f>
        <v>2024</v>
      </c>
      <c r="AM705" s="2" t="s">
        <v>41</v>
      </c>
      <c r="AN705" s="2" t="str">
        <f aca="false">IF(OR(W705="Invalid",AJ705="Invalid",AH705="Inconsistent",Z705="Mismatch",AD705="Mismatch",AM705="Yes",D705="Yes",E705="Yes"),"Invalid",IF(OR(J705="Yes",Q705="Yes",U705="Yes"),"Warning","Clean"))</f>
        <v>Clean</v>
      </c>
    </row>
    <row r="706" customFormat="false" ht="15" hidden="false" customHeight="false" outlineLevel="0" collapsed="false">
      <c r="A706" s="2" t="s">
        <v>2218</v>
      </c>
      <c r="B706" s="3" t="n">
        <v>45364</v>
      </c>
      <c r="C706" s="3" t="n">
        <v>45371</v>
      </c>
      <c r="D706" s="2" t="s">
        <v>41</v>
      </c>
      <c r="E706" s="2" t="s">
        <v>41</v>
      </c>
      <c r="F706" s="2" t="s">
        <v>2219</v>
      </c>
      <c r="G706" s="2" t="s">
        <v>134</v>
      </c>
      <c r="H706" s="2" t="s">
        <v>115</v>
      </c>
      <c r="I706" s="2" t="s">
        <v>74</v>
      </c>
      <c r="J706" s="2" t="s">
        <v>41</v>
      </c>
      <c r="K706" s="2" t="s">
        <v>269</v>
      </c>
      <c r="L706" s="2" t="s">
        <v>270</v>
      </c>
      <c r="M706" s="2" t="s">
        <v>61</v>
      </c>
      <c r="N706" s="2" t="s">
        <v>178</v>
      </c>
      <c r="O706" s="2" t="s">
        <v>2220</v>
      </c>
      <c r="P706" s="2" t="s">
        <v>225</v>
      </c>
      <c r="Q706" s="2" t="s">
        <v>226</v>
      </c>
      <c r="R706" s="2" t="n">
        <v>1</v>
      </c>
      <c r="S706" s="2" t="n">
        <v>2825.63</v>
      </c>
      <c r="T706" s="2" t="n">
        <v>0.15</v>
      </c>
      <c r="U706" s="2" t="str">
        <f aca="false">IF(ISBLANK(T706),"Yes","No")</f>
        <v>No</v>
      </c>
      <c r="V706" s="2" t="n">
        <f aca="false">IF(ISBLANK(T706),0,IF(ISNUMBER(T706),T706,VALUE(LEFT(T706,LEN(T706)-1))/100))</f>
        <v>0.15</v>
      </c>
      <c r="W706" s="2" t="str">
        <f aca="false">IF(AND(V706&gt;=0,V706&lt;=0.25),"Valid","Invalid")</f>
        <v>Valid</v>
      </c>
      <c r="X706" s="2" t="n">
        <v>2401.79</v>
      </c>
      <c r="Y706" s="2" t="n">
        <f aca="false">R706*S706*(1-V706)</f>
        <v>2401.7855</v>
      </c>
      <c r="Z706" s="2" t="str">
        <f aca="false">IF(ABS(X706-Y706)&gt;1,"Mismatch","OK")</f>
        <v>OK</v>
      </c>
      <c r="AA706" s="2" t="n">
        <v>1820.34</v>
      </c>
      <c r="AB706" s="2" t="n">
        <v>581.45</v>
      </c>
      <c r="AC706" s="2" t="n">
        <f aca="false">Y706-AA706</f>
        <v>581.4455</v>
      </c>
      <c r="AD706" s="2" t="str">
        <f aca="false">IF(ABS(AB706-AC706)&gt;1,"Mismatch","OK")</f>
        <v>OK</v>
      </c>
      <c r="AE706" s="4" t="n">
        <f aca="false">IF(Y706=0,0,AC706/Y706)</f>
        <v>0.24208885431276</v>
      </c>
      <c r="AF706" s="2" t="s">
        <v>52</v>
      </c>
      <c r="AG706" s="2" t="s">
        <v>53</v>
      </c>
      <c r="AH706" s="2" t="str">
        <f aca="false">IF(AND(AG706="Completed",AF706&lt;&gt;"Paid"),"Inconsistent","OK")</f>
        <v>OK</v>
      </c>
      <c r="AI706" s="2" t="n">
        <f aca="false">IF(OR(ISBLANK(B706),ISBLANK(C706)),"",C706-B706)</f>
        <v>7</v>
      </c>
      <c r="AJ706" s="2" t="str">
        <f aca="false">IF(AI706="","Unknown",IF(AI706&lt;0,"Invalid","OK"))</f>
        <v>OK</v>
      </c>
      <c r="AK706" s="2" t="str">
        <f aca="false">IF(ISBLANK(B706),"",TEXT(B706,"mmm"))</f>
        <v>Mar</v>
      </c>
      <c r="AL706" s="2" t="n">
        <f aca="false">IF(ISBLANK(B706),"",YEAR(B706))</f>
        <v>2024</v>
      </c>
      <c r="AM706" s="2" t="s">
        <v>41</v>
      </c>
      <c r="AN706" s="2" t="str">
        <f aca="false">IF(OR(W706="Invalid",AJ706="Invalid",AH706="Inconsistent",Z706="Mismatch",AD706="Mismatch",AM706="Yes",D706="Yes",E706="Yes"),"Invalid",IF(OR(J706="Yes",Q706="Yes",U706="Yes"),"Warning","Clean"))</f>
        <v>Warning</v>
      </c>
    </row>
    <row r="707" customFormat="false" ht="15" hidden="false" customHeight="false" outlineLevel="0" collapsed="false">
      <c r="A707" s="2" t="s">
        <v>2221</v>
      </c>
      <c r="B707" s="3" t="n">
        <v>45543</v>
      </c>
      <c r="C707" s="3" t="n">
        <v>45549</v>
      </c>
      <c r="D707" s="2" t="s">
        <v>41</v>
      </c>
      <c r="E707" s="2" t="s">
        <v>41</v>
      </c>
      <c r="F707" s="2" t="s">
        <v>2222</v>
      </c>
      <c r="G707" s="2" t="s">
        <v>161</v>
      </c>
      <c r="H707" s="2" t="s">
        <v>44</v>
      </c>
      <c r="I707" s="2" t="s">
        <v>45</v>
      </c>
      <c r="J707" s="2" t="s">
        <v>41</v>
      </c>
      <c r="K707" s="2" t="s">
        <v>46</v>
      </c>
      <c r="L707" s="2" t="s">
        <v>47</v>
      </c>
      <c r="M707" s="2" t="s">
        <v>48</v>
      </c>
      <c r="N707" s="2" t="s">
        <v>173</v>
      </c>
      <c r="O707" s="2" t="s">
        <v>2223</v>
      </c>
      <c r="P707" s="2" t="s">
        <v>79</v>
      </c>
      <c r="Q707" s="2" t="s">
        <v>41</v>
      </c>
      <c r="R707" s="2" t="n">
        <v>5</v>
      </c>
      <c r="S707" s="2" t="n">
        <v>3371.75</v>
      </c>
      <c r="T707" s="2" t="n">
        <v>0.05</v>
      </c>
      <c r="U707" s="2" t="str">
        <f aca="false">IF(ISBLANK(T707),"Yes","No")</f>
        <v>No</v>
      </c>
      <c r="V707" s="2" t="n">
        <f aca="false">IF(ISBLANK(T707),0,IF(ISNUMBER(T707),T707,VALUE(LEFT(T707,LEN(T707)-1))/100))</f>
        <v>0.05</v>
      </c>
      <c r="W707" s="2" t="str">
        <f aca="false">IF(AND(V707&gt;=0,V707&lt;=0.25),"Valid","Invalid")</f>
        <v>Valid</v>
      </c>
      <c r="X707" s="2" t="n">
        <v>16015.81</v>
      </c>
      <c r="Y707" s="2" t="n">
        <f aca="false">R707*S707*(1-V707)</f>
        <v>16015.8125</v>
      </c>
      <c r="Z707" s="2" t="str">
        <f aca="false">IF(ABS(X707-Y707)&gt;1,"Mismatch","OK")</f>
        <v>OK</v>
      </c>
      <c r="AA707" s="2" t="n">
        <v>11352.38</v>
      </c>
      <c r="AB707" s="2" t="n">
        <v>4663.43</v>
      </c>
      <c r="AC707" s="2" t="n">
        <f aca="false">Y707-AA707</f>
        <v>4663.4325</v>
      </c>
      <c r="AD707" s="2" t="str">
        <f aca="false">IF(ABS(AB707-AC707)&gt;1,"Mismatch","OK")</f>
        <v>OK</v>
      </c>
      <c r="AE707" s="4" t="n">
        <f aca="false">IF(Y707=0,0,AC707/Y707)</f>
        <v>0.291176766711024</v>
      </c>
      <c r="AF707" s="2" t="s">
        <v>52</v>
      </c>
      <c r="AG707" s="2" t="s">
        <v>53</v>
      </c>
      <c r="AH707" s="2" t="str">
        <f aca="false">IF(AND(AG707="Completed",AF707&lt;&gt;"Paid"),"Inconsistent","OK")</f>
        <v>OK</v>
      </c>
      <c r="AI707" s="2" t="n">
        <f aca="false">IF(OR(ISBLANK(B707),ISBLANK(C707)),"",C707-B707)</f>
        <v>6</v>
      </c>
      <c r="AJ707" s="2" t="str">
        <f aca="false">IF(AI707="","Unknown",IF(AI707&lt;0,"Invalid","OK"))</f>
        <v>OK</v>
      </c>
      <c r="AK707" s="2" t="str">
        <f aca="false">IF(ISBLANK(B707),"",TEXT(B707,"mmm"))</f>
        <v>Sep</v>
      </c>
      <c r="AL707" s="2" t="n">
        <f aca="false">IF(ISBLANK(B707),"",YEAR(B707))</f>
        <v>2024</v>
      </c>
      <c r="AM707" s="2" t="s">
        <v>41</v>
      </c>
      <c r="AN707" s="2" t="str">
        <f aca="false">IF(OR(W707="Invalid",AJ707="Invalid",AH707="Inconsistent",Z707="Mismatch",AD707="Mismatch",AM707="Yes",D707="Yes",E707="Yes"),"Invalid",IF(OR(J707="Yes",Q707="Yes",U707="Yes"),"Warning","Clean"))</f>
        <v>Clean</v>
      </c>
    </row>
    <row r="708" customFormat="false" ht="15" hidden="false" customHeight="false" outlineLevel="0" collapsed="false">
      <c r="A708" s="2" t="s">
        <v>2224</v>
      </c>
      <c r="B708" s="3" t="n">
        <v>45467</v>
      </c>
      <c r="C708" s="3" t="n">
        <v>45471</v>
      </c>
      <c r="D708" s="2" t="s">
        <v>41</v>
      </c>
      <c r="E708" s="2" t="s">
        <v>41</v>
      </c>
      <c r="F708" s="2" t="s">
        <v>2225</v>
      </c>
      <c r="G708" s="2" t="s">
        <v>67</v>
      </c>
      <c r="H708" s="2" t="s">
        <v>57</v>
      </c>
      <c r="I708" s="2" t="s">
        <v>58</v>
      </c>
      <c r="J708" s="2" t="s">
        <v>41</v>
      </c>
      <c r="K708" s="2" t="s">
        <v>59</v>
      </c>
      <c r="L708" s="2" t="s">
        <v>60</v>
      </c>
      <c r="M708" s="2" t="s">
        <v>48</v>
      </c>
      <c r="N708" s="2" t="s">
        <v>49</v>
      </c>
      <c r="O708" s="2" t="s">
        <v>2226</v>
      </c>
      <c r="P708" s="2" t="s">
        <v>64</v>
      </c>
      <c r="Q708" s="2" t="s">
        <v>41</v>
      </c>
      <c r="R708" s="2" t="n">
        <v>1</v>
      </c>
      <c r="S708" s="2" t="n">
        <v>2112.75</v>
      </c>
      <c r="T708" s="2" t="n">
        <v>0.1</v>
      </c>
      <c r="U708" s="2" t="str">
        <f aca="false">IF(ISBLANK(T708),"Yes","No")</f>
        <v>No</v>
      </c>
      <c r="V708" s="2" t="n">
        <f aca="false">IF(ISBLANK(T708),0,IF(ISNUMBER(T708),T708,VALUE(LEFT(T708,LEN(T708)-1))/100))</f>
        <v>0.1</v>
      </c>
      <c r="W708" s="2" t="str">
        <f aca="false">IF(AND(V708&gt;=0,V708&lt;=0.25),"Valid","Invalid")</f>
        <v>Valid</v>
      </c>
      <c r="X708" s="2" t="n">
        <v>1901.48</v>
      </c>
      <c r="Y708" s="2" t="n">
        <f aca="false">R708*S708*(1-V708)</f>
        <v>1901.475</v>
      </c>
      <c r="Z708" s="2" t="str">
        <f aca="false">IF(ABS(X708-Y708)&gt;1,"Mismatch","OK")</f>
        <v>OK</v>
      </c>
      <c r="AA708" s="2" t="n">
        <v>1354.28</v>
      </c>
      <c r="AB708" s="2" t="n">
        <v>547.2</v>
      </c>
      <c r="AC708" s="2" t="n">
        <f aca="false">Y708-AA708</f>
        <v>547.195</v>
      </c>
      <c r="AD708" s="2" t="str">
        <f aca="false">IF(ABS(AB708-AC708)&gt;1,"Mismatch","OK")</f>
        <v>OK</v>
      </c>
      <c r="AE708" s="4" t="n">
        <f aca="false">IF(Y708=0,0,AC708/Y708)</f>
        <v>0.287773964948264</v>
      </c>
      <c r="AF708" s="2" t="s">
        <v>52</v>
      </c>
      <c r="AG708" s="2" t="s">
        <v>53</v>
      </c>
      <c r="AH708" s="2" t="str">
        <f aca="false">IF(AND(AG708="Completed",AF708&lt;&gt;"Paid"),"Inconsistent","OK")</f>
        <v>OK</v>
      </c>
      <c r="AI708" s="2" t="n">
        <f aca="false">IF(OR(ISBLANK(B708),ISBLANK(C708)),"",C708-B708)</f>
        <v>4</v>
      </c>
      <c r="AJ708" s="2" t="str">
        <f aca="false">IF(AI708="","Unknown",IF(AI708&lt;0,"Invalid","OK"))</f>
        <v>OK</v>
      </c>
      <c r="AK708" s="2" t="str">
        <f aca="false">IF(ISBLANK(B708),"",TEXT(B708,"mmm"))</f>
        <v>Jun</v>
      </c>
      <c r="AL708" s="2" t="n">
        <f aca="false">IF(ISBLANK(B708),"",YEAR(B708))</f>
        <v>2024</v>
      </c>
      <c r="AM708" s="2" t="s">
        <v>41</v>
      </c>
      <c r="AN708" s="2" t="str">
        <f aca="false">IF(OR(W708="Invalid",AJ708="Invalid",AH708="Inconsistent",Z708="Mismatch",AD708="Mismatch",AM708="Yes",D708="Yes",E708="Yes"),"Invalid",IF(OR(J708="Yes",Q708="Yes",U708="Yes"),"Warning","Clean"))</f>
        <v>Clean</v>
      </c>
    </row>
    <row r="709" customFormat="false" ht="15" hidden="false" customHeight="false" outlineLevel="0" collapsed="false">
      <c r="A709" s="2" t="s">
        <v>2227</v>
      </c>
      <c r="B709" s="3" t="n">
        <v>45832</v>
      </c>
      <c r="C709" s="3" t="n">
        <v>45834</v>
      </c>
      <c r="D709" s="2" t="s">
        <v>41</v>
      </c>
      <c r="E709" s="2" t="s">
        <v>41</v>
      </c>
      <c r="F709" s="2" t="s">
        <v>2228</v>
      </c>
      <c r="G709" s="2" t="s">
        <v>91</v>
      </c>
      <c r="H709" s="2" t="s">
        <v>44</v>
      </c>
      <c r="I709" s="2" t="s">
        <v>45</v>
      </c>
      <c r="J709" s="2" t="s">
        <v>41</v>
      </c>
      <c r="K709" s="2" t="s">
        <v>46</v>
      </c>
      <c r="L709" s="2" t="s">
        <v>47</v>
      </c>
      <c r="M709" s="2" t="s">
        <v>94</v>
      </c>
      <c r="N709" s="2" t="s">
        <v>95</v>
      </c>
      <c r="O709" s="2" t="s">
        <v>2229</v>
      </c>
      <c r="P709" s="2" t="s">
        <v>64</v>
      </c>
      <c r="Q709" s="2" t="s">
        <v>41</v>
      </c>
      <c r="R709" s="2" t="n">
        <v>5</v>
      </c>
      <c r="S709" s="2" t="n">
        <v>3722.66</v>
      </c>
      <c r="T709" s="2" t="n">
        <v>0.55</v>
      </c>
      <c r="U709" s="2" t="str">
        <f aca="false">IF(ISBLANK(T709),"Yes","No")</f>
        <v>No</v>
      </c>
      <c r="V709" s="2" t="n">
        <f aca="false">IF(ISBLANK(T709),0,IF(ISNUMBER(T709),T709,VALUE(LEFT(T709,LEN(T709)-1))/100))</f>
        <v>0.55</v>
      </c>
      <c r="W709" s="2" t="str">
        <f aca="false">IF(AND(V709&gt;=0,V709&lt;=0.25),"Valid","Invalid")</f>
        <v>Invalid</v>
      </c>
      <c r="X709" s="2" t="n">
        <v>16751.97</v>
      </c>
      <c r="Y709" s="2" t="n">
        <f aca="false">R709*S709*(1-V709)</f>
        <v>8375.985</v>
      </c>
      <c r="Z709" s="2" t="str">
        <f aca="false">IF(ABS(X709-Y709)&gt;1,"Mismatch","OK")</f>
        <v>Mismatch</v>
      </c>
      <c r="AA709" s="2" t="n">
        <v>11678.32</v>
      </c>
      <c r="AB709" s="2" t="n">
        <v>5073.65</v>
      </c>
      <c r="AC709" s="2" t="n">
        <f aca="false">Y709-AA709</f>
        <v>-3302.335</v>
      </c>
      <c r="AD709" s="2" t="str">
        <f aca="false">IF(ABS(AB709-AC709)&gt;1,"Mismatch","OK")</f>
        <v>Mismatch</v>
      </c>
      <c r="AE709" s="4" t="n">
        <f aca="false">IF(Y709=0,0,AC709/Y709)</f>
        <v>-0.394262286763885</v>
      </c>
      <c r="AF709" s="2" t="s">
        <v>52</v>
      </c>
      <c r="AG709" s="2" t="s">
        <v>53</v>
      </c>
      <c r="AH709" s="2" t="str">
        <f aca="false">IF(AND(AG709="Completed",AF709&lt;&gt;"Paid"),"Inconsistent","OK")</f>
        <v>OK</v>
      </c>
      <c r="AI709" s="2" t="n">
        <f aca="false">IF(OR(ISBLANK(B709),ISBLANK(C709)),"",C709-B709)</f>
        <v>2</v>
      </c>
      <c r="AJ709" s="2" t="str">
        <f aca="false">IF(AI709="","Unknown",IF(AI709&lt;0,"Invalid","OK"))</f>
        <v>OK</v>
      </c>
      <c r="AK709" s="2" t="str">
        <f aca="false">IF(ISBLANK(B709),"",TEXT(B709,"mmm"))</f>
        <v>Jun</v>
      </c>
      <c r="AL709" s="2" t="n">
        <f aca="false">IF(ISBLANK(B709),"",YEAR(B709))</f>
        <v>2025</v>
      </c>
      <c r="AM709" s="2" t="s">
        <v>41</v>
      </c>
      <c r="AN709" s="2" t="str">
        <f aca="false">IF(OR(W709="Invalid",AJ709="Invalid",AH709="Inconsistent",Z709="Mismatch",AD709="Mismatch",AM709="Yes",D709="Yes",E709="Yes"),"Invalid",IF(OR(J709="Yes",Q709="Yes",U709="Yes"),"Warning","Clean"))</f>
        <v>Invalid</v>
      </c>
    </row>
    <row r="710" customFormat="false" ht="15" hidden="false" customHeight="false" outlineLevel="0" collapsed="false">
      <c r="A710" s="2" t="s">
        <v>2230</v>
      </c>
      <c r="B710" s="3" t="n">
        <v>45736</v>
      </c>
      <c r="C710" s="3" t="n">
        <v>45742</v>
      </c>
      <c r="D710" s="2" t="s">
        <v>41</v>
      </c>
      <c r="E710" s="2" t="s">
        <v>41</v>
      </c>
      <c r="F710" s="2" t="s">
        <v>2231</v>
      </c>
      <c r="G710" s="2" t="s">
        <v>152</v>
      </c>
      <c r="H710" s="2" t="s">
        <v>44</v>
      </c>
      <c r="I710" s="2" t="s">
        <v>58</v>
      </c>
      <c r="J710" s="2" t="s">
        <v>41</v>
      </c>
      <c r="K710" s="2" t="s">
        <v>186</v>
      </c>
      <c r="L710" s="2" t="s">
        <v>187</v>
      </c>
      <c r="M710" s="2" t="s">
        <v>61</v>
      </c>
      <c r="N710" s="2" t="s">
        <v>178</v>
      </c>
      <c r="O710" s="2" t="s">
        <v>2232</v>
      </c>
      <c r="P710" s="2" t="s">
        <v>70</v>
      </c>
      <c r="Q710" s="2" t="s">
        <v>41</v>
      </c>
      <c r="R710" s="2" t="n">
        <v>4</v>
      </c>
      <c r="S710" s="2" t="n">
        <v>4357.66</v>
      </c>
      <c r="T710" s="2" t="n">
        <v>0.05</v>
      </c>
      <c r="U710" s="2" t="str">
        <f aca="false">IF(ISBLANK(T710),"Yes","No")</f>
        <v>No</v>
      </c>
      <c r="V710" s="2" t="n">
        <f aca="false">IF(ISBLANK(T710),0,IF(ISNUMBER(T710),T710,VALUE(LEFT(T710,LEN(T710)-1))/100))</f>
        <v>0.05</v>
      </c>
      <c r="W710" s="2" t="str">
        <f aca="false">IF(AND(V710&gt;=0,V710&lt;=0.25),"Valid","Invalid")</f>
        <v>Valid</v>
      </c>
      <c r="X710" s="2" t="n">
        <v>16559.11</v>
      </c>
      <c r="Y710" s="2" t="n">
        <f aca="false">R710*S710*(1-V710)</f>
        <v>16559.108</v>
      </c>
      <c r="Z710" s="2" t="str">
        <f aca="false">IF(ABS(X710-Y710)&gt;1,"Mismatch","OK")</f>
        <v>OK</v>
      </c>
      <c r="AA710" s="2" t="n">
        <v>13233.79</v>
      </c>
      <c r="AB710" s="2" t="n">
        <v>3325.32</v>
      </c>
      <c r="AC710" s="2" t="n">
        <f aca="false">Y710-AA710</f>
        <v>3325.318</v>
      </c>
      <c r="AD710" s="2" t="str">
        <f aca="false">IF(ABS(AB710-AC710)&gt;1,"Mismatch","OK")</f>
        <v>OK</v>
      </c>
      <c r="AE710" s="4" t="n">
        <f aca="false">IF(Y710=0,0,AC710/Y710)</f>
        <v>0.200815043902123</v>
      </c>
      <c r="AF710" s="2" t="s">
        <v>52</v>
      </c>
      <c r="AG710" s="2" t="s">
        <v>53</v>
      </c>
      <c r="AH710" s="2" t="str">
        <f aca="false">IF(AND(AG710="Completed",AF710&lt;&gt;"Paid"),"Inconsistent","OK")</f>
        <v>OK</v>
      </c>
      <c r="AI710" s="2" t="n">
        <f aca="false">IF(OR(ISBLANK(B710),ISBLANK(C710)),"",C710-B710)</f>
        <v>6</v>
      </c>
      <c r="AJ710" s="2" t="str">
        <f aca="false">IF(AI710="","Unknown",IF(AI710&lt;0,"Invalid","OK"))</f>
        <v>OK</v>
      </c>
      <c r="AK710" s="2" t="str">
        <f aca="false">IF(ISBLANK(B710),"",TEXT(B710,"mmm"))</f>
        <v>Mar</v>
      </c>
      <c r="AL710" s="2" t="n">
        <f aca="false">IF(ISBLANK(B710),"",YEAR(B710))</f>
        <v>2025</v>
      </c>
      <c r="AM710" s="2" t="s">
        <v>41</v>
      </c>
      <c r="AN710" s="2" t="str">
        <f aca="false">IF(OR(W710="Invalid",AJ710="Invalid",AH710="Inconsistent",Z710="Mismatch",AD710="Mismatch",AM710="Yes",D710="Yes",E710="Yes"),"Invalid",IF(OR(J710="Yes",Q710="Yes",U710="Yes"),"Warning","Clean"))</f>
        <v>Clean</v>
      </c>
    </row>
    <row r="711" customFormat="false" ht="15" hidden="false" customHeight="false" outlineLevel="0" collapsed="false">
      <c r="A711" s="2" t="s">
        <v>2233</v>
      </c>
      <c r="B711" s="3" t="n">
        <v>45676</v>
      </c>
      <c r="C711" s="3" t="n">
        <v>45680</v>
      </c>
      <c r="D711" s="2" t="s">
        <v>41</v>
      </c>
      <c r="E711" s="2" t="s">
        <v>41</v>
      </c>
      <c r="F711" s="2" t="s">
        <v>2234</v>
      </c>
      <c r="G711" s="2" t="s">
        <v>286</v>
      </c>
      <c r="H711" s="2" t="s">
        <v>115</v>
      </c>
      <c r="I711" s="2" t="s">
        <v>45</v>
      </c>
      <c r="J711" s="2" t="s">
        <v>41</v>
      </c>
      <c r="K711" s="2" t="s">
        <v>142</v>
      </c>
      <c r="L711" s="2" t="s">
        <v>143</v>
      </c>
      <c r="M711" s="2" t="s">
        <v>94</v>
      </c>
      <c r="N711" s="2" t="s">
        <v>191</v>
      </c>
      <c r="O711" s="2" t="s">
        <v>2235</v>
      </c>
      <c r="P711" s="2" t="s">
        <v>64</v>
      </c>
      <c r="Q711" s="2" t="s">
        <v>41</v>
      </c>
      <c r="R711" s="2" t="n">
        <v>7</v>
      </c>
      <c r="S711" s="2" t="n">
        <v>1363.04</v>
      </c>
      <c r="T711" s="2" t="n">
        <v>0.15</v>
      </c>
      <c r="U711" s="2" t="str">
        <f aca="false">IF(ISBLANK(T711),"Yes","No")</f>
        <v>No</v>
      </c>
      <c r="V711" s="2" t="n">
        <f aca="false">IF(ISBLANK(T711),0,IF(ISNUMBER(T711),T711,VALUE(LEFT(T711,LEN(T711)-1))/100))</f>
        <v>0.15</v>
      </c>
      <c r="W711" s="2" t="str">
        <f aca="false">IF(AND(V711&gt;=0,V711&lt;=0.25),"Valid","Invalid")</f>
        <v>Valid</v>
      </c>
      <c r="X711" s="2" t="n">
        <v>8110.09</v>
      </c>
      <c r="Y711" s="2" t="n">
        <f aca="false">R711*S711*(1-V711)</f>
        <v>8110.088</v>
      </c>
      <c r="Z711" s="2" t="str">
        <f aca="false">IF(ABS(X711-Y711)&gt;1,"Mismatch","OK")</f>
        <v>OK</v>
      </c>
      <c r="AA711" s="2" t="n">
        <v>6417.32</v>
      </c>
      <c r="AB711" s="2" t="n">
        <v>1692.77</v>
      </c>
      <c r="AC711" s="2" t="n">
        <f aca="false">Y711-AA711</f>
        <v>1692.768</v>
      </c>
      <c r="AD711" s="2" t="str">
        <f aca="false">IF(ABS(AB711-AC711)&gt;1,"Mismatch","OK")</f>
        <v>OK</v>
      </c>
      <c r="AE711" s="4" t="n">
        <f aca="false">IF(Y711=0,0,AC711/Y711)</f>
        <v>0.208723752442637</v>
      </c>
      <c r="AF711" s="2" t="s">
        <v>52</v>
      </c>
      <c r="AG711" s="2" t="s">
        <v>88</v>
      </c>
      <c r="AH711" s="2" t="str">
        <f aca="false">IF(AND(AG711="Completed",AF711&lt;&gt;"Paid"),"Inconsistent","OK")</f>
        <v>OK</v>
      </c>
      <c r="AI711" s="2" t="n">
        <f aca="false">IF(OR(ISBLANK(B711),ISBLANK(C711)),"",C711-B711)</f>
        <v>4</v>
      </c>
      <c r="AJ711" s="2" t="str">
        <f aca="false">IF(AI711="","Unknown",IF(AI711&lt;0,"Invalid","OK"))</f>
        <v>OK</v>
      </c>
      <c r="AK711" s="2" t="str">
        <f aca="false">IF(ISBLANK(B711),"",TEXT(B711,"mmm"))</f>
        <v>Jan</v>
      </c>
      <c r="AL711" s="2" t="n">
        <f aca="false">IF(ISBLANK(B711),"",YEAR(B711))</f>
        <v>2025</v>
      </c>
      <c r="AM711" s="2" t="s">
        <v>41</v>
      </c>
      <c r="AN711" s="2" t="str">
        <f aca="false">IF(OR(W711="Invalid",AJ711="Invalid",AH711="Inconsistent",Z711="Mismatch",AD711="Mismatch",AM711="Yes",D711="Yes",E711="Yes"),"Invalid",IF(OR(J711="Yes",Q711="Yes",U711="Yes"),"Warning","Clean"))</f>
        <v>Clean</v>
      </c>
    </row>
    <row r="712" customFormat="false" ht="15" hidden="false" customHeight="false" outlineLevel="0" collapsed="false">
      <c r="A712" s="2" t="s">
        <v>2236</v>
      </c>
      <c r="B712" s="3" t="n">
        <v>45485</v>
      </c>
      <c r="C712" s="3" t="n">
        <v>45492</v>
      </c>
      <c r="D712" s="2" t="s">
        <v>41</v>
      </c>
      <c r="E712" s="2" t="s">
        <v>41</v>
      </c>
      <c r="F712" s="2" t="s">
        <v>2237</v>
      </c>
      <c r="G712" s="2" t="s">
        <v>91</v>
      </c>
      <c r="H712" s="2" t="s">
        <v>110</v>
      </c>
      <c r="I712" s="2" t="s">
        <v>45</v>
      </c>
      <c r="J712" s="2" t="s">
        <v>41</v>
      </c>
      <c r="K712" s="2" t="s">
        <v>142</v>
      </c>
      <c r="L712" s="2" t="s">
        <v>143</v>
      </c>
      <c r="M712" s="2" t="s">
        <v>48</v>
      </c>
      <c r="N712" s="2" t="s">
        <v>68</v>
      </c>
      <c r="O712" s="2" t="s">
        <v>2238</v>
      </c>
      <c r="P712" s="2" t="s">
        <v>51</v>
      </c>
      <c r="Q712" s="2" t="s">
        <v>41</v>
      </c>
      <c r="R712" s="2" t="n">
        <v>5</v>
      </c>
      <c r="S712" s="2" t="n">
        <v>1559.16</v>
      </c>
      <c r="T712" s="2" t="n">
        <v>0.05</v>
      </c>
      <c r="U712" s="2" t="str">
        <f aca="false">IF(ISBLANK(T712),"Yes","No")</f>
        <v>No</v>
      </c>
      <c r="V712" s="2" t="n">
        <f aca="false">IF(ISBLANK(T712),0,IF(ISNUMBER(T712),T712,VALUE(LEFT(T712,LEN(T712)-1))/100))</f>
        <v>0.05</v>
      </c>
      <c r="W712" s="2" t="str">
        <f aca="false">IF(AND(V712&gt;=0,V712&lt;=0.25),"Valid","Invalid")</f>
        <v>Valid</v>
      </c>
      <c r="X712" s="2" t="n">
        <v>7406.01</v>
      </c>
      <c r="Y712" s="2" t="n">
        <f aca="false">R712*S712*(1-V712)</f>
        <v>7406.01</v>
      </c>
      <c r="Z712" s="2" t="str">
        <f aca="false">IF(ABS(X712-Y712)&gt;1,"Mismatch","OK")</f>
        <v>OK</v>
      </c>
      <c r="AA712" s="2" t="n">
        <v>5941.74</v>
      </c>
      <c r="AB712" s="2" t="n">
        <v>1464.27</v>
      </c>
      <c r="AC712" s="2" t="n">
        <f aca="false">Y712-AA712</f>
        <v>1464.27</v>
      </c>
      <c r="AD712" s="2" t="str">
        <f aca="false">IF(ABS(AB712-AC712)&gt;1,"Mismatch","OK")</f>
        <v>OK</v>
      </c>
      <c r="AE712" s="4" t="n">
        <f aca="false">IF(Y712=0,0,AC712/Y712)</f>
        <v>0.197713748698692</v>
      </c>
      <c r="AF712" s="2" t="s">
        <v>52</v>
      </c>
      <c r="AG712" s="2" t="s">
        <v>53</v>
      </c>
      <c r="AH712" s="2" t="str">
        <f aca="false">IF(AND(AG712="Completed",AF712&lt;&gt;"Paid"),"Inconsistent","OK")</f>
        <v>OK</v>
      </c>
      <c r="AI712" s="2" t="n">
        <f aca="false">IF(OR(ISBLANK(B712),ISBLANK(C712)),"",C712-B712)</f>
        <v>7</v>
      </c>
      <c r="AJ712" s="2" t="str">
        <f aca="false">IF(AI712="","Unknown",IF(AI712&lt;0,"Invalid","OK"))</f>
        <v>OK</v>
      </c>
      <c r="AK712" s="2" t="str">
        <f aca="false">IF(ISBLANK(B712),"",TEXT(B712,"mmm"))</f>
        <v>Jul</v>
      </c>
      <c r="AL712" s="2" t="n">
        <f aca="false">IF(ISBLANK(B712),"",YEAR(B712))</f>
        <v>2024</v>
      </c>
      <c r="AM712" s="2" t="s">
        <v>41</v>
      </c>
      <c r="AN712" s="2" t="str">
        <f aca="false">IF(OR(W712="Invalid",AJ712="Invalid",AH712="Inconsistent",Z712="Mismatch",AD712="Mismatch",AM712="Yes",D712="Yes",E712="Yes"),"Invalid",IF(OR(J712="Yes",Q712="Yes",U712="Yes"),"Warning","Clean"))</f>
        <v>Clean</v>
      </c>
    </row>
    <row r="713" customFormat="false" ht="15" hidden="false" customHeight="false" outlineLevel="0" collapsed="false">
      <c r="A713" s="2" t="s">
        <v>2239</v>
      </c>
      <c r="B713" s="3" t="n">
        <v>45690</v>
      </c>
      <c r="C713" s="3" t="n">
        <v>45690</v>
      </c>
      <c r="D713" s="2" t="s">
        <v>41</v>
      </c>
      <c r="E713" s="2" t="s">
        <v>41</v>
      </c>
      <c r="F713" s="2" t="s">
        <v>2240</v>
      </c>
      <c r="G713" s="2" t="s">
        <v>286</v>
      </c>
      <c r="H713" s="2" t="s">
        <v>110</v>
      </c>
      <c r="I713" s="2" t="s">
        <v>58</v>
      </c>
      <c r="J713" s="2" t="s">
        <v>41</v>
      </c>
      <c r="K713" s="2" t="s">
        <v>119</v>
      </c>
      <c r="L713" s="2" t="s">
        <v>120</v>
      </c>
      <c r="M713" s="2" t="s">
        <v>94</v>
      </c>
      <c r="N713" s="2" t="s">
        <v>296</v>
      </c>
      <c r="O713" s="2" t="s">
        <v>2241</v>
      </c>
      <c r="P713" s="2" t="s">
        <v>70</v>
      </c>
      <c r="Q713" s="2" t="s">
        <v>41</v>
      </c>
      <c r="R713" s="2" t="n">
        <v>1</v>
      </c>
      <c r="S713" s="2" t="n">
        <v>4326.75</v>
      </c>
      <c r="T713" s="2" t="n">
        <v>0.05</v>
      </c>
      <c r="U713" s="2" t="str">
        <f aca="false">IF(ISBLANK(T713),"Yes","No")</f>
        <v>No</v>
      </c>
      <c r="V713" s="2" t="n">
        <f aca="false">IF(ISBLANK(T713),0,IF(ISNUMBER(T713),T713,VALUE(LEFT(T713,LEN(T713)-1))/100))</f>
        <v>0.05</v>
      </c>
      <c r="W713" s="2" t="str">
        <f aca="false">IF(AND(V713&gt;=0,V713&lt;=0.25),"Valid","Invalid")</f>
        <v>Valid</v>
      </c>
      <c r="X713" s="2" t="n">
        <v>4110.41</v>
      </c>
      <c r="Y713" s="2" t="n">
        <f aca="false">R713*S713*(1-V713)</f>
        <v>4110.4125</v>
      </c>
      <c r="Z713" s="2" t="str">
        <f aca="false">IF(ABS(X713-Y713)&gt;1,"Mismatch","OK")</f>
        <v>OK</v>
      </c>
      <c r="AA713" s="2" t="n">
        <v>2394.14</v>
      </c>
      <c r="AB713" s="2" t="n">
        <v>1716.27</v>
      </c>
      <c r="AC713" s="2" t="n">
        <f aca="false">Y713-AA713</f>
        <v>1716.2725</v>
      </c>
      <c r="AD713" s="2" t="str">
        <f aca="false">IF(ABS(AB713-AC713)&gt;1,"Mismatch","OK")</f>
        <v>OK</v>
      </c>
      <c r="AE713" s="4" t="n">
        <f aca="false">IF(Y713=0,0,AC713/Y713)</f>
        <v>0.417542643226197</v>
      </c>
      <c r="AF713" s="2" t="s">
        <v>131</v>
      </c>
      <c r="AG713" s="2" t="s">
        <v>123</v>
      </c>
      <c r="AH713" s="2" t="str">
        <f aca="false">IF(AND(AG713="Completed",AF713&lt;&gt;"Paid"),"Inconsistent","OK")</f>
        <v>OK</v>
      </c>
      <c r="AI713" s="2" t="n">
        <f aca="false">IF(OR(ISBLANK(B713),ISBLANK(C713)),"",C713-B713)</f>
        <v>0</v>
      </c>
      <c r="AJ713" s="2" t="str">
        <f aca="false">IF(AI713="","Unknown",IF(AI713&lt;0,"Invalid","OK"))</f>
        <v>OK</v>
      </c>
      <c r="AK713" s="2" t="str">
        <f aca="false">IF(ISBLANK(B713),"",TEXT(B713,"mmm"))</f>
        <v>Feb</v>
      </c>
      <c r="AL713" s="2" t="n">
        <f aca="false">IF(ISBLANK(B713),"",YEAR(B713))</f>
        <v>2025</v>
      </c>
      <c r="AM713" s="2" t="s">
        <v>41</v>
      </c>
      <c r="AN713" s="2" t="str">
        <f aca="false">IF(OR(W713="Invalid",AJ713="Invalid",AH713="Inconsistent",Z713="Mismatch",AD713="Mismatch",AM713="Yes",D713="Yes",E713="Yes"),"Invalid",IF(OR(J713="Yes",Q713="Yes",U713="Yes"),"Warning","Clean"))</f>
        <v>Clean</v>
      </c>
    </row>
    <row r="714" customFormat="false" ht="15" hidden="false" customHeight="false" outlineLevel="0" collapsed="false">
      <c r="A714" s="2" t="s">
        <v>2242</v>
      </c>
      <c r="B714" s="3" t="n">
        <v>45332</v>
      </c>
      <c r="C714" s="3" t="n">
        <v>45340</v>
      </c>
      <c r="D714" s="2" t="s">
        <v>41</v>
      </c>
      <c r="E714" s="2" t="s">
        <v>41</v>
      </c>
      <c r="F714" s="2" t="s">
        <v>2243</v>
      </c>
      <c r="G714" s="2" t="s">
        <v>67</v>
      </c>
      <c r="H714" s="2" t="s">
        <v>115</v>
      </c>
      <c r="I714" s="2" t="s">
        <v>83</v>
      </c>
      <c r="J714" s="2" t="s">
        <v>41</v>
      </c>
      <c r="K714" s="2" t="s">
        <v>92</v>
      </c>
      <c r="L714" s="2" t="s">
        <v>93</v>
      </c>
      <c r="M714" s="2" t="s">
        <v>61</v>
      </c>
      <c r="N714" s="2" t="s">
        <v>86</v>
      </c>
      <c r="O714" s="2" t="s">
        <v>2244</v>
      </c>
      <c r="P714" s="2" t="s">
        <v>70</v>
      </c>
      <c r="Q714" s="2" t="s">
        <v>41</v>
      </c>
      <c r="R714" s="2" t="n">
        <v>7</v>
      </c>
      <c r="S714" s="2" t="n">
        <v>1382.86</v>
      </c>
      <c r="T714" s="2" t="n">
        <v>0</v>
      </c>
      <c r="U714" s="2" t="str">
        <f aca="false">IF(ISBLANK(T714),"Yes","No")</f>
        <v>No</v>
      </c>
      <c r="V714" s="2" t="n">
        <f aca="false">IF(ISBLANK(T714),0,IF(ISNUMBER(T714),T714,VALUE(LEFT(T714,LEN(T714)-1))/100))</f>
        <v>0</v>
      </c>
      <c r="W714" s="2" t="str">
        <f aca="false">IF(AND(V714&gt;=0,V714&lt;=0.25),"Valid","Invalid")</f>
        <v>Valid</v>
      </c>
      <c r="X714" s="2" t="n">
        <v>9680.02</v>
      </c>
      <c r="Y714" s="2" t="n">
        <f aca="false">R714*S714*(1-V714)</f>
        <v>9680.02</v>
      </c>
      <c r="Z714" s="2" t="str">
        <f aca="false">IF(ABS(X714-Y714)&gt;1,"Mismatch","OK")</f>
        <v>OK</v>
      </c>
      <c r="AA714" s="2" t="n">
        <v>6876.66</v>
      </c>
      <c r="AB714" s="2" t="n">
        <v>2803.36</v>
      </c>
      <c r="AC714" s="2" t="n">
        <f aca="false">Y714-AA714</f>
        <v>2803.36</v>
      </c>
      <c r="AD714" s="2" t="str">
        <f aca="false">IF(ABS(AB714-AC714)&gt;1,"Mismatch","OK")</f>
        <v>OK</v>
      </c>
      <c r="AE714" s="4" t="n">
        <f aca="false">IF(Y714=0,0,AC714/Y714)</f>
        <v>0.289602707432423</v>
      </c>
      <c r="AF714" s="2" t="s">
        <v>52</v>
      </c>
      <c r="AG714" s="2" t="s">
        <v>53</v>
      </c>
      <c r="AH714" s="2" t="str">
        <f aca="false">IF(AND(AG714="Completed",AF714&lt;&gt;"Paid"),"Inconsistent","OK")</f>
        <v>OK</v>
      </c>
      <c r="AI714" s="2" t="n">
        <f aca="false">IF(OR(ISBLANK(B714),ISBLANK(C714)),"",C714-B714)</f>
        <v>8</v>
      </c>
      <c r="AJ714" s="2" t="str">
        <f aca="false">IF(AI714="","Unknown",IF(AI714&lt;0,"Invalid","OK"))</f>
        <v>OK</v>
      </c>
      <c r="AK714" s="2" t="str">
        <f aca="false">IF(ISBLANK(B714),"",TEXT(B714,"mmm"))</f>
        <v>Feb</v>
      </c>
      <c r="AL714" s="2" t="n">
        <f aca="false">IF(ISBLANK(B714),"",YEAR(B714))</f>
        <v>2024</v>
      </c>
      <c r="AM714" s="2" t="s">
        <v>41</v>
      </c>
      <c r="AN714" s="2" t="str">
        <f aca="false">IF(OR(W714="Invalid",AJ714="Invalid",AH714="Inconsistent",Z714="Mismatch",AD714="Mismatch",AM714="Yes",D714="Yes",E714="Yes"),"Invalid",IF(OR(J714="Yes",Q714="Yes",U714="Yes"),"Warning","Clean"))</f>
        <v>Clean</v>
      </c>
    </row>
    <row r="715" customFormat="false" ht="15" hidden="false" customHeight="false" outlineLevel="0" collapsed="false">
      <c r="A715" s="2" t="s">
        <v>2245</v>
      </c>
      <c r="B715" s="3" t="n">
        <v>45814</v>
      </c>
      <c r="C715" s="3" t="n">
        <v>45818</v>
      </c>
      <c r="D715" s="2" t="s">
        <v>41</v>
      </c>
      <c r="E715" s="2" t="s">
        <v>41</v>
      </c>
      <c r="F715" s="2" t="s">
        <v>621</v>
      </c>
      <c r="G715" s="2" t="s">
        <v>56</v>
      </c>
      <c r="H715" s="2" t="s">
        <v>44</v>
      </c>
      <c r="I715" s="2" t="s">
        <v>83</v>
      </c>
      <c r="J715" s="2" t="s">
        <v>41</v>
      </c>
      <c r="K715" s="2" t="s">
        <v>46</v>
      </c>
      <c r="L715" s="2" t="s">
        <v>129</v>
      </c>
      <c r="M715" s="2" t="s">
        <v>94</v>
      </c>
      <c r="N715" s="2" t="s">
        <v>296</v>
      </c>
      <c r="O715" s="2" t="s">
        <v>2246</v>
      </c>
      <c r="P715" s="2" t="s">
        <v>51</v>
      </c>
      <c r="Q715" s="2" t="s">
        <v>41</v>
      </c>
      <c r="R715" s="2" t="n">
        <v>1</v>
      </c>
      <c r="S715" s="2" t="n">
        <v>289.97</v>
      </c>
      <c r="T715" s="2" t="n">
        <v>0.25</v>
      </c>
      <c r="U715" s="2" t="str">
        <f aca="false">IF(ISBLANK(T715),"Yes","No")</f>
        <v>No</v>
      </c>
      <c r="V715" s="2" t="n">
        <f aca="false">IF(ISBLANK(T715),0,IF(ISNUMBER(T715),T715,VALUE(LEFT(T715,LEN(T715)-1))/100))</f>
        <v>0.25</v>
      </c>
      <c r="W715" s="2" t="str">
        <f aca="false">IF(AND(V715&gt;=0,V715&lt;=0.25),"Valid","Invalid")</f>
        <v>Valid</v>
      </c>
      <c r="X715" s="2" t="n">
        <v>217.48</v>
      </c>
      <c r="Y715" s="2" t="n">
        <f aca="false">R715*S715*(1-V715)</f>
        <v>217.4775</v>
      </c>
      <c r="Z715" s="2" t="str">
        <f aca="false">IF(ABS(X715-Y715)&gt;1,"Mismatch","OK")</f>
        <v>OK</v>
      </c>
      <c r="AA715" s="2" t="n">
        <v>132.13</v>
      </c>
      <c r="AB715" s="2" t="n">
        <v>85.35</v>
      </c>
      <c r="AC715" s="2" t="n">
        <f aca="false">Y715-AA715</f>
        <v>85.3475</v>
      </c>
      <c r="AD715" s="2" t="str">
        <f aca="false">IF(ABS(AB715-AC715)&gt;1,"Mismatch","OK")</f>
        <v>OK</v>
      </c>
      <c r="AE715" s="4" t="n">
        <f aca="false">IF(Y715=0,0,AC715/Y715)</f>
        <v>0.392442896391581</v>
      </c>
      <c r="AF715" s="2" t="s">
        <v>52</v>
      </c>
      <c r="AG715" s="2" t="s">
        <v>53</v>
      </c>
      <c r="AH715" s="2" t="str">
        <f aca="false">IF(AND(AG715="Completed",AF715&lt;&gt;"Paid"),"Inconsistent","OK")</f>
        <v>OK</v>
      </c>
      <c r="AI715" s="2" t="n">
        <f aca="false">IF(OR(ISBLANK(B715),ISBLANK(C715)),"",C715-B715)</f>
        <v>4</v>
      </c>
      <c r="AJ715" s="2" t="str">
        <f aca="false">IF(AI715="","Unknown",IF(AI715&lt;0,"Invalid","OK"))</f>
        <v>OK</v>
      </c>
      <c r="AK715" s="2" t="str">
        <f aca="false">IF(ISBLANK(B715),"",TEXT(B715,"mmm"))</f>
        <v>Jun</v>
      </c>
      <c r="AL715" s="2" t="n">
        <f aca="false">IF(ISBLANK(B715),"",YEAR(B715))</f>
        <v>2025</v>
      </c>
      <c r="AM715" s="2" t="s">
        <v>41</v>
      </c>
      <c r="AN715" s="2" t="str">
        <f aca="false">IF(OR(W715="Invalid",AJ715="Invalid",AH715="Inconsistent",Z715="Mismatch",AD715="Mismatch",AM715="Yes",D715="Yes",E715="Yes"),"Invalid",IF(OR(J715="Yes",Q715="Yes",U715="Yes"),"Warning","Clean"))</f>
        <v>Clean</v>
      </c>
    </row>
    <row r="716" customFormat="false" ht="15" hidden="false" customHeight="false" outlineLevel="0" collapsed="false">
      <c r="A716" s="2" t="s">
        <v>2247</v>
      </c>
      <c r="B716" s="3" t="n">
        <v>45738</v>
      </c>
      <c r="C716" s="3" t="n">
        <v>45739</v>
      </c>
      <c r="D716" s="2" t="s">
        <v>41</v>
      </c>
      <c r="E716" s="2" t="s">
        <v>41</v>
      </c>
      <c r="F716" s="2" t="s">
        <v>2248</v>
      </c>
      <c r="G716" s="2" t="s">
        <v>43</v>
      </c>
      <c r="H716" s="2" t="s">
        <v>115</v>
      </c>
      <c r="I716" s="2" t="s">
        <v>45</v>
      </c>
      <c r="J716" s="2" t="s">
        <v>41</v>
      </c>
      <c r="K716" s="2" t="s">
        <v>372</v>
      </c>
      <c r="L716" s="2" t="s">
        <v>373</v>
      </c>
      <c r="M716" s="2" t="s">
        <v>94</v>
      </c>
      <c r="N716" s="2" t="s">
        <v>100</v>
      </c>
      <c r="O716" s="2" t="s">
        <v>2249</v>
      </c>
      <c r="P716" s="2" t="s">
        <v>79</v>
      </c>
      <c r="Q716" s="2" t="s">
        <v>41</v>
      </c>
      <c r="R716" s="2" t="n">
        <v>9</v>
      </c>
      <c r="S716" s="2" t="n">
        <v>2075.02</v>
      </c>
      <c r="T716" s="2" t="n">
        <v>0</v>
      </c>
      <c r="U716" s="2" t="str">
        <f aca="false">IF(ISBLANK(T716),"Yes","No")</f>
        <v>No</v>
      </c>
      <c r="V716" s="2" t="n">
        <f aca="false">IF(ISBLANK(T716),0,IF(ISNUMBER(T716),T716,VALUE(LEFT(T716,LEN(T716)-1))/100))</f>
        <v>0</v>
      </c>
      <c r="W716" s="2" t="str">
        <f aca="false">IF(AND(V716&gt;=0,V716&lt;=0.25),"Valid","Invalid")</f>
        <v>Valid</v>
      </c>
      <c r="X716" s="2" t="n">
        <v>18675.18</v>
      </c>
      <c r="Y716" s="2" t="n">
        <f aca="false">R716*S716*(1-V716)</f>
        <v>18675.18</v>
      </c>
      <c r="Z716" s="2" t="str">
        <f aca="false">IF(ABS(X716-Y716)&gt;1,"Mismatch","OK")</f>
        <v>OK</v>
      </c>
      <c r="AA716" s="2" t="n">
        <v>13974.7</v>
      </c>
      <c r="AB716" s="2" t="n">
        <v>4700.48</v>
      </c>
      <c r="AC716" s="2" t="n">
        <f aca="false">Y716-AA716</f>
        <v>4700.48</v>
      </c>
      <c r="AD716" s="2" t="str">
        <f aca="false">IF(ABS(AB716-AC716)&gt;1,"Mismatch","OK")</f>
        <v>OK</v>
      </c>
      <c r="AE716" s="4" t="n">
        <f aca="false">IF(Y716=0,0,AC716/Y716)</f>
        <v>0.251696636926659</v>
      </c>
      <c r="AF716" s="2" t="s">
        <v>52</v>
      </c>
      <c r="AG716" s="2" t="s">
        <v>53</v>
      </c>
      <c r="AH716" s="2" t="str">
        <f aca="false">IF(AND(AG716="Completed",AF716&lt;&gt;"Paid"),"Inconsistent","OK")</f>
        <v>OK</v>
      </c>
      <c r="AI716" s="2" t="n">
        <f aca="false">IF(OR(ISBLANK(B716),ISBLANK(C716)),"",C716-B716)</f>
        <v>1</v>
      </c>
      <c r="AJ716" s="2" t="str">
        <f aca="false">IF(AI716="","Unknown",IF(AI716&lt;0,"Invalid","OK"))</f>
        <v>OK</v>
      </c>
      <c r="AK716" s="2" t="str">
        <f aca="false">IF(ISBLANK(B716),"",TEXT(B716,"mmm"))</f>
        <v>Mar</v>
      </c>
      <c r="AL716" s="2" t="n">
        <f aca="false">IF(ISBLANK(B716),"",YEAR(B716))</f>
        <v>2025</v>
      </c>
      <c r="AM716" s="2" t="s">
        <v>41</v>
      </c>
      <c r="AN716" s="2" t="str">
        <f aca="false">IF(OR(W716="Invalid",AJ716="Invalid",AH716="Inconsistent",Z716="Mismatch",AD716="Mismatch",AM716="Yes",D716="Yes",E716="Yes"),"Invalid",IF(OR(J716="Yes",Q716="Yes",U716="Yes"),"Warning","Clean"))</f>
        <v>Clean</v>
      </c>
    </row>
    <row r="717" customFormat="false" ht="15" hidden="false" customHeight="false" outlineLevel="0" collapsed="false">
      <c r="A717" s="2" t="s">
        <v>2250</v>
      </c>
      <c r="B717" s="3" t="n">
        <v>45891</v>
      </c>
      <c r="C717" s="3" t="n">
        <v>45896</v>
      </c>
      <c r="D717" s="2" t="s">
        <v>41</v>
      </c>
      <c r="E717" s="2" t="s">
        <v>41</v>
      </c>
      <c r="F717" s="2" t="s">
        <v>2251</v>
      </c>
      <c r="G717" s="2" t="s">
        <v>134</v>
      </c>
      <c r="H717" s="2" t="s">
        <v>44</v>
      </c>
      <c r="I717" s="2" t="s">
        <v>45</v>
      </c>
      <c r="J717" s="2" t="s">
        <v>41</v>
      </c>
      <c r="K717" s="2" t="s">
        <v>258</v>
      </c>
      <c r="L717" s="2" t="s">
        <v>259</v>
      </c>
      <c r="M717" s="2" t="s">
        <v>61</v>
      </c>
      <c r="N717" s="2" t="s">
        <v>86</v>
      </c>
      <c r="O717" s="2" t="s">
        <v>2252</v>
      </c>
      <c r="P717" s="2" t="s">
        <v>51</v>
      </c>
      <c r="Q717" s="2" t="s">
        <v>41</v>
      </c>
      <c r="R717" s="2" t="n">
        <v>7</v>
      </c>
      <c r="S717" s="2" t="n">
        <v>2843.09</v>
      </c>
      <c r="T717" s="2" t="n">
        <v>0</v>
      </c>
      <c r="U717" s="2" t="str">
        <f aca="false">IF(ISBLANK(T717),"Yes","No")</f>
        <v>No</v>
      </c>
      <c r="V717" s="2" t="n">
        <f aca="false">IF(ISBLANK(T717),0,IF(ISNUMBER(T717),T717,VALUE(LEFT(T717,LEN(T717)-1))/100))</f>
        <v>0</v>
      </c>
      <c r="W717" s="2" t="str">
        <f aca="false">IF(AND(V717&gt;=0,V717&lt;=0.25),"Valid","Invalid")</f>
        <v>Valid</v>
      </c>
      <c r="X717" s="2" t="n">
        <v>19901.63</v>
      </c>
      <c r="Y717" s="2" t="n">
        <f aca="false">R717*S717*(1-V717)</f>
        <v>19901.63</v>
      </c>
      <c r="Z717" s="2" t="str">
        <f aca="false">IF(ABS(X717-Y717)&gt;1,"Mismatch","OK")</f>
        <v>OK</v>
      </c>
      <c r="AA717" s="2" t="n">
        <v>15492.03</v>
      </c>
      <c r="AB717" s="2" t="n">
        <v>4409.6</v>
      </c>
      <c r="AC717" s="2" t="n">
        <f aca="false">Y717-AA717</f>
        <v>4409.6</v>
      </c>
      <c r="AD717" s="2" t="str">
        <f aca="false">IF(ABS(AB717-AC717)&gt;1,"Mismatch","OK")</f>
        <v>OK</v>
      </c>
      <c r="AE717" s="4" t="n">
        <f aca="false">IF(Y717=0,0,AC717/Y717)</f>
        <v>0.221569791017118</v>
      </c>
      <c r="AF717" s="2" t="s">
        <v>122</v>
      </c>
      <c r="AG717" s="2" t="s">
        <v>88</v>
      </c>
      <c r="AH717" s="2" t="str">
        <f aca="false">IF(AND(AG717="Completed",AF717&lt;&gt;"Paid"),"Inconsistent","OK")</f>
        <v>OK</v>
      </c>
      <c r="AI717" s="2" t="n">
        <f aca="false">IF(OR(ISBLANK(B717),ISBLANK(C717)),"",C717-B717)</f>
        <v>5</v>
      </c>
      <c r="AJ717" s="2" t="str">
        <f aca="false">IF(AI717="","Unknown",IF(AI717&lt;0,"Invalid","OK"))</f>
        <v>OK</v>
      </c>
      <c r="AK717" s="2" t="str">
        <f aca="false">IF(ISBLANK(B717),"",TEXT(B717,"mmm"))</f>
        <v>Aug</v>
      </c>
      <c r="AL717" s="2" t="n">
        <f aca="false">IF(ISBLANK(B717),"",YEAR(B717))</f>
        <v>2025</v>
      </c>
      <c r="AM717" s="2" t="s">
        <v>41</v>
      </c>
      <c r="AN717" s="2" t="str">
        <f aca="false">IF(OR(W717="Invalid",AJ717="Invalid",AH717="Inconsistent",Z717="Mismatch",AD717="Mismatch",AM717="Yes",D717="Yes",E717="Yes"),"Invalid",IF(OR(J717="Yes",Q717="Yes",U717="Yes"),"Warning","Clean"))</f>
        <v>Clean</v>
      </c>
    </row>
    <row r="718" customFormat="false" ht="15" hidden="false" customHeight="false" outlineLevel="0" collapsed="false">
      <c r="A718" s="2" t="s">
        <v>2253</v>
      </c>
      <c r="B718" s="3" t="n">
        <v>45895</v>
      </c>
      <c r="C718" s="3" t="n">
        <v>45900</v>
      </c>
      <c r="D718" s="2" t="s">
        <v>41</v>
      </c>
      <c r="E718" s="2" t="s">
        <v>41</v>
      </c>
      <c r="F718" s="2" t="s">
        <v>2254</v>
      </c>
      <c r="G718" s="2" t="s">
        <v>182</v>
      </c>
      <c r="H718" s="2" t="s">
        <v>57</v>
      </c>
      <c r="I718" s="2" t="s">
        <v>45</v>
      </c>
      <c r="J718" s="2" t="s">
        <v>41</v>
      </c>
      <c r="K718" s="2" t="s">
        <v>258</v>
      </c>
      <c r="L718" s="2" t="s">
        <v>259</v>
      </c>
      <c r="M718" s="2" t="s">
        <v>94</v>
      </c>
      <c r="N718" s="2" t="s">
        <v>191</v>
      </c>
      <c r="O718" s="2" t="s">
        <v>2255</v>
      </c>
      <c r="P718" s="2" t="s">
        <v>70</v>
      </c>
      <c r="Q718" s="2" t="s">
        <v>41</v>
      </c>
      <c r="R718" s="2" t="n">
        <v>1</v>
      </c>
      <c r="S718" s="2" t="n">
        <v>3388.02</v>
      </c>
      <c r="T718" s="2" t="n">
        <v>0.15</v>
      </c>
      <c r="U718" s="2" t="str">
        <f aca="false">IF(ISBLANK(T718),"Yes","No")</f>
        <v>No</v>
      </c>
      <c r="V718" s="2" t="n">
        <f aca="false">IF(ISBLANK(T718),0,IF(ISNUMBER(T718),T718,VALUE(LEFT(T718,LEN(T718)-1))/100))</f>
        <v>0.15</v>
      </c>
      <c r="W718" s="2" t="str">
        <f aca="false">IF(AND(V718&gt;=0,V718&lt;=0.25),"Valid","Invalid")</f>
        <v>Valid</v>
      </c>
      <c r="X718" s="2" t="n">
        <v>2879.82</v>
      </c>
      <c r="Y718" s="2" t="n">
        <f aca="false">R718*S718*(1-V718)</f>
        <v>2879.817</v>
      </c>
      <c r="Z718" s="2" t="str">
        <f aca="false">IF(ABS(X718-Y718)&gt;1,"Mismatch","OK")</f>
        <v>OK</v>
      </c>
      <c r="AA718" s="2" t="n">
        <v>1824.88</v>
      </c>
      <c r="AB718" s="2" t="n">
        <v>1054.94</v>
      </c>
      <c r="AC718" s="2" t="n">
        <f aca="false">Y718-AA718</f>
        <v>1054.937</v>
      </c>
      <c r="AD718" s="2" t="str">
        <f aca="false">IF(ABS(AB718-AC718)&gt;1,"Mismatch","OK")</f>
        <v>OK</v>
      </c>
      <c r="AE718" s="4" t="n">
        <f aca="false">IF(Y718=0,0,AC718/Y718)</f>
        <v>0.366320846081539</v>
      </c>
      <c r="AF718" s="2" t="s">
        <v>52</v>
      </c>
      <c r="AG718" s="2" t="s">
        <v>53</v>
      </c>
      <c r="AH718" s="2" t="str">
        <f aca="false">IF(AND(AG718="Completed",AF718&lt;&gt;"Paid"),"Inconsistent","OK")</f>
        <v>OK</v>
      </c>
      <c r="AI718" s="2" t="n">
        <f aca="false">IF(OR(ISBLANK(B718),ISBLANK(C718)),"",C718-B718)</f>
        <v>5</v>
      </c>
      <c r="AJ718" s="2" t="str">
        <f aca="false">IF(AI718="","Unknown",IF(AI718&lt;0,"Invalid","OK"))</f>
        <v>OK</v>
      </c>
      <c r="AK718" s="2" t="str">
        <f aca="false">IF(ISBLANK(B718),"",TEXT(B718,"mmm"))</f>
        <v>Aug</v>
      </c>
      <c r="AL718" s="2" t="n">
        <f aca="false">IF(ISBLANK(B718),"",YEAR(B718))</f>
        <v>2025</v>
      </c>
      <c r="AM718" s="2" t="s">
        <v>41</v>
      </c>
      <c r="AN718" s="2" t="str">
        <f aca="false">IF(OR(W718="Invalid",AJ718="Invalid",AH718="Inconsistent",Z718="Mismatch",AD718="Mismatch",AM718="Yes",D718="Yes",E718="Yes"),"Invalid",IF(OR(J718="Yes",Q718="Yes",U718="Yes"),"Warning","Clean"))</f>
        <v>Clean</v>
      </c>
    </row>
    <row r="719" customFormat="false" ht="15" hidden="false" customHeight="false" outlineLevel="0" collapsed="false">
      <c r="A719" s="2" t="s">
        <v>2256</v>
      </c>
      <c r="B719" s="3" t="n">
        <v>45942</v>
      </c>
      <c r="C719" s="3" t="n">
        <v>45945</v>
      </c>
      <c r="D719" s="2" t="s">
        <v>41</v>
      </c>
      <c r="E719" s="2" t="s">
        <v>41</v>
      </c>
      <c r="F719" s="2" t="s">
        <v>2257</v>
      </c>
      <c r="G719" s="2" t="s">
        <v>286</v>
      </c>
      <c r="H719" s="2" t="s">
        <v>57</v>
      </c>
      <c r="I719" s="2" t="s">
        <v>45</v>
      </c>
      <c r="J719" s="2" t="s">
        <v>41</v>
      </c>
      <c r="K719" s="2" t="s">
        <v>258</v>
      </c>
      <c r="L719" s="2" t="s">
        <v>259</v>
      </c>
      <c r="M719" s="2" t="s">
        <v>94</v>
      </c>
      <c r="N719" s="2" t="s">
        <v>296</v>
      </c>
      <c r="O719" s="2" t="s">
        <v>2258</v>
      </c>
      <c r="P719" s="2" t="s">
        <v>79</v>
      </c>
      <c r="Q719" s="2" t="s">
        <v>41</v>
      </c>
      <c r="R719" s="2" t="n">
        <v>9</v>
      </c>
      <c r="S719" s="2" t="n">
        <v>2598.92</v>
      </c>
      <c r="T719" s="2" t="n">
        <v>0.2</v>
      </c>
      <c r="U719" s="2" t="str">
        <f aca="false">IF(ISBLANK(T719),"Yes","No")</f>
        <v>No</v>
      </c>
      <c r="V719" s="2" t="n">
        <f aca="false">IF(ISBLANK(T719),0,IF(ISNUMBER(T719),T719,VALUE(LEFT(T719,LEN(T719)-1))/100))</f>
        <v>0.2</v>
      </c>
      <c r="W719" s="2" t="str">
        <f aca="false">IF(AND(V719&gt;=0,V719&lt;=0.25),"Valid","Invalid")</f>
        <v>Valid</v>
      </c>
      <c r="X719" s="2" t="n">
        <v>18712.22</v>
      </c>
      <c r="Y719" s="2" t="n">
        <f aca="false">R719*S719*(1-V719)</f>
        <v>18712.224</v>
      </c>
      <c r="Z719" s="2" t="str">
        <f aca="false">IF(ABS(X719-Y719)&gt;1,"Mismatch","OK")</f>
        <v>OK</v>
      </c>
      <c r="AA719" s="2" t="n">
        <v>11852.22</v>
      </c>
      <c r="AB719" s="2" t="n">
        <v>6860</v>
      </c>
      <c r="AC719" s="2" t="n">
        <f aca="false">Y719-AA719</f>
        <v>6860.004</v>
      </c>
      <c r="AD719" s="2" t="str">
        <f aca="false">IF(ABS(AB719-AC719)&gt;1,"Mismatch","OK")</f>
        <v>OK</v>
      </c>
      <c r="AE719" s="4" t="n">
        <f aca="false">IF(Y719=0,0,AC719/Y719)</f>
        <v>0.36660548740759</v>
      </c>
      <c r="AF719" s="2" t="s">
        <v>131</v>
      </c>
      <c r="AG719" s="2" t="s">
        <v>88</v>
      </c>
      <c r="AH719" s="2" t="str">
        <f aca="false">IF(AND(AG719="Completed",AF719&lt;&gt;"Paid"),"Inconsistent","OK")</f>
        <v>OK</v>
      </c>
      <c r="AI719" s="2" t="n">
        <f aca="false">IF(OR(ISBLANK(B719),ISBLANK(C719)),"",C719-B719)</f>
        <v>3</v>
      </c>
      <c r="AJ719" s="2" t="str">
        <f aca="false">IF(AI719="","Unknown",IF(AI719&lt;0,"Invalid","OK"))</f>
        <v>OK</v>
      </c>
      <c r="AK719" s="2" t="str">
        <f aca="false">IF(ISBLANK(B719),"",TEXT(B719,"mmm"))</f>
        <v>Oct</v>
      </c>
      <c r="AL719" s="2" t="n">
        <f aca="false">IF(ISBLANK(B719),"",YEAR(B719))</f>
        <v>2025</v>
      </c>
      <c r="AM719" s="2" t="s">
        <v>41</v>
      </c>
      <c r="AN719" s="2" t="str">
        <f aca="false">IF(OR(W719="Invalid",AJ719="Invalid",AH719="Inconsistent",Z719="Mismatch",AD719="Mismatch",AM719="Yes",D719="Yes",E719="Yes"),"Invalid",IF(OR(J719="Yes",Q719="Yes",U719="Yes"),"Warning","Clean"))</f>
        <v>Clean</v>
      </c>
    </row>
    <row r="720" customFormat="false" ht="15" hidden="false" customHeight="false" outlineLevel="0" collapsed="false">
      <c r="A720" s="2" t="s">
        <v>2259</v>
      </c>
      <c r="B720" s="3" t="n">
        <v>45541</v>
      </c>
      <c r="C720" s="3" t="n">
        <v>45544</v>
      </c>
      <c r="D720" s="2" t="s">
        <v>41</v>
      </c>
      <c r="E720" s="2" t="s">
        <v>41</v>
      </c>
      <c r="F720" s="2" t="s">
        <v>2260</v>
      </c>
      <c r="G720" s="2" t="s">
        <v>56</v>
      </c>
      <c r="H720" s="2" t="s">
        <v>44</v>
      </c>
      <c r="I720" s="2" t="s">
        <v>83</v>
      </c>
      <c r="J720" s="2" t="s">
        <v>41</v>
      </c>
      <c r="K720" s="2" t="s">
        <v>84</v>
      </c>
      <c r="L720" s="2" t="s">
        <v>85</v>
      </c>
      <c r="M720" s="2" t="s">
        <v>48</v>
      </c>
      <c r="N720" s="2" t="s">
        <v>68</v>
      </c>
      <c r="O720" s="2" t="s">
        <v>2261</v>
      </c>
      <c r="P720" s="2" t="s">
        <v>64</v>
      </c>
      <c r="Q720" s="2" t="s">
        <v>41</v>
      </c>
      <c r="R720" s="2" t="n">
        <v>3</v>
      </c>
      <c r="S720" s="2" t="n">
        <v>1972.27</v>
      </c>
      <c r="T720" s="2" t="n">
        <v>0.2</v>
      </c>
      <c r="U720" s="2" t="str">
        <f aca="false">IF(ISBLANK(T720),"Yes","No")</f>
        <v>No</v>
      </c>
      <c r="V720" s="2" t="n">
        <f aca="false">IF(ISBLANK(T720),0,IF(ISNUMBER(T720),T720,VALUE(LEFT(T720,LEN(T720)-1))/100))</f>
        <v>0.2</v>
      </c>
      <c r="W720" s="2" t="str">
        <f aca="false">IF(AND(V720&gt;=0,V720&lt;=0.25),"Valid","Invalid")</f>
        <v>Valid</v>
      </c>
      <c r="X720" s="2" t="n">
        <v>4733.45</v>
      </c>
      <c r="Y720" s="2" t="n">
        <f aca="false">R720*S720*(1-V720)</f>
        <v>4733.448</v>
      </c>
      <c r="Z720" s="2" t="str">
        <f aca="false">IF(ABS(X720-Y720)&gt;1,"Mismatch","OK")</f>
        <v>OK</v>
      </c>
      <c r="AA720" s="2" t="n">
        <v>3672.32</v>
      </c>
      <c r="AB720" s="2" t="n">
        <v>1061.13</v>
      </c>
      <c r="AC720" s="2" t="n">
        <f aca="false">Y720-AA720</f>
        <v>1061.128</v>
      </c>
      <c r="AD720" s="2" t="str">
        <f aca="false">IF(ABS(AB720-AC720)&gt;1,"Mismatch","OK")</f>
        <v>OK</v>
      </c>
      <c r="AE720" s="4" t="n">
        <f aca="false">IF(Y720=0,0,AC720/Y720)</f>
        <v>0.224176541075343</v>
      </c>
      <c r="AF720" s="2" t="s">
        <v>52</v>
      </c>
      <c r="AG720" s="2" t="s">
        <v>53</v>
      </c>
      <c r="AH720" s="2" t="str">
        <f aca="false">IF(AND(AG720="Completed",AF720&lt;&gt;"Paid"),"Inconsistent","OK")</f>
        <v>OK</v>
      </c>
      <c r="AI720" s="2" t="n">
        <f aca="false">IF(OR(ISBLANK(B720),ISBLANK(C720)),"",C720-B720)</f>
        <v>3</v>
      </c>
      <c r="AJ720" s="2" t="str">
        <f aca="false">IF(AI720="","Unknown",IF(AI720&lt;0,"Invalid","OK"))</f>
        <v>OK</v>
      </c>
      <c r="AK720" s="2" t="str">
        <f aca="false">IF(ISBLANK(B720),"",TEXT(B720,"mmm"))</f>
        <v>Sep</v>
      </c>
      <c r="AL720" s="2" t="n">
        <f aca="false">IF(ISBLANK(B720),"",YEAR(B720))</f>
        <v>2024</v>
      </c>
      <c r="AM720" s="2" t="s">
        <v>41</v>
      </c>
      <c r="AN720" s="2" t="str">
        <f aca="false">IF(OR(W720="Invalid",AJ720="Invalid",AH720="Inconsistent",Z720="Mismatch",AD720="Mismatch",AM720="Yes",D720="Yes",E720="Yes"),"Invalid",IF(OR(J720="Yes",Q720="Yes",U720="Yes"),"Warning","Clean"))</f>
        <v>Clean</v>
      </c>
    </row>
    <row r="721" customFormat="false" ht="15" hidden="false" customHeight="false" outlineLevel="0" collapsed="false">
      <c r="A721" s="2" t="s">
        <v>2262</v>
      </c>
      <c r="B721" s="3" t="n">
        <v>45908</v>
      </c>
      <c r="C721" s="3" t="n">
        <v>45909</v>
      </c>
      <c r="D721" s="2" t="s">
        <v>41</v>
      </c>
      <c r="E721" s="2" t="s">
        <v>41</v>
      </c>
      <c r="F721" s="2" t="s">
        <v>164</v>
      </c>
      <c r="G721" s="2" t="s">
        <v>286</v>
      </c>
      <c r="H721" s="2" t="s">
        <v>110</v>
      </c>
      <c r="I721" s="2" t="s">
        <v>83</v>
      </c>
      <c r="J721" s="2" t="s">
        <v>41</v>
      </c>
      <c r="K721" s="2" t="s">
        <v>200</v>
      </c>
      <c r="L721" s="2" t="s">
        <v>201</v>
      </c>
      <c r="M721" s="2" t="s">
        <v>48</v>
      </c>
      <c r="N721" s="2" t="s">
        <v>68</v>
      </c>
      <c r="O721" s="2" t="s">
        <v>2263</v>
      </c>
      <c r="P721" s="2" t="s">
        <v>64</v>
      </c>
      <c r="Q721" s="2" t="s">
        <v>41</v>
      </c>
      <c r="R721" s="2" t="n">
        <v>2</v>
      </c>
      <c r="S721" s="2" t="n">
        <v>2372.41</v>
      </c>
      <c r="T721" s="2" t="n">
        <v>0.2</v>
      </c>
      <c r="U721" s="2" t="str">
        <f aca="false">IF(ISBLANK(T721),"Yes","No")</f>
        <v>No</v>
      </c>
      <c r="V721" s="2" t="n">
        <f aca="false">IF(ISBLANK(T721),0,IF(ISNUMBER(T721),T721,VALUE(LEFT(T721,LEN(T721)-1))/100))</f>
        <v>0.2</v>
      </c>
      <c r="W721" s="2" t="str">
        <f aca="false">IF(AND(V721&gt;=0,V721&lt;=0.25),"Valid","Invalid")</f>
        <v>Valid</v>
      </c>
      <c r="X721" s="2" t="n">
        <v>3795.86</v>
      </c>
      <c r="Y721" s="2" t="n">
        <f aca="false">R721*S721*(1-V721)</f>
        <v>3795.856</v>
      </c>
      <c r="Z721" s="2" t="str">
        <f aca="false">IF(ABS(X721-Y721)&gt;1,"Mismatch","OK")</f>
        <v>OK</v>
      </c>
      <c r="AA721" s="2" t="n">
        <v>2264.92</v>
      </c>
      <c r="AB721" s="2" t="n">
        <v>1530.94</v>
      </c>
      <c r="AC721" s="2" t="n">
        <f aca="false">Y721-AA721</f>
        <v>1530.936</v>
      </c>
      <c r="AD721" s="2" t="str">
        <f aca="false">IF(ABS(AB721-AC721)&gt;1,"Mismatch","OK")</f>
        <v>OK</v>
      </c>
      <c r="AE721" s="4" t="n">
        <f aca="false">IF(Y721=0,0,AC721/Y721)</f>
        <v>0.403317723327755</v>
      </c>
      <c r="AF721" s="2" t="s">
        <v>52</v>
      </c>
      <c r="AG721" s="2" t="s">
        <v>53</v>
      </c>
      <c r="AH721" s="2" t="str">
        <f aca="false">IF(AND(AG721="Completed",AF721&lt;&gt;"Paid"),"Inconsistent","OK")</f>
        <v>OK</v>
      </c>
      <c r="AI721" s="2" t="n">
        <f aca="false">IF(OR(ISBLANK(B721),ISBLANK(C721)),"",C721-B721)</f>
        <v>1</v>
      </c>
      <c r="AJ721" s="2" t="str">
        <f aca="false">IF(AI721="","Unknown",IF(AI721&lt;0,"Invalid","OK"))</f>
        <v>OK</v>
      </c>
      <c r="AK721" s="2" t="str">
        <f aca="false">IF(ISBLANK(B721),"",TEXT(B721,"mmm"))</f>
        <v>Sep</v>
      </c>
      <c r="AL721" s="2" t="n">
        <f aca="false">IF(ISBLANK(B721),"",YEAR(B721))</f>
        <v>2025</v>
      </c>
      <c r="AM721" s="2" t="s">
        <v>41</v>
      </c>
      <c r="AN721" s="2" t="str">
        <f aca="false">IF(OR(W721="Invalid",AJ721="Invalid",AH721="Inconsistent",Z721="Mismatch",AD721="Mismatch",AM721="Yes",D721="Yes",E721="Yes"),"Invalid",IF(OR(J721="Yes",Q721="Yes",U721="Yes"),"Warning","Clean"))</f>
        <v>Clean</v>
      </c>
    </row>
    <row r="722" customFormat="false" ht="15" hidden="false" customHeight="false" outlineLevel="0" collapsed="false">
      <c r="A722" s="2" t="s">
        <v>2264</v>
      </c>
      <c r="B722" s="3" t="n">
        <v>45489</v>
      </c>
      <c r="C722" s="3" t="n">
        <v>45489</v>
      </c>
      <c r="D722" s="2" t="s">
        <v>41</v>
      </c>
      <c r="E722" s="2" t="s">
        <v>41</v>
      </c>
      <c r="F722" s="2" t="s">
        <v>2265</v>
      </c>
      <c r="G722" s="2" t="s">
        <v>109</v>
      </c>
      <c r="H722" s="2" t="s">
        <v>115</v>
      </c>
      <c r="I722" s="2" t="s">
        <v>83</v>
      </c>
      <c r="J722" s="2" t="s">
        <v>41</v>
      </c>
      <c r="K722" s="2" t="s">
        <v>92</v>
      </c>
      <c r="L722" s="2" t="s">
        <v>93</v>
      </c>
      <c r="M722" s="2" t="s">
        <v>94</v>
      </c>
      <c r="N722" s="2" t="s">
        <v>100</v>
      </c>
      <c r="O722" s="2" t="s">
        <v>2266</v>
      </c>
      <c r="P722" s="2" t="s">
        <v>64</v>
      </c>
      <c r="Q722" s="2" t="s">
        <v>41</v>
      </c>
      <c r="R722" s="2" t="n">
        <v>4</v>
      </c>
      <c r="S722" s="2" t="n">
        <v>4479.92</v>
      </c>
      <c r="T722" s="2" t="n">
        <v>0.15</v>
      </c>
      <c r="U722" s="2" t="str">
        <f aca="false">IF(ISBLANK(T722),"Yes","No")</f>
        <v>No</v>
      </c>
      <c r="V722" s="2" t="n">
        <f aca="false">IF(ISBLANK(T722),0,IF(ISNUMBER(T722),T722,VALUE(LEFT(T722,LEN(T722)-1))/100))</f>
        <v>0.15</v>
      </c>
      <c r="W722" s="2" t="str">
        <f aca="false">IF(AND(V722&gt;=0,V722&lt;=0.25),"Valid","Invalid")</f>
        <v>Valid</v>
      </c>
      <c r="X722" s="2" t="n">
        <v>15231.73</v>
      </c>
      <c r="Y722" s="2" t="n">
        <f aca="false">R722*S722*(1-V722)</f>
        <v>15231.728</v>
      </c>
      <c r="Z722" s="2" t="str">
        <f aca="false">IF(ABS(X722-Y722)&gt;1,"Mismatch","OK")</f>
        <v>OK</v>
      </c>
      <c r="AA722" s="2" t="n">
        <v>12451.46</v>
      </c>
      <c r="AB722" s="2" t="n">
        <v>2780.27</v>
      </c>
      <c r="AC722" s="2" t="n">
        <f aca="false">Y722-AA722</f>
        <v>2780.268</v>
      </c>
      <c r="AD722" s="2" t="str">
        <f aca="false">IF(ABS(AB722-AC722)&gt;1,"Mismatch","OK")</f>
        <v>OK</v>
      </c>
      <c r="AE722" s="4" t="n">
        <f aca="false">IF(Y722=0,0,AC722/Y722)</f>
        <v>0.182531358228036</v>
      </c>
      <c r="AF722" s="2" t="s">
        <v>52</v>
      </c>
      <c r="AG722" s="2" t="s">
        <v>53</v>
      </c>
      <c r="AH722" s="2" t="str">
        <f aca="false">IF(AND(AG722="Completed",AF722&lt;&gt;"Paid"),"Inconsistent","OK")</f>
        <v>OK</v>
      </c>
      <c r="AI722" s="2" t="n">
        <f aca="false">IF(OR(ISBLANK(B722),ISBLANK(C722)),"",C722-B722)</f>
        <v>0</v>
      </c>
      <c r="AJ722" s="2" t="str">
        <f aca="false">IF(AI722="","Unknown",IF(AI722&lt;0,"Invalid","OK"))</f>
        <v>OK</v>
      </c>
      <c r="AK722" s="2" t="str">
        <f aca="false">IF(ISBLANK(B722),"",TEXT(B722,"mmm"))</f>
        <v>Jul</v>
      </c>
      <c r="AL722" s="2" t="n">
        <f aca="false">IF(ISBLANK(B722),"",YEAR(B722))</f>
        <v>2024</v>
      </c>
      <c r="AM722" s="2" t="s">
        <v>41</v>
      </c>
      <c r="AN722" s="2" t="str">
        <f aca="false">IF(OR(W722="Invalid",AJ722="Invalid",AH722="Inconsistent",Z722="Mismatch",AD722="Mismatch",AM722="Yes",D722="Yes",E722="Yes"),"Invalid",IF(OR(J722="Yes",Q722="Yes",U722="Yes"),"Warning","Clean"))</f>
        <v>Clean</v>
      </c>
    </row>
    <row r="723" customFormat="false" ht="15" hidden="false" customHeight="false" outlineLevel="0" collapsed="false">
      <c r="A723" s="2" t="s">
        <v>2267</v>
      </c>
      <c r="B723" s="3" t="n">
        <v>45827</v>
      </c>
      <c r="C723" s="3" t="n">
        <v>45831</v>
      </c>
      <c r="D723" s="2" t="s">
        <v>41</v>
      </c>
      <c r="E723" s="2" t="s">
        <v>41</v>
      </c>
      <c r="F723" s="2" t="s">
        <v>2268</v>
      </c>
      <c r="G723" s="2" t="s">
        <v>152</v>
      </c>
      <c r="H723" s="2" t="s">
        <v>44</v>
      </c>
      <c r="I723" s="2" t="s">
        <v>74</v>
      </c>
      <c r="J723" s="2" t="s">
        <v>41</v>
      </c>
      <c r="K723" s="2" t="s">
        <v>195</v>
      </c>
      <c r="L723" s="2" t="s">
        <v>196</v>
      </c>
      <c r="M723" s="2" t="s">
        <v>94</v>
      </c>
      <c r="N723" s="2" t="s">
        <v>100</v>
      </c>
      <c r="O723" s="2" t="s">
        <v>2269</v>
      </c>
      <c r="P723" s="2" t="s">
        <v>70</v>
      </c>
      <c r="Q723" s="2" t="s">
        <v>41</v>
      </c>
      <c r="R723" s="2" t="n">
        <v>5</v>
      </c>
      <c r="S723" s="2" t="n">
        <v>2729.95</v>
      </c>
      <c r="T723" s="2" t="n">
        <v>0</v>
      </c>
      <c r="U723" s="2" t="str">
        <f aca="false">IF(ISBLANK(T723),"Yes","No")</f>
        <v>No</v>
      </c>
      <c r="V723" s="2" t="n">
        <f aca="false">IF(ISBLANK(T723),0,IF(ISNUMBER(T723),T723,VALUE(LEFT(T723,LEN(T723)-1))/100))</f>
        <v>0</v>
      </c>
      <c r="W723" s="2" t="str">
        <f aca="false">IF(AND(V723&gt;=0,V723&lt;=0.25),"Valid","Invalid")</f>
        <v>Valid</v>
      </c>
      <c r="X723" s="2" t="n">
        <v>13649.75</v>
      </c>
      <c r="Y723" s="2" t="n">
        <f aca="false">R723*S723*(1-V723)</f>
        <v>13649.75</v>
      </c>
      <c r="Z723" s="2" t="str">
        <f aca="false">IF(ABS(X723-Y723)&gt;1,"Mismatch","OK")</f>
        <v>OK</v>
      </c>
      <c r="AA723" s="2" t="n">
        <v>10288.03</v>
      </c>
      <c r="AB723" s="2" t="n">
        <v>3361.72</v>
      </c>
      <c r="AC723" s="2" t="n">
        <f aca="false">Y723-AA723</f>
        <v>3361.72</v>
      </c>
      <c r="AD723" s="2" t="str">
        <f aca="false">IF(ABS(AB723-AC723)&gt;1,"Mismatch","OK")</f>
        <v>OK</v>
      </c>
      <c r="AE723" s="4" t="n">
        <f aca="false">IF(Y723=0,0,AC723/Y723)</f>
        <v>0.246284364182494</v>
      </c>
      <c r="AF723" s="2" t="s">
        <v>52</v>
      </c>
      <c r="AG723" s="2" t="s">
        <v>53</v>
      </c>
      <c r="AH723" s="2" t="str">
        <f aca="false">IF(AND(AG723="Completed",AF723&lt;&gt;"Paid"),"Inconsistent","OK")</f>
        <v>OK</v>
      </c>
      <c r="AI723" s="2" t="n">
        <f aca="false">IF(OR(ISBLANK(B723),ISBLANK(C723)),"",C723-B723)</f>
        <v>4</v>
      </c>
      <c r="AJ723" s="2" t="str">
        <f aca="false">IF(AI723="","Unknown",IF(AI723&lt;0,"Invalid","OK"))</f>
        <v>OK</v>
      </c>
      <c r="AK723" s="2" t="str">
        <f aca="false">IF(ISBLANK(B723),"",TEXT(B723,"mmm"))</f>
        <v>Jun</v>
      </c>
      <c r="AL723" s="2" t="n">
        <f aca="false">IF(ISBLANK(B723),"",YEAR(B723))</f>
        <v>2025</v>
      </c>
      <c r="AM723" s="2" t="s">
        <v>41</v>
      </c>
      <c r="AN723" s="2" t="str">
        <f aca="false">IF(OR(W723="Invalid",AJ723="Invalid",AH723="Inconsistent",Z723="Mismatch",AD723="Mismatch",AM723="Yes",D723="Yes",E723="Yes"),"Invalid",IF(OR(J723="Yes",Q723="Yes",U723="Yes"),"Warning","Clean"))</f>
        <v>Clean</v>
      </c>
    </row>
    <row r="724" customFormat="false" ht="15" hidden="false" customHeight="false" outlineLevel="0" collapsed="false">
      <c r="A724" s="2" t="s">
        <v>2270</v>
      </c>
      <c r="B724" s="3" t="n">
        <v>45572</v>
      </c>
      <c r="C724" s="3" t="n">
        <v>45575</v>
      </c>
      <c r="D724" s="2" t="s">
        <v>41</v>
      </c>
      <c r="E724" s="2" t="s">
        <v>41</v>
      </c>
      <c r="F724" s="2" t="s">
        <v>2271</v>
      </c>
      <c r="G724" s="2" t="s">
        <v>91</v>
      </c>
      <c r="H724" s="2" t="s">
        <v>44</v>
      </c>
      <c r="I724" s="2" t="s">
        <v>58</v>
      </c>
      <c r="J724" s="2" t="s">
        <v>41</v>
      </c>
      <c r="K724" s="2" t="s">
        <v>119</v>
      </c>
      <c r="L724" s="2" t="s">
        <v>120</v>
      </c>
      <c r="M724" s="2" t="s">
        <v>61</v>
      </c>
      <c r="N724" s="2" t="s">
        <v>86</v>
      </c>
      <c r="O724" s="2" t="s">
        <v>2272</v>
      </c>
      <c r="P724" s="2" t="s">
        <v>51</v>
      </c>
      <c r="Q724" s="2" t="s">
        <v>41</v>
      </c>
      <c r="R724" s="2" t="n">
        <v>9</v>
      </c>
      <c r="S724" s="2" t="n">
        <v>481.51</v>
      </c>
      <c r="T724" s="2"/>
      <c r="U724" s="2" t="str">
        <f aca="false">IF(ISBLANK(T724),"Yes","No")</f>
        <v>Yes</v>
      </c>
      <c r="V724" s="2" t="n">
        <f aca="false">IF(ISBLANK(T724),0,IF(ISNUMBER(T724),T724,VALUE(LEFT(T724,LEN(T724)-1))/100))</f>
        <v>0</v>
      </c>
      <c r="W724" s="2" t="str">
        <f aca="false">IF(AND(V724&gt;=0,V724&lt;=0.25),"Valid","Invalid")</f>
        <v>Valid</v>
      </c>
      <c r="X724" s="2" t="n">
        <v>4333.59</v>
      </c>
      <c r="Y724" s="2" t="n">
        <f aca="false">R724*S724*(1-V724)</f>
        <v>4333.59</v>
      </c>
      <c r="Z724" s="2" t="str">
        <f aca="false">IF(ABS(X724-Y724)&gt;1,"Mismatch","OK")</f>
        <v>OK</v>
      </c>
      <c r="AA724" s="2" t="n">
        <v>2533.59</v>
      </c>
      <c r="AB724" s="2" t="n">
        <v>1800</v>
      </c>
      <c r="AC724" s="2" t="n">
        <f aca="false">Y724-AA724</f>
        <v>1800</v>
      </c>
      <c r="AD724" s="2" t="str">
        <f aca="false">IF(ABS(AB724-AC724)&gt;1,"Mismatch","OK")</f>
        <v>OK</v>
      </c>
      <c r="AE724" s="4" t="n">
        <f aca="false">IF(Y724=0,0,AC724/Y724)</f>
        <v>0.41536001329152</v>
      </c>
      <c r="AF724" s="2" t="s">
        <v>122</v>
      </c>
      <c r="AG724" s="2" t="s">
        <v>88</v>
      </c>
      <c r="AH724" s="2" t="str">
        <f aca="false">IF(AND(AG724="Completed",AF724&lt;&gt;"Paid"),"Inconsistent","OK")</f>
        <v>OK</v>
      </c>
      <c r="AI724" s="2" t="n">
        <f aca="false">IF(OR(ISBLANK(B724),ISBLANK(C724)),"",C724-B724)</f>
        <v>3</v>
      </c>
      <c r="AJ724" s="2" t="str">
        <f aca="false">IF(AI724="","Unknown",IF(AI724&lt;0,"Invalid","OK"))</f>
        <v>OK</v>
      </c>
      <c r="AK724" s="2" t="str">
        <f aca="false">IF(ISBLANK(B724),"",TEXT(B724,"mmm"))</f>
        <v>Oct</v>
      </c>
      <c r="AL724" s="2" t="n">
        <f aca="false">IF(ISBLANK(B724),"",YEAR(B724))</f>
        <v>2024</v>
      </c>
      <c r="AM724" s="2" t="s">
        <v>41</v>
      </c>
      <c r="AN724" s="2" t="str">
        <f aca="false">IF(OR(W724="Invalid",AJ724="Invalid",AH724="Inconsistent",Z724="Mismatch",AD724="Mismatch",AM724="Yes",D724="Yes",E724="Yes"),"Invalid",IF(OR(J724="Yes",Q724="Yes",U724="Yes"),"Warning","Clean"))</f>
        <v>Warning</v>
      </c>
    </row>
    <row r="725" customFormat="false" ht="15" hidden="false" customHeight="false" outlineLevel="0" collapsed="false">
      <c r="A725" s="2" t="s">
        <v>2273</v>
      </c>
      <c r="B725" s="3" t="n">
        <v>45936</v>
      </c>
      <c r="C725" s="3" t="n">
        <v>45943</v>
      </c>
      <c r="D725" s="2" t="s">
        <v>41</v>
      </c>
      <c r="E725" s="2" t="s">
        <v>41</v>
      </c>
      <c r="F725" s="2" t="s">
        <v>2274</v>
      </c>
      <c r="G725" s="2" t="s">
        <v>286</v>
      </c>
      <c r="H725" s="2" t="s">
        <v>115</v>
      </c>
      <c r="I725" s="2" t="s">
        <v>58</v>
      </c>
      <c r="J725" s="2" t="s">
        <v>41</v>
      </c>
      <c r="K725" s="2" t="s">
        <v>250</v>
      </c>
      <c r="L725" s="2" t="s">
        <v>251</v>
      </c>
      <c r="M725" s="2" t="s">
        <v>94</v>
      </c>
      <c r="N725" s="2" t="s">
        <v>95</v>
      </c>
      <c r="O725" s="2" t="s">
        <v>2275</v>
      </c>
      <c r="P725" s="2" t="s">
        <v>79</v>
      </c>
      <c r="Q725" s="2" t="s">
        <v>41</v>
      </c>
      <c r="R725" s="2" t="n">
        <v>6</v>
      </c>
      <c r="S725" s="2" t="n">
        <v>2391.93</v>
      </c>
      <c r="T725" s="2" t="n">
        <v>0.05</v>
      </c>
      <c r="U725" s="2" t="str">
        <f aca="false">IF(ISBLANK(T725),"Yes","No")</f>
        <v>No</v>
      </c>
      <c r="V725" s="2" t="n">
        <f aca="false">IF(ISBLANK(T725),0,IF(ISNUMBER(T725),T725,VALUE(LEFT(T725,LEN(T725)-1))/100))</f>
        <v>0.05</v>
      </c>
      <c r="W725" s="2" t="str">
        <f aca="false">IF(AND(V725&gt;=0,V725&lt;=0.25),"Valid","Invalid")</f>
        <v>Valid</v>
      </c>
      <c r="X725" s="2" t="n">
        <v>13634</v>
      </c>
      <c r="Y725" s="2" t="n">
        <f aca="false">R725*S725*(1-V725)</f>
        <v>13634.001</v>
      </c>
      <c r="Z725" s="2" t="str">
        <f aca="false">IF(ABS(X725-Y725)&gt;1,"Mismatch","OK")</f>
        <v>OK</v>
      </c>
      <c r="AA725" s="2" t="n">
        <v>9589.81</v>
      </c>
      <c r="AB725" s="2" t="n">
        <v>4044.19</v>
      </c>
      <c r="AC725" s="2" t="n">
        <f aca="false">Y725-AA725</f>
        <v>4044.191</v>
      </c>
      <c r="AD725" s="2" t="str">
        <f aca="false">IF(ABS(AB725-AC725)&gt;1,"Mismatch","OK")</f>
        <v>OK</v>
      </c>
      <c r="AE725" s="4" t="n">
        <f aca="false">IF(Y725=0,0,AC725/Y725)</f>
        <v>0.296625399983468</v>
      </c>
      <c r="AF725" s="2" t="s">
        <v>175</v>
      </c>
      <c r="AG725" s="2" t="s">
        <v>123</v>
      </c>
      <c r="AH725" s="2" t="str">
        <f aca="false">IF(AND(AG725="Completed",AF725&lt;&gt;"Paid"),"Inconsistent","OK")</f>
        <v>OK</v>
      </c>
      <c r="AI725" s="2" t="n">
        <f aca="false">IF(OR(ISBLANK(B725),ISBLANK(C725)),"",C725-B725)</f>
        <v>7</v>
      </c>
      <c r="AJ725" s="2" t="str">
        <f aca="false">IF(AI725="","Unknown",IF(AI725&lt;0,"Invalid","OK"))</f>
        <v>OK</v>
      </c>
      <c r="AK725" s="2" t="str">
        <f aca="false">IF(ISBLANK(B725),"",TEXT(B725,"mmm"))</f>
        <v>Oct</v>
      </c>
      <c r="AL725" s="2" t="n">
        <f aca="false">IF(ISBLANK(B725),"",YEAR(B725))</f>
        <v>2025</v>
      </c>
      <c r="AM725" s="2" t="s">
        <v>41</v>
      </c>
      <c r="AN725" s="2" t="str">
        <f aca="false">IF(OR(W725="Invalid",AJ725="Invalid",AH725="Inconsistent",Z725="Mismatch",AD725="Mismatch",AM725="Yes",D725="Yes",E725="Yes"),"Invalid",IF(OR(J725="Yes",Q725="Yes",U725="Yes"),"Warning","Clean"))</f>
        <v>Clean</v>
      </c>
    </row>
    <row r="726" customFormat="false" ht="15" hidden="false" customHeight="false" outlineLevel="0" collapsed="false">
      <c r="A726" s="2" t="s">
        <v>2276</v>
      </c>
      <c r="B726" s="3" t="n">
        <v>45332</v>
      </c>
      <c r="C726" s="3" t="n">
        <v>45338</v>
      </c>
      <c r="D726" s="2" t="s">
        <v>41</v>
      </c>
      <c r="E726" s="2" t="s">
        <v>41</v>
      </c>
      <c r="F726" s="2" t="s">
        <v>2277</v>
      </c>
      <c r="G726" s="2" t="s">
        <v>43</v>
      </c>
      <c r="H726" s="2" t="s">
        <v>44</v>
      </c>
      <c r="I726" s="2" t="s">
        <v>83</v>
      </c>
      <c r="J726" s="2" t="s">
        <v>41</v>
      </c>
      <c r="K726" s="2" t="s">
        <v>210</v>
      </c>
      <c r="L726" s="2" t="s">
        <v>211</v>
      </c>
      <c r="M726" s="2" t="s">
        <v>61</v>
      </c>
      <c r="N726" s="2" t="s">
        <v>77</v>
      </c>
      <c r="O726" s="2" t="s">
        <v>2278</v>
      </c>
      <c r="P726" s="2" t="s">
        <v>51</v>
      </c>
      <c r="Q726" s="2" t="s">
        <v>41</v>
      </c>
      <c r="R726" s="2" t="n">
        <v>3</v>
      </c>
      <c r="S726" s="2" t="n">
        <v>253.43</v>
      </c>
      <c r="T726" s="2" t="n">
        <v>0</v>
      </c>
      <c r="U726" s="2" t="str">
        <f aca="false">IF(ISBLANK(T726),"Yes","No")</f>
        <v>No</v>
      </c>
      <c r="V726" s="2" t="n">
        <f aca="false">IF(ISBLANK(T726),0,IF(ISNUMBER(T726),T726,VALUE(LEFT(T726,LEN(T726)-1))/100))</f>
        <v>0</v>
      </c>
      <c r="W726" s="2" t="str">
        <f aca="false">IF(AND(V726&gt;=0,V726&lt;=0.25),"Valid","Invalid")</f>
        <v>Valid</v>
      </c>
      <c r="X726" s="2" t="n">
        <v>760.29</v>
      </c>
      <c r="Y726" s="2" t="n">
        <f aca="false">R726*S726*(1-V726)</f>
        <v>760.29</v>
      </c>
      <c r="Z726" s="2" t="str">
        <f aca="false">IF(ABS(X726-Y726)&gt;1,"Mismatch","OK")</f>
        <v>OK</v>
      </c>
      <c r="AA726" s="2" t="n">
        <v>497.77</v>
      </c>
      <c r="AB726" s="2" t="n">
        <v>262.52</v>
      </c>
      <c r="AC726" s="2" t="n">
        <f aca="false">Y726-AA726</f>
        <v>262.52</v>
      </c>
      <c r="AD726" s="2" t="str">
        <f aca="false">IF(ABS(AB726-AC726)&gt;1,"Mismatch","OK")</f>
        <v>OK</v>
      </c>
      <c r="AE726" s="4" t="n">
        <f aca="false">IF(Y726=0,0,AC726/Y726)</f>
        <v>0.345289297504899</v>
      </c>
      <c r="AF726" s="2" t="s">
        <v>52</v>
      </c>
      <c r="AG726" s="2" t="s">
        <v>53</v>
      </c>
      <c r="AH726" s="2" t="str">
        <f aca="false">IF(AND(AG726="Completed",AF726&lt;&gt;"Paid"),"Inconsistent","OK")</f>
        <v>OK</v>
      </c>
      <c r="AI726" s="2" t="n">
        <f aca="false">IF(OR(ISBLANK(B726),ISBLANK(C726)),"",C726-B726)</f>
        <v>6</v>
      </c>
      <c r="AJ726" s="2" t="str">
        <f aca="false">IF(AI726="","Unknown",IF(AI726&lt;0,"Invalid","OK"))</f>
        <v>OK</v>
      </c>
      <c r="AK726" s="2" t="str">
        <f aca="false">IF(ISBLANK(B726),"",TEXT(B726,"mmm"))</f>
        <v>Feb</v>
      </c>
      <c r="AL726" s="2" t="n">
        <f aca="false">IF(ISBLANK(B726),"",YEAR(B726))</f>
        <v>2024</v>
      </c>
      <c r="AM726" s="2" t="s">
        <v>41</v>
      </c>
      <c r="AN726" s="2" t="str">
        <f aca="false">IF(OR(W726="Invalid",AJ726="Invalid",AH726="Inconsistent",Z726="Mismatch",AD726="Mismatch",AM726="Yes",D726="Yes",E726="Yes"),"Invalid",IF(OR(J726="Yes",Q726="Yes",U726="Yes"),"Warning","Clean"))</f>
        <v>Clean</v>
      </c>
    </row>
    <row r="727" customFormat="false" ht="15" hidden="false" customHeight="false" outlineLevel="0" collapsed="false">
      <c r="A727" s="2" t="s">
        <v>2279</v>
      </c>
      <c r="B727" s="3" t="n">
        <v>45935</v>
      </c>
      <c r="C727" s="3" t="n">
        <v>45942</v>
      </c>
      <c r="D727" s="2" t="s">
        <v>41</v>
      </c>
      <c r="E727" s="2" t="s">
        <v>41</v>
      </c>
      <c r="F727" s="2" t="s">
        <v>2280</v>
      </c>
      <c r="G727" s="2" t="s">
        <v>134</v>
      </c>
      <c r="H727" s="2" t="s">
        <v>110</v>
      </c>
      <c r="I727" s="2" t="s">
        <v>74</v>
      </c>
      <c r="J727" s="2" t="s">
        <v>41</v>
      </c>
      <c r="K727" s="2" t="s">
        <v>195</v>
      </c>
      <c r="L727" s="2" t="s">
        <v>196</v>
      </c>
      <c r="M727" s="2" t="s">
        <v>61</v>
      </c>
      <c r="N727" s="2" t="s">
        <v>62</v>
      </c>
      <c r="O727" s="2" t="s">
        <v>2281</v>
      </c>
      <c r="P727" s="2" t="s">
        <v>51</v>
      </c>
      <c r="Q727" s="2" t="s">
        <v>41</v>
      </c>
      <c r="R727" s="2" t="n">
        <v>7</v>
      </c>
      <c r="S727" s="2" t="n">
        <v>2134.73</v>
      </c>
      <c r="T727" s="2" t="n">
        <v>0</v>
      </c>
      <c r="U727" s="2" t="str">
        <f aca="false">IF(ISBLANK(T727),"Yes","No")</f>
        <v>No</v>
      </c>
      <c r="V727" s="2" t="n">
        <f aca="false">IF(ISBLANK(T727),0,IF(ISNUMBER(T727),T727,VALUE(LEFT(T727,LEN(T727)-1))/100))</f>
        <v>0</v>
      </c>
      <c r="W727" s="2" t="str">
        <f aca="false">IF(AND(V727&gt;=0,V727&lt;=0.25),"Valid","Invalid")</f>
        <v>Valid</v>
      </c>
      <c r="X727" s="2" t="n">
        <v>14943.11</v>
      </c>
      <c r="Y727" s="2" t="n">
        <f aca="false">R727*S727*(1-V727)</f>
        <v>14943.11</v>
      </c>
      <c r="Z727" s="2" t="str">
        <f aca="false">IF(ABS(X727-Y727)&gt;1,"Mismatch","OK")</f>
        <v>OK</v>
      </c>
      <c r="AA727" s="2" t="n">
        <v>8521.5</v>
      </c>
      <c r="AB727" s="2" t="n">
        <v>6421.61</v>
      </c>
      <c r="AC727" s="2" t="n">
        <f aca="false">Y727-AA727</f>
        <v>6421.61</v>
      </c>
      <c r="AD727" s="2" t="str">
        <f aca="false">IF(ABS(AB727-AC727)&gt;1,"Mismatch","OK")</f>
        <v>OK</v>
      </c>
      <c r="AE727" s="4" t="n">
        <f aca="false">IF(Y727=0,0,AC727/Y727)</f>
        <v>0.429737183223573</v>
      </c>
      <c r="AF727" s="2" t="s">
        <v>52</v>
      </c>
      <c r="AG727" s="2" t="s">
        <v>53</v>
      </c>
      <c r="AH727" s="2" t="str">
        <f aca="false">IF(AND(AG727="Completed",AF727&lt;&gt;"Paid"),"Inconsistent","OK")</f>
        <v>OK</v>
      </c>
      <c r="AI727" s="2" t="n">
        <f aca="false">IF(OR(ISBLANK(B727),ISBLANK(C727)),"",C727-B727)</f>
        <v>7</v>
      </c>
      <c r="AJ727" s="2" t="str">
        <f aca="false">IF(AI727="","Unknown",IF(AI727&lt;0,"Invalid","OK"))</f>
        <v>OK</v>
      </c>
      <c r="AK727" s="2" t="str">
        <f aca="false">IF(ISBLANK(B727),"",TEXT(B727,"mmm"))</f>
        <v>Oct</v>
      </c>
      <c r="AL727" s="2" t="n">
        <f aca="false">IF(ISBLANK(B727),"",YEAR(B727))</f>
        <v>2025</v>
      </c>
      <c r="AM727" s="2" t="s">
        <v>41</v>
      </c>
      <c r="AN727" s="2" t="str">
        <f aca="false">IF(OR(W727="Invalid",AJ727="Invalid",AH727="Inconsistent",Z727="Mismatch",AD727="Mismatch",AM727="Yes",D727="Yes",E727="Yes"),"Invalid",IF(OR(J727="Yes",Q727="Yes",U727="Yes"),"Warning","Clean"))</f>
        <v>Clean</v>
      </c>
    </row>
    <row r="728" customFormat="false" ht="15" hidden="false" customHeight="false" outlineLevel="0" collapsed="false">
      <c r="A728" s="2" t="s">
        <v>2282</v>
      </c>
      <c r="B728" s="3" t="n">
        <v>45308</v>
      </c>
      <c r="C728" s="3" t="n">
        <v>45314</v>
      </c>
      <c r="D728" s="2" t="s">
        <v>41</v>
      </c>
      <c r="E728" s="2" t="s">
        <v>41</v>
      </c>
      <c r="F728" s="2" t="s">
        <v>2283</v>
      </c>
      <c r="G728" s="2" t="s">
        <v>286</v>
      </c>
      <c r="H728" s="2" t="s">
        <v>115</v>
      </c>
      <c r="I728" s="2" t="s">
        <v>83</v>
      </c>
      <c r="J728" s="2" t="s">
        <v>41</v>
      </c>
      <c r="K728" s="2" t="s">
        <v>200</v>
      </c>
      <c r="L728" s="2" t="s">
        <v>201</v>
      </c>
      <c r="M728" s="2" t="s">
        <v>94</v>
      </c>
      <c r="N728" s="2" t="s">
        <v>191</v>
      </c>
      <c r="O728" s="2" t="s">
        <v>2284</v>
      </c>
      <c r="P728" s="2" t="s">
        <v>79</v>
      </c>
      <c r="Q728" s="2" t="s">
        <v>41</v>
      </c>
      <c r="R728" s="2" t="n">
        <v>5</v>
      </c>
      <c r="S728" s="2" t="n">
        <v>2018</v>
      </c>
      <c r="T728" s="2" t="n">
        <v>0.2</v>
      </c>
      <c r="U728" s="2" t="str">
        <f aca="false">IF(ISBLANK(T728),"Yes","No")</f>
        <v>No</v>
      </c>
      <c r="V728" s="2" t="n">
        <f aca="false">IF(ISBLANK(T728),0,IF(ISNUMBER(T728),T728,VALUE(LEFT(T728,LEN(T728)-1))/100))</f>
        <v>0.2</v>
      </c>
      <c r="W728" s="2" t="str">
        <f aca="false">IF(AND(V728&gt;=0,V728&lt;=0.25),"Valid","Invalid")</f>
        <v>Valid</v>
      </c>
      <c r="X728" s="2" t="n">
        <v>8072</v>
      </c>
      <c r="Y728" s="2" t="n">
        <f aca="false">R728*S728*(1-V728)</f>
        <v>8072</v>
      </c>
      <c r="Z728" s="2" t="str">
        <f aca="false">IF(ABS(X728-Y728)&gt;1,"Mismatch","OK")</f>
        <v>OK</v>
      </c>
      <c r="AA728" s="2" t="n">
        <v>5379.22</v>
      </c>
      <c r="AB728" s="2" t="n">
        <v>2692.78</v>
      </c>
      <c r="AC728" s="2" t="n">
        <f aca="false">Y728-AA728</f>
        <v>2692.78</v>
      </c>
      <c r="AD728" s="2" t="str">
        <f aca="false">IF(ABS(AB728-AC728)&gt;1,"Mismatch","OK")</f>
        <v>OK</v>
      </c>
      <c r="AE728" s="4" t="n">
        <f aca="false">IF(Y728=0,0,AC728/Y728)</f>
        <v>0.33359514370664</v>
      </c>
      <c r="AF728" s="2" t="s">
        <v>131</v>
      </c>
      <c r="AG728" s="2" t="s">
        <v>123</v>
      </c>
      <c r="AH728" s="2" t="str">
        <f aca="false">IF(AND(AG728="Completed",AF728&lt;&gt;"Paid"),"Inconsistent","OK")</f>
        <v>OK</v>
      </c>
      <c r="AI728" s="2" t="n">
        <f aca="false">IF(OR(ISBLANK(B728),ISBLANK(C728)),"",C728-B728)</f>
        <v>6</v>
      </c>
      <c r="AJ728" s="2" t="str">
        <f aca="false">IF(AI728="","Unknown",IF(AI728&lt;0,"Invalid","OK"))</f>
        <v>OK</v>
      </c>
      <c r="AK728" s="2" t="str">
        <f aca="false">IF(ISBLANK(B728),"",TEXT(B728,"mmm"))</f>
        <v>Jan</v>
      </c>
      <c r="AL728" s="2" t="n">
        <f aca="false">IF(ISBLANK(B728),"",YEAR(B728))</f>
        <v>2024</v>
      </c>
      <c r="AM728" s="2" t="s">
        <v>41</v>
      </c>
      <c r="AN728" s="2" t="str">
        <f aca="false">IF(OR(W728="Invalid",AJ728="Invalid",AH728="Inconsistent",Z728="Mismatch",AD728="Mismatch",AM728="Yes",D728="Yes",E728="Yes"),"Invalid",IF(OR(J728="Yes",Q728="Yes",U728="Yes"),"Warning","Clean"))</f>
        <v>Clean</v>
      </c>
    </row>
    <row r="729" customFormat="false" ht="15" hidden="false" customHeight="false" outlineLevel="0" collapsed="false">
      <c r="A729" s="2" t="s">
        <v>2285</v>
      </c>
      <c r="B729" s="3" t="n">
        <v>45578</v>
      </c>
      <c r="C729" s="3" t="n">
        <v>45578</v>
      </c>
      <c r="D729" s="2" t="s">
        <v>41</v>
      </c>
      <c r="E729" s="2" t="s">
        <v>41</v>
      </c>
      <c r="F729" s="2" t="s">
        <v>2286</v>
      </c>
      <c r="G729" s="2" t="s">
        <v>148</v>
      </c>
      <c r="H729" s="2" t="s">
        <v>57</v>
      </c>
      <c r="I729" s="2" t="s">
        <v>58</v>
      </c>
      <c r="J729" s="2" t="s">
        <v>41</v>
      </c>
      <c r="K729" s="2" t="s">
        <v>186</v>
      </c>
      <c r="L729" s="2" t="s">
        <v>187</v>
      </c>
      <c r="M729" s="2" t="s">
        <v>94</v>
      </c>
      <c r="N729" s="2" t="s">
        <v>95</v>
      </c>
      <c r="O729" s="2" t="s">
        <v>2287</v>
      </c>
      <c r="P729" s="2" t="s">
        <v>51</v>
      </c>
      <c r="Q729" s="2" t="s">
        <v>41</v>
      </c>
      <c r="R729" s="2" t="n">
        <v>8</v>
      </c>
      <c r="S729" s="2" t="n">
        <v>3730.66</v>
      </c>
      <c r="T729" s="2" t="n">
        <v>0.05</v>
      </c>
      <c r="U729" s="2" t="str">
        <f aca="false">IF(ISBLANK(T729),"Yes","No")</f>
        <v>No</v>
      </c>
      <c r="V729" s="2" t="n">
        <f aca="false">IF(ISBLANK(T729),0,IF(ISNUMBER(T729),T729,VALUE(LEFT(T729,LEN(T729)-1))/100))</f>
        <v>0.05</v>
      </c>
      <c r="W729" s="2" t="str">
        <f aca="false">IF(AND(V729&gt;=0,V729&lt;=0.25),"Valid","Invalid")</f>
        <v>Valid</v>
      </c>
      <c r="X729" s="2" t="n">
        <v>28353.02</v>
      </c>
      <c r="Y729" s="2" t="n">
        <f aca="false">R729*S729*(1-V729)</f>
        <v>28353.016</v>
      </c>
      <c r="Z729" s="2" t="str">
        <f aca="false">IF(ABS(X729-Y729)&gt;1,"Mismatch","OK")</f>
        <v>OK</v>
      </c>
      <c r="AA729" s="2" t="n">
        <v>19257.85</v>
      </c>
      <c r="AB729" s="2" t="n">
        <v>9095.17</v>
      </c>
      <c r="AC729" s="2" t="n">
        <f aca="false">Y729-AA729</f>
        <v>9095.166</v>
      </c>
      <c r="AD729" s="2" t="str">
        <f aca="false">IF(ABS(AB729-AC729)&gt;1,"Mismatch","OK")</f>
        <v>OK</v>
      </c>
      <c r="AE729" s="4" t="n">
        <f aca="false">IF(Y729=0,0,AC729/Y729)</f>
        <v>0.320783016522828</v>
      </c>
      <c r="AF729" s="2" t="s">
        <v>52</v>
      </c>
      <c r="AG729" s="2" t="s">
        <v>53</v>
      </c>
      <c r="AH729" s="2" t="str">
        <f aca="false">IF(AND(AG729="Completed",AF729&lt;&gt;"Paid"),"Inconsistent","OK")</f>
        <v>OK</v>
      </c>
      <c r="AI729" s="2" t="n">
        <f aca="false">IF(OR(ISBLANK(B729),ISBLANK(C729)),"",C729-B729)</f>
        <v>0</v>
      </c>
      <c r="AJ729" s="2" t="str">
        <f aca="false">IF(AI729="","Unknown",IF(AI729&lt;0,"Invalid","OK"))</f>
        <v>OK</v>
      </c>
      <c r="AK729" s="2" t="str">
        <f aca="false">IF(ISBLANK(B729),"",TEXT(B729,"mmm"))</f>
        <v>Oct</v>
      </c>
      <c r="AL729" s="2" t="n">
        <f aca="false">IF(ISBLANK(B729),"",YEAR(B729))</f>
        <v>2024</v>
      </c>
      <c r="AM729" s="2" t="s">
        <v>41</v>
      </c>
      <c r="AN729" s="2" t="str">
        <f aca="false">IF(OR(W729="Invalid",AJ729="Invalid",AH729="Inconsistent",Z729="Mismatch",AD729="Mismatch",AM729="Yes",D729="Yes",E729="Yes"),"Invalid",IF(OR(J729="Yes",Q729="Yes",U729="Yes"),"Warning","Clean"))</f>
        <v>Clean</v>
      </c>
    </row>
    <row r="730" customFormat="false" ht="15" hidden="false" customHeight="false" outlineLevel="0" collapsed="false">
      <c r="A730" s="2" t="s">
        <v>2288</v>
      </c>
      <c r="B730" s="3" t="n">
        <v>45295</v>
      </c>
      <c r="C730" s="3" t="n">
        <v>45298</v>
      </c>
      <c r="D730" s="2" t="s">
        <v>41</v>
      </c>
      <c r="E730" s="2" t="s">
        <v>41</v>
      </c>
      <c r="F730" s="2" t="s">
        <v>2289</v>
      </c>
      <c r="G730" s="2" t="s">
        <v>152</v>
      </c>
      <c r="H730" s="2" t="s">
        <v>57</v>
      </c>
      <c r="I730" s="2" t="s">
        <v>74</v>
      </c>
      <c r="J730" s="2" t="s">
        <v>41</v>
      </c>
      <c r="K730" s="2" t="s">
        <v>195</v>
      </c>
      <c r="L730" s="2" t="s">
        <v>196</v>
      </c>
      <c r="M730" s="2" t="s">
        <v>94</v>
      </c>
      <c r="N730" s="2" t="s">
        <v>296</v>
      </c>
      <c r="O730" s="2" t="s">
        <v>2290</v>
      </c>
      <c r="P730" s="2" t="s">
        <v>70</v>
      </c>
      <c r="Q730" s="2" t="s">
        <v>41</v>
      </c>
      <c r="R730" s="2" t="n">
        <v>1</v>
      </c>
      <c r="S730" s="2" t="n">
        <v>2363.02</v>
      </c>
      <c r="T730" s="2" t="n">
        <v>0.15</v>
      </c>
      <c r="U730" s="2" t="str">
        <f aca="false">IF(ISBLANK(T730),"Yes","No")</f>
        <v>No</v>
      </c>
      <c r="V730" s="2" t="n">
        <f aca="false">IF(ISBLANK(T730),0,IF(ISNUMBER(T730),T730,VALUE(LEFT(T730,LEN(T730)-1))/100))</f>
        <v>0.15</v>
      </c>
      <c r="W730" s="2" t="str">
        <f aca="false">IF(AND(V730&gt;=0,V730&lt;=0.25),"Valid","Invalid")</f>
        <v>Valid</v>
      </c>
      <c r="X730" s="2" t="n">
        <v>2008.57</v>
      </c>
      <c r="Y730" s="2" t="n">
        <f aca="false">R730*S730*(1-V730)</f>
        <v>2008.567</v>
      </c>
      <c r="Z730" s="2" t="str">
        <f aca="false">IF(ABS(X730-Y730)&gt;1,"Mismatch","OK")</f>
        <v>OK</v>
      </c>
      <c r="AA730" s="2" t="n">
        <v>1194.83</v>
      </c>
      <c r="AB730" s="2" t="n">
        <v>813.74</v>
      </c>
      <c r="AC730" s="2" t="n">
        <f aca="false">Y730-AA730</f>
        <v>813.737</v>
      </c>
      <c r="AD730" s="2" t="str">
        <f aca="false">IF(ABS(AB730-AC730)&gt;1,"Mismatch","OK")</f>
        <v>OK</v>
      </c>
      <c r="AE730" s="4" t="n">
        <f aca="false">IF(Y730=0,0,AC730/Y730)</f>
        <v>0.405133112313406</v>
      </c>
      <c r="AF730" s="2" t="s">
        <v>52</v>
      </c>
      <c r="AG730" s="2" t="s">
        <v>53</v>
      </c>
      <c r="AH730" s="2" t="str">
        <f aca="false">IF(AND(AG730="Completed",AF730&lt;&gt;"Paid"),"Inconsistent","OK")</f>
        <v>OK</v>
      </c>
      <c r="AI730" s="2" t="n">
        <f aca="false">IF(OR(ISBLANK(B730),ISBLANK(C730)),"",C730-B730)</f>
        <v>3</v>
      </c>
      <c r="AJ730" s="2" t="str">
        <f aca="false">IF(AI730="","Unknown",IF(AI730&lt;0,"Invalid","OK"))</f>
        <v>OK</v>
      </c>
      <c r="AK730" s="2" t="str">
        <f aca="false">IF(ISBLANK(B730),"",TEXT(B730,"mmm"))</f>
        <v>Jan</v>
      </c>
      <c r="AL730" s="2" t="n">
        <f aca="false">IF(ISBLANK(B730),"",YEAR(B730))</f>
        <v>2024</v>
      </c>
      <c r="AM730" s="2" t="s">
        <v>41</v>
      </c>
      <c r="AN730" s="2" t="str">
        <f aca="false">IF(OR(W730="Invalid",AJ730="Invalid",AH730="Inconsistent",Z730="Mismatch",AD730="Mismatch",AM730="Yes",D730="Yes",E730="Yes"),"Invalid",IF(OR(J730="Yes",Q730="Yes",U730="Yes"),"Warning","Clean"))</f>
        <v>Clean</v>
      </c>
    </row>
    <row r="731" customFormat="false" ht="15" hidden="false" customHeight="false" outlineLevel="0" collapsed="false">
      <c r="A731" s="2" t="s">
        <v>2291</v>
      </c>
      <c r="B731" s="3" t="n">
        <v>45794</v>
      </c>
      <c r="C731" s="3" t="n">
        <v>45802</v>
      </c>
      <c r="D731" s="2" t="s">
        <v>41</v>
      </c>
      <c r="E731" s="2" t="s">
        <v>41</v>
      </c>
      <c r="F731" s="2" t="s">
        <v>2292</v>
      </c>
      <c r="G731" s="2" t="s">
        <v>82</v>
      </c>
      <c r="H731" s="2" t="s">
        <v>110</v>
      </c>
      <c r="I731" s="2" t="s">
        <v>74</v>
      </c>
      <c r="J731" s="2" t="s">
        <v>41</v>
      </c>
      <c r="K731" s="2" t="s">
        <v>269</v>
      </c>
      <c r="L731" s="2" t="s">
        <v>270</v>
      </c>
      <c r="M731" s="2" t="s">
        <v>94</v>
      </c>
      <c r="N731" s="2" t="s">
        <v>296</v>
      </c>
      <c r="O731" s="2" t="s">
        <v>2293</v>
      </c>
      <c r="P731" s="2" t="s">
        <v>64</v>
      </c>
      <c r="Q731" s="2" t="s">
        <v>41</v>
      </c>
      <c r="R731" s="2" t="n">
        <v>6</v>
      </c>
      <c r="S731" s="2" t="n">
        <v>1810.63</v>
      </c>
      <c r="T731" s="2" t="n">
        <v>0.15</v>
      </c>
      <c r="U731" s="2" t="str">
        <f aca="false">IF(ISBLANK(T731),"Yes","No")</f>
        <v>No</v>
      </c>
      <c r="V731" s="2" t="n">
        <f aca="false">IF(ISBLANK(T731),0,IF(ISNUMBER(T731),T731,VALUE(LEFT(T731,LEN(T731)-1))/100))</f>
        <v>0.15</v>
      </c>
      <c r="W731" s="2" t="str">
        <f aca="false">IF(AND(V731&gt;=0,V731&lt;=0.25),"Valid","Invalid")</f>
        <v>Valid</v>
      </c>
      <c r="X731" s="2" t="n">
        <v>9234.21</v>
      </c>
      <c r="Y731" s="2" t="n">
        <f aca="false">R731*S731*(1-V731)</f>
        <v>9234.213</v>
      </c>
      <c r="Z731" s="2" t="str">
        <f aca="false">IF(ABS(X731-Y731)&gt;1,"Mismatch","OK")</f>
        <v>OK</v>
      </c>
      <c r="AA731" s="2" t="n">
        <v>5516.52</v>
      </c>
      <c r="AB731" s="2" t="n">
        <v>3717.69</v>
      </c>
      <c r="AC731" s="2" t="n">
        <f aca="false">Y731-AA731</f>
        <v>3717.693</v>
      </c>
      <c r="AD731" s="2" t="str">
        <f aca="false">IF(ABS(AB731-AC731)&gt;1,"Mismatch","OK")</f>
        <v>OK</v>
      </c>
      <c r="AE731" s="4" t="n">
        <f aca="false">IF(Y731=0,0,AC731/Y731)</f>
        <v>0.402599875051615</v>
      </c>
      <c r="AF731" s="2" t="s">
        <v>52</v>
      </c>
      <c r="AG731" s="2" t="s">
        <v>53</v>
      </c>
      <c r="AH731" s="2" t="str">
        <f aca="false">IF(AND(AG731="Completed",AF731&lt;&gt;"Paid"),"Inconsistent","OK")</f>
        <v>OK</v>
      </c>
      <c r="AI731" s="2" t="n">
        <f aca="false">IF(OR(ISBLANK(B731),ISBLANK(C731)),"",C731-B731)</f>
        <v>8</v>
      </c>
      <c r="AJ731" s="2" t="str">
        <f aca="false">IF(AI731="","Unknown",IF(AI731&lt;0,"Invalid","OK"))</f>
        <v>OK</v>
      </c>
      <c r="AK731" s="2" t="str">
        <f aca="false">IF(ISBLANK(B731),"",TEXT(B731,"mmm"))</f>
        <v>May</v>
      </c>
      <c r="AL731" s="2" t="n">
        <f aca="false">IF(ISBLANK(B731),"",YEAR(B731))</f>
        <v>2025</v>
      </c>
      <c r="AM731" s="2" t="s">
        <v>41</v>
      </c>
      <c r="AN731" s="2" t="str">
        <f aca="false">IF(OR(W731="Invalid",AJ731="Invalid",AH731="Inconsistent",Z731="Mismatch",AD731="Mismatch",AM731="Yes",D731="Yes",E731="Yes"),"Invalid",IF(OR(J731="Yes",Q731="Yes",U731="Yes"),"Warning","Clean"))</f>
        <v>Clean</v>
      </c>
    </row>
    <row r="732" customFormat="false" ht="15" hidden="false" customHeight="false" outlineLevel="0" collapsed="false">
      <c r="A732" s="2" t="s">
        <v>2294</v>
      </c>
      <c r="B732" s="3" t="n">
        <v>45827</v>
      </c>
      <c r="C732" s="3" t="n">
        <v>45832</v>
      </c>
      <c r="D732" s="2" t="s">
        <v>41</v>
      </c>
      <c r="E732" s="2" t="s">
        <v>41</v>
      </c>
      <c r="F732" s="2" t="s">
        <v>2295</v>
      </c>
      <c r="G732" s="2" t="s">
        <v>73</v>
      </c>
      <c r="H732" s="2" t="s">
        <v>44</v>
      </c>
      <c r="I732" s="2" t="s">
        <v>58</v>
      </c>
      <c r="J732" s="2" t="s">
        <v>41</v>
      </c>
      <c r="K732" s="2" t="s">
        <v>119</v>
      </c>
      <c r="L732" s="2" t="s">
        <v>120</v>
      </c>
      <c r="M732" s="2" t="s">
        <v>48</v>
      </c>
      <c r="N732" s="2" t="s">
        <v>68</v>
      </c>
      <c r="O732" s="2" t="s">
        <v>2296</v>
      </c>
      <c r="P732" s="2" t="s">
        <v>51</v>
      </c>
      <c r="Q732" s="2" t="s">
        <v>41</v>
      </c>
      <c r="R732" s="2" t="n">
        <v>4</v>
      </c>
      <c r="S732" s="2" t="n">
        <v>782.01</v>
      </c>
      <c r="T732" s="2" t="n">
        <v>0.15</v>
      </c>
      <c r="U732" s="2" t="str">
        <f aca="false">IF(ISBLANK(T732),"Yes","No")</f>
        <v>No</v>
      </c>
      <c r="V732" s="2" t="n">
        <f aca="false">IF(ISBLANK(T732),0,IF(ISNUMBER(T732),T732,VALUE(LEFT(T732,LEN(T732)-1))/100))</f>
        <v>0.15</v>
      </c>
      <c r="W732" s="2" t="str">
        <f aca="false">IF(AND(V732&gt;=0,V732&lt;=0.25),"Valid","Invalid")</f>
        <v>Valid</v>
      </c>
      <c r="X732" s="2" t="n">
        <v>2658.83</v>
      </c>
      <c r="Y732" s="2" t="n">
        <f aca="false">R732*S732*(1-V732)</f>
        <v>2658.834</v>
      </c>
      <c r="Z732" s="2" t="str">
        <f aca="false">IF(ABS(X732-Y732)&gt;1,"Mismatch","OK")</f>
        <v>OK</v>
      </c>
      <c r="AA732" s="2" t="n">
        <v>2226.97</v>
      </c>
      <c r="AB732" s="2" t="n">
        <v>431.86</v>
      </c>
      <c r="AC732" s="2" t="n">
        <f aca="false">Y732-AA732</f>
        <v>431.864</v>
      </c>
      <c r="AD732" s="2" t="str">
        <f aca="false">IF(ABS(AB732-AC732)&gt;1,"Mismatch","OK")</f>
        <v>OK</v>
      </c>
      <c r="AE732" s="4" t="n">
        <f aca="false">IF(Y732=0,0,AC732/Y732)</f>
        <v>0.162426086021166</v>
      </c>
      <c r="AF732" s="2" t="s">
        <v>122</v>
      </c>
      <c r="AG732" s="2" t="s">
        <v>123</v>
      </c>
      <c r="AH732" s="2" t="str">
        <f aca="false">IF(AND(AG732="Completed",AF732&lt;&gt;"Paid"),"Inconsistent","OK")</f>
        <v>OK</v>
      </c>
      <c r="AI732" s="2" t="n">
        <f aca="false">IF(OR(ISBLANK(B732),ISBLANK(C732)),"",C732-B732)</f>
        <v>5</v>
      </c>
      <c r="AJ732" s="2" t="str">
        <f aca="false">IF(AI732="","Unknown",IF(AI732&lt;0,"Invalid","OK"))</f>
        <v>OK</v>
      </c>
      <c r="AK732" s="2" t="str">
        <f aca="false">IF(ISBLANK(B732),"",TEXT(B732,"mmm"))</f>
        <v>Jun</v>
      </c>
      <c r="AL732" s="2" t="n">
        <f aca="false">IF(ISBLANK(B732),"",YEAR(B732))</f>
        <v>2025</v>
      </c>
      <c r="AM732" s="2" t="s">
        <v>41</v>
      </c>
      <c r="AN732" s="2" t="str">
        <f aca="false">IF(OR(W732="Invalid",AJ732="Invalid",AH732="Inconsistent",Z732="Mismatch",AD732="Mismatch",AM732="Yes",D732="Yes",E732="Yes"),"Invalid",IF(OR(J732="Yes",Q732="Yes",U732="Yes"),"Warning","Clean"))</f>
        <v>Clean</v>
      </c>
    </row>
    <row r="733" customFormat="false" ht="15" hidden="false" customHeight="false" outlineLevel="0" collapsed="false">
      <c r="A733" s="2" t="s">
        <v>2297</v>
      </c>
      <c r="B733" s="3" t="n">
        <v>45368</v>
      </c>
      <c r="C733" s="3" t="n">
        <v>45370</v>
      </c>
      <c r="D733" s="2" t="s">
        <v>41</v>
      </c>
      <c r="E733" s="2" t="s">
        <v>41</v>
      </c>
      <c r="F733" s="2" t="s">
        <v>2298</v>
      </c>
      <c r="G733" s="2" t="s">
        <v>82</v>
      </c>
      <c r="H733" s="2" t="s">
        <v>110</v>
      </c>
      <c r="I733" s="2" t="s">
        <v>58</v>
      </c>
      <c r="J733" s="2" t="s">
        <v>41</v>
      </c>
      <c r="K733" s="2" t="s">
        <v>59</v>
      </c>
      <c r="L733" s="2" t="s">
        <v>60</v>
      </c>
      <c r="M733" s="2" t="s">
        <v>48</v>
      </c>
      <c r="N733" s="2" t="s">
        <v>173</v>
      </c>
      <c r="O733" s="2" t="s">
        <v>2299</v>
      </c>
      <c r="P733" s="2" t="s">
        <v>70</v>
      </c>
      <c r="Q733" s="2" t="s">
        <v>41</v>
      </c>
      <c r="R733" s="2" t="n">
        <v>4</v>
      </c>
      <c r="S733" s="2" t="n">
        <v>4376.68</v>
      </c>
      <c r="T733" s="2" t="n">
        <v>0.1</v>
      </c>
      <c r="U733" s="2" t="str">
        <f aca="false">IF(ISBLANK(T733),"Yes","No")</f>
        <v>No</v>
      </c>
      <c r="V733" s="2" t="n">
        <f aca="false">IF(ISBLANK(T733),0,IF(ISNUMBER(T733),T733,VALUE(LEFT(T733,LEN(T733)-1))/100))</f>
        <v>0.1</v>
      </c>
      <c r="W733" s="2" t="str">
        <f aca="false">IF(AND(V733&gt;=0,V733&lt;=0.25),"Valid","Invalid")</f>
        <v>Valid</v>
      </c>
      <c r="X733" s="2" t="n">
        <v>15756.05</v>
      </c>
      <c r="Y733" s="2" t="n">
        <f aca="false">R733*S733*(1-V733)</f>
        <v>15756.048</v>
      </c>
      <c r="Z733" s="2" t="str">
        <f aca="false">IF(ABS(X733-Y733)&gt;1,"Mismatch","OK")</f>
        <v>OK</v>
      </c>
      <c r="AA733" s="2" t="n">
        <v>10245.44</v>
      </c>
      <c r="AB733" s="2" t="n">
        <v>5510.61</v>
      </c>
      <c r="AC733" s="2" t="n">
        <f aca="false">Y733-AA733</f>
        <v>5510.608</v>
      </c>
      <c r="AD733" s="2" t="str">
        <f aca="false">IF(ABS(AB733-AC733)&gt;1,"Mismatch","OK")</f>
        <v>OK</v>
      </c>
      <c r="AE733" s="4" t="n">
        <f aca="false">IF(Y733=0,0,AC733/Y733)</f>
        <v>0.349745570716718</v>
      </c>
      <c r="AF733" s="2" t="s">
        <v>52</v>
      </c>
      <c r="AG733" s="2" t="s">
        <v>53</v>
      </c>
      <c r="AH733" s="2" t="str">
        <f aca="false">IF(AND(AG733="Completed",AF733&lt;&gt;"Paid"),"Inconsistent","OK")</f>
        <v>OK</v>
      </c>
      <c r="AI733" s="2" t="n">
        <f aca="false">IF(OR(ISBLANK(B733),ISBLANK(C733)),"",C733-B733)</f>
        <v>2</v>
      </c>
      <c r="AJ733" s="2" t="str">
        <f aca="false">IF(AI733="","Unknown",IF(AI733&lt;0,"Invalid","OK"))</f>
        <v>OK</v>
      </c>
      <c r="AK733" s="2" t="str">
        <f aca="false">IF(ISBLANK(B733),"",TEXT(B733,"mmm"))</f>
        <v>Mar</v>
      </c>
      <c r="AL733" s="2" t="n">
        <f aca="false">IF(ISBLANK(B733),"",YEAR(B733))</f>
        <v>2024</v>
      </c>
      <c r="AM733" s="2" t="s">
        <v>41</v>
      </c>
      <c r="AN733" s="2" t="str">
        <f aca="false">IF(OR(W733="Invalid",AJ733="Invalid",AH733="Inconsistent",Z733="Mismatch",AD733="Mismatch",AM733="Yes",D733="Yes",E733="Yes"),"Invalid",IF(OR(J733="Yes",Q733="Yes",U733="Yes"),"Warning","Clean"))</f>
        <v>Clean</v>
      </c>
    </row>
    <row r="734" customFormat="false" ht="15" hidden="false" customHeight="false" outlineLevel="0" collapsed="false">
      <c r="A734" s="2" t="s">
        <v>2300</v>
      </c>
      <c r="B734" s="3" t="n">
        <v>45624</v>
      </c>
      <c r="C734" s="3" t="n">
        <v>45632</v>
      </c>
      <c r="D734" s="2" t="s">
        <v>41</v>
      </c>
      <c r="E734" s="2" t="s">
        <v>41</v>
      </c>
      <c r="F734" s="2" t="s">
        <v>2301</v>
      </c>
      <c r="G734" s="2" t="s">
        <v>73</v>
      </c>
      <c r="H734" s="2" t="s">
        <v>57</v>
      </c>
      <c r="I734" s="2" t="s">
        <v>45</v>
      </c>
      <c r="J734" s="2" t="s">
        <v>41</v>
      </c>
      <c r="K734" s="2" t="s">
        <v>142</v>
      </c>
      <c r="L734" s="2" t="s">
        <v>143</v>
      </c>
      <c r="M734" s="2" t="s">
        <v>94</v>
      </c>
      <c r="N734" s="2" t="s">
        <v>191</v>
      </c>
      <c r="O734" s="2" t="s">
        <v>2302</v>
      </c>
      <c r="P734" s="2" t="s">
        <v>79</v>
      </c>
      <c r="Q734" s="2" t="s">
        <v>41</v>
      </c>
      <c r="R734" s="2" t="n">
        <v>6</v>
      </c>
      <c r="S734" s="2" t="n">
        <v>2464.63</v>
      </c>
      <c r="T734" s="2" t="n">
        <v>0</v>
      </c>
      <c r="U734" s="2" t="str">
        <f aca="false">IF(ISBLANK(T734),"Yes","No")</f>
        <v>No</v>
      </c>
      <c r="V734" s="2" t="n">
        <f aca="false">IF(ISBLANK(T734),0,IF(ISNUMBER(T734),T734,VALUE(LEFT(T734,LEN(T734)-1))/100))</f>
        <v>0</v>
      </c>
      <c r="W734" s="2" t="str">
        <f aca="false">IF(AND(V734&gt;=0,V734&lt;=0.25),"Valid","Invalid")</f>
        <v>Valid</v>
      </c>
      <c r="X734" s="2" t="n">
        <v>14787.78</v>
      </c>
      <c r="Y734" s="2" t="n">
        <f aca="false">R734*S734*(1-V734)</f>
        <v>14787.78</v>
      </c>
      <c r="Z734" s="2" t="str">
        <f aca="false">IF(ABS(X734-Y734)&gt;1,"Mismatch","OK")</f>
        <v>OK</v>
      </c>
      <c r="AA734" s="2" t="n">
        <v>8596.65</v>
      </c>
      <c r="AB734" s="2" t="n">
        <v>6191.13</v>
      </c>
      <c r="AC734" s="2" t="n">
        <f aca="false">Y734-AA734</f>
        <v>6191.13</v>
      </c>
      <c r="AD734" s="2" t="str">
        <f aca="false">IF(ABS(AB734-AC734)&gt;1,"Mismatch","OK")</f>
        <v>OK</v>
      </c>
      <c r="AE734" s="4" t="n">
        <f aca="false">IF(Y734=0,0,AC734/Y734)</f>
        <v>0.41866527632951</v>
      </c>
      <c r="AF734" s="2" t="s">
        <v>52</v>
      </c>
      <c r="AG734" s="2" t="s">
        <v>53</v>
      </c>
      <c r="AH734" s="2" t="str">
        <f aca="false">IF(AND(AG734="Completed",AF734&lt;&gt;"Paid"),"Inconsistent","OK")</f>
        <v>OK</v>
      </c>
      <c r="AI734" s="2" t="n">
        <f aca="false">IF(OR(ISBLANK(B734),ISBLANK(C734)),"",C734-B734)</f>
        <v>8</v>
      </c>
      <c r="AJ734" s="2" t="str">
        <f aca="false">IF(AI734="","Unknown",IF(AI734&lt;0,"Invalid","OK"))</f>
        <v>OK</v>
      </c>
      <c r="AK734" s="2" t="str">
        <f aca="false">IF(ISBLANK(B734),"",TEXT(B734,"mmm"))</f>
        <v>Nov</v>
      </c>
      <c r="AL734" s="2" t="n">
        <f aca="false">IF(ISBLANK(B734),"",YEAR(B734))</f>
        <v>2024</v>
      </c>
      <c r="AM734" s="2" t="s">
        <v>41</v>
      </c>
      <c r="AN734" s="2" t="str">
        <f aca="false">IF(OR(W734="Invalid",AJ734="Invalid",AH734="Inconsistent",Z734="Mismatch",AD734="Mismatch",AM734="Yes",D734="Yes",E734="Yes"),"Invalid",IF(OR(J734="Yes",Q734="Yes",U734="Yes"),"Warning","Clean"))</f>
        <v>Clean</v>
      </c>
    </row>
    <row r="735" customFormat="false" ht="15" hidden="false" customHeight="false" outlineLevel="0" collapsed="false">
      <c r="A735" s="2" t="s">
        <v>2303</v>
      </c>
      <c r="B735" s="3" t="n">
        <v>45464</v>
      </c>
      <c r="C735" s="3" t="n">
        <v>45471</v>
      </c>
      <c r="D735" s="2" t="s">
        <v>41</v>
      </c>
      <c r="E735" s="2" t="s">
        <v>41</v>
      </c>
      <c r="F735" s="2" t="s">
        <v>2304</v>
      </c>
      <c r="G735" s="2" t="s">
        <v>148</v>
      </c>
      <c r="H735" s="2" t="s">
        <v>115</v>
      </c>
      <c r="I735" s="2" t="s">
        <v>45</v>
      </c>
      <c r="J735" s="2" t="s">
        <v>41</v>
      </c>
      <c r="K735" s="2" t="s">
        <v>46</v>
      </c>
      <c r="L735" s="2" t="s">
        <v>47</v>
      </c>
      <c r="M735" s="2" t="s">
        <v>61</v>
      </c>
      <c r="N735" s="2" t="s">
        <v>77</v>
      </c>
      <c r="O735" s="2" t="s">
        <v>2305</v>
      </c>
      <c r="P735" s="2" t="s">
        <v>70</v>
      </c>
      <c r="Q735" s="2" t="s">
        <v>41</v>
      </c>
      <c r="R735" s="2" t="n">
        <v>9</v>
      </c>
      <c r="S735" s="2" t="n">
        <v>2797.96</v>
      </c>
      <c r="T735" s="2" t="n">
        <v>0</v>
      </c>
      <c r="U735" s="2" t="str">
        <f aca="false">IF(ISBLANK(T735),"Yes","No")</f>
        <v>No</v>
      </c>
      <c r="V735" s="2" t="n">
        <f aca="false">IF(ISBLANK(T735),0,IF(ISNUMBER(T735),T735,VALUE(LEFT(T735,LEN(T735)-1))/100))</f>
        <v>0</v>
      </c>
      <c r="W735" s="2" t="str">
        <f aca="false">IF(AND(V735&gt;=0,V735&lt;=0.25),"Valid","Invalid")</f>
        <v>Valid</v>
      </c>
      <c r="X735" s="2" t="n">
        <v>25181.64</v>
      </c>
      <c r="Y735" s="2" t="n">
        <f aca="false">R735*S735*(1-V735)</f>
        <v>25181.64</v>
      </c>
      <c r="Z735" s="2" t="str">
        <f aca="false">IF(ABS(X735-Y735)&gt;1,"Mismatch","OK")</f>
        <v>OK</v>
      </c>
      <c r="AA735" s="2" t="n">
        <v>15337.9</v>
      </c>
      <c r="AB735" s="2" t="n">
        <v>9843.74</v>
      </c>
      <c r="AC735" s="2" t="n">
        <f aca="false">Y735-AA735</f>
        <v>9843.74</v>
      </c>
      <c r="AD735" s="2" t="str">
        <f aca="false">IF(ABS(AB735-AC735)&gt;1,"Mismatch","OK")</f>
        <v>OK</v>
      </c>
      <c r="AE735" s="4" t="n">
        <f aca="false">IF(Y735=0,0,AC735/Y735)</f>
        <v>0.39090940860087</v>
      </c>
      <c r="AF735" s="2" t="s">
        <v>52</v>
      </c>
      <c r="AG735" s="2" t="s">
        <v>53</v>
      </c>
      <c r="AH735" s="2" t="str">
        <f aca="false">IF(AND(AG735="Completed",AF735&lt;&gt;"Paid"),"Inconsistent","OK")</f>
        <v>OK</v>
      </c>
      <c r="AI735" s="2" t="n">
        <f aca="false">IF(OR(ISBLANK(B735),ISBLANK(C735)),"",C735-B735)</f>
        <v>7</v>
      </c>
      <c r="AJ735" s="2" t="str">
        <f aca="false">IF(AI735="","Unknown",IF(AI735&lt;0,"Invalid","OK"))</f>
        <v>OK</v>
      </c>
      <c r="AK735" s="2" t="str">
        <f aca="false">IF(ISBLANK(B735),"",TEXT(B735,"mmm"))</f>
        <v>Jun</v>
      </c>
      <c r="AL735" s="2" t="n">
        <f aca="false">IF(ISBLANK(B735),"",YEAR(B735))</f>
        <v>2024</v>
      </c>
      <c r="AM735" s="2" t="s">
        <v>41</v>
      </c>
      <c r="AN735" s="2" t="str">
        <f aca="false">IF(OR(W735="Invalid",AJ735="Invalid",AH735="Inconsistent",Z735="Mismatch",AD735="Mismatch",AM735="Yes",D735="Yes",E735="Yes"),"Invalid",IF(OR(J735="Yes",Q735="Yes",U735="Yes"),"Warning","Clean"))</f>
        <v>Clean</v>
      </c>
    </row>
    <row r="736" customFormat="false" ht="15" hidden="false" customHeight="false" outlineLevel="0" collapsed="false">
      <c r="A736" s="2" t="s">
        <v>2306</v>
      </c>
      <c r="B736" s="3" t="n">
        <v>45528</v>
      </c>
      <c r="C736" s="3" t="n">
        <v>45528</v>
      </c>
      <c r="D736" s="2" t="s">
        <v>41</v>
      </c>
      <c r="E736" s="2" t="s">
        <v>41</v>
      </c>
      <c r="F736" s="2" t="s">
        <v>2307</v>
      </c>
      <c r="G736" s="2" t="s">
        <v>82</v>
      </c>
      <c r="H736" s="2" t="s">
        <v>57</v>
      </c>
      <c r="I736" s="2" t="s">
        <v>45</v>
      </c>
      <c r="J736" s="2" t="s">
        <v>41</v>
      </c>
      <c r="K736" s="2" t="s">
        <v>46</v>
      </c>
      <c r="L736" s="2" t="s">
        <v>47</v>
      </c>
      <c r="M736" s="2" t="s">
        <v>94</v>
      </c>
      <c r="N736" s="2" t="s">
        <v>95</v>
      </c>
      <c r="O736" s="2" t="s">
        <v>2308</v>
      </c>
      <c r="P736" s="2" t="s">
        <v>70</v>
      </c>
      <c r="Q736" s="2" t="s">
        <v>41</v>
      </c>
      <c r="R736" s="2" t="n">
        <v>4</v>
      </c>
      <c r="S736" s="2" t="n">
        <v>2761.86</v>
      </c>
      <c r="T736" s="2" t="n">
        <v>0.2</v>
      </c>
      <c r="U736" s="2" t="str">
        <f aca="false">IF(ISBLANK(T736),"Yes","No")</f>
        <v>No</v>
      </c>
      <c r="V736" s="2" t="n">
        <f aca="false">IF(ISBLANK(T736),0,IF(ISNUMBER(T736),T736,VALUE(LEFT(T736,LEN(T736)-1))/100))</f>
        <v>0.2</v>
      </c>
      <c r="W736" s="2" t="str">
        <f aca="false">IF(AND(V736&gt;=0,V736&lt;=0.25),"Valid","Invalid")</f>
        <v>Valid</v>
      </c>
      <c r="X736" s="2" t="n">
        <v>8837.95</v>
      </c>
      <c r="Y736" s="2" t="n">
        <f aca="false">R736*S736*(1-V736)</f>
        <v>8837.952</v>
      </c>
      <c r="Z736" s="2" t="str">
        <f aca="false">IF(ABS(X736-Y736)&gt;1,"Mismatch","OK")</f>
        <v>OK</v>
      </c>
      <c r="AA736" s="2" t="n">
        <v>6157.27</v>
      </c>
      <c r="AB736" s="2" t="n">
        <v>2680.68</v>
      </c>
      <c r="AC736" s="2" t="n">
        <f aca="false">Y736-AA736</f>
        <v>2680.682</v>
      </c>
      <c r="AD736" s="2" t="str">
        <f aca="false">IF(ABS(AB736-AC736)&gt;1,"Mismatch","OK")</f>
        <v>OK</v>
      </c>
      <c r="AE736" s="4" t="n">
        <f aca="false">IF(Y736=0,0,AC736/Y736)</f>
        <v>0.303314840361206</v>
      </c>
      <c r="AF736" s="2" t="s">
        <v>52</v>
      </c>
      <c r="AG736" s="2" t="s">
        <v>53</v>
      </c>
      <c r="AH736" s="2" t="str">
        <f aca="false">IF(AND(AG736="Completed",AF736&lt;&gt;"Paid"),"Inconsistent","OK")</f>
        <v>OK</v>
      </c>
      <c r="AI736" s="2" t="n">
        <f aca="false">IF(OR(ISBLANK(B736),ISBLANK(C736)),"",C736-B736)</f>
        <v>0</v>
      </c>
      <c r="AJ736" s="2" t="str">
        <f aca="false">IF(AI736="","Unknown",IF(AI736&lt;0,"Invalid","OK"))</f>
        <v>OK</v>
      </c>
      <c r="AK736" s="2" t="str">
        <f aca="false">IF(ISBLANK(B736),"",TEXT(B736,"mmm"))</f>
        <v>Aug</v>
      </c>
      <c r="AL736" s="2" t="n">
        <f aca="false">IF(ISBLANK(B736),"",YEAR(B736))</f>
        <v>2024</v>
      </c>
      <c r="AM736" s="2" t="s">
        <v>41</v>
      </c>
      <c r="AN736" s="2" t="str">
        <f aca="false">IF(OR(W736="Invalid",AJ736="Invalid",AH736="Inconsistent",Z736="Mismatch",AD736="Mismatch",AM736="Yes",D736="Yes",E736="Yes"),"Invalid",IF(OR(J736="Yes",Q736="Yes",U736="Yes"),"Warning","Clean"))</f>
        <v>Clean</v>
      </c>
    </row>
    <row r="737" customFormat="false" ht="15" hidden="false" customHeight="false" outlineLevel="0" collapsed="false">
      <c r="A737" s="2" t="s">
        <v>2309</v>
      </c>
      <c r="B737" s="3" t="n">
        <v>45515</v>
      </c>
      <c r="C737" s="3" t="n">
        <v>45523</v>
      </c>
      <c r="D737" s="2" t="s">
        <v>41</v>
      </c>
      <c r="E737" s="2" t="s">
        <v>41</v>
      </c>
      <c r="F737" s="2" t="s">
        <v>2310</v>
      </c>
      <c r="G737" s="2" t="s">
        <v>56</v>
      </c>
      <c r="H737" s="2" t="s">
        <v>44</v>
      </c>
      <c r="I737" s="2" t="s">
        <v>83</v>
      </c>
      <c r="J737" s="2" t="s">
        <v>41</v>
      </c>
      <c r="K737" s="2" t="s">
        <v>84</v>
      </c>
      <c r="L737" s="2" t="s">
        <v>85</v>
      </c>
      <c r="M737" s="2" t="s">
        <v>61</v>
      </c>
      <c r="N737" s="2" t="s">
        <v>62</v>
      </c>
      <c r="O737" s="2" t="s">
        <v>2311</v>
      </c>
      <c r="P737" s="2" t="s">
        <v>79</v>
      </c>
      <c r="Q737" s="2" t="s">
        <v>41</v>
      </c>
      <c r="R737" s="2" t="n">
        <v>6</v>
      </c>
      <c r="S737" s="2" t="n">
        <v>1515.79</v>
      </c>
      <c r="T737" s="2" t="n">
        <v>0.2</v>
      </c>
      <c r="U737" s="2" t="str">
        <f aca="false">IF(ISBLANK(T737),"Yes","No")</f>
        <v>No</v>
      </c>
      <c r="V737" s="2" t="n">
        <f aca="false">IF(ISBLANK(T737),0,IF(ISNUMBER(T737),T737,VALUE(LEFT(T737,LEN(T737)-1))/100))</f>
        <v>0.2</v>
      </c>
      <c r="W737" s="2" t="str">
        <f aca="false">IF(AND(V737&gt;=0,V737&lt;=0.25),"Valid","Invalid")</f>
        <v>Valid</v>
      </c>
      <c r="X737" s="2" t="n">
        <v>7275.79</v>
      </c>
      <c r="Y737" s="2" t="n">
        <f aca="false">R737*S737*(1-V737)</f>
        <v>7275.792</v>
      </c>
      <c r="Z737" s="2" t="str">
        <f aca="false">IF(ABS(X737-Y737)&gt;1,"Mismatch","OK")</f>
        <v>OK</v>
      </c>
      <c r="AA737" s="2" t="n">
        <v>6152.87</v>
      </c>
      <c r="AB737" s="2" t="n">
        <v>1122.92</v>
      </c>
      <c r="AC737" s="2" t="n">
        <f aca="false">Y737-AA737</f>
        <v>1122.922</v>
      </c>
      <c r="AD737" s="2" t="str">
        <f aca="false">IF(ABS(AB737-AC737)&gt;1,"Mismatch","OK")</f>
        <v>OK</v>
      </c>
      <c r="AE737" s="4" t="n">
        <f aca="false">IF(Y737=0,0,AC737/Y737)</f>
        <v>0.154336737498818</v>
      </c>
      <c r="AF737" s="2" t="s">
        <v>52</v>
      </c>
      <c r="AG737" s="2" t="s">
        <v>53</v>
      </c>
      <c r="AH737" s="2" t="str">
        <f aca="false">IF(AND(AG737="Completed",AF737&lt;&gt;"Paid"),"Inconsistent","OK")</f>
        <v>OK</v>
      </c>
      <c r="AI737" s="2" t="n">
        <f aca="false">IF(OR(ISBLANK(B737),ISBLANK(C737)),"",C737-B737)</f>
        <v>8</v>
      </c>
      <c r="AJ737" s="2" t="str">
        <f aca="false">IF(AI737="","Unknown",IF(AI737&lt;0,"Invalid","OK"))</f>
        <v>OK</v>
      </c>
      <c r="AK737" s="2" t="str">
        <f aca="false">IF(ISBLANK(B737),"",TEXT(B737,"mmm"))</f>
        <v>Aug</v>
      </c>
      <c r="AL737" s="2" t="n">
        <f aca="false">IF(ISBLANK(B737),"",YEAR(B737))</f>
        <v>2024</v>
      </c>
      <c r="AM737" s="2" t="s">
        <v>41</v>
      </c>
      <c r="AN737" s="2" t="str">
        <f aca="false">IF(OR(W737="Invalid",AJ737="Invalid",AH737="Inconsistent",Z737="Mismatch",AD737="Mismatch",AM737="Yes",D737="Yes",E737="Yes"),"Invalid",IF(OR(J737="Yes",Q737="Yes",U737="Yes"),"Warning","Clean"))</f>
        <v>Clean</v>
      </c>
    </row>
    <row r="738" customFormat="false" ht="15" hidden="false" customHeight="false" outlineLevel="0" collapsed="false">
      <c r="A738" s="2" t="s">
        <v>2312</v>
      </c>
      <c r="B738" s="3" t="n">
        <v>45632</v>
      </c>
      <c r="C738" s="3" t="n">
        <v>45635</v>
      </c>
      <c r="D738" s="2" t="s">
        <v>41</v>
      </c>
      <c r="E738" s="2" t="s">
        <v>41</v>
      </c>
      <c r="F738" s="2" t="s">
        <v>2313</v>
      </c>
      <c r="G738" s="2" t="s">
        <v>109</v>
      </c>
      <c r="H738" s="2" t="s">
        <v>44</v>
      </c>
      <c r="I738" s="2" t="s">
        <v>83</v>
      </c>
      <c r="J738" s="2" t="s">
        <v>41</v>
      </c>
      <c r="K738" s="2" t="s">
        <v>84</v>
      </c>
      <c r="L738" s="2" t="s">
        <v>85</v>
      </c>
      <c r="M738" s="2" t="s">
        <v>61</v>
      </c>
      <c r="N738" s="2" t="s">
        <v>86</v>
      </c>
      <c r="O738" s="2" t="s">
        <v>2314</v>
      </c>
      <c r="P738" s="2" t="s">
        <v>51</v>
      </c>
      <c r="Q738" s="2" t="s">
        <v>41</v>
      </c>
      <c r="R738" s="2" t="n">
        <v>9</v>
      </c>
      <c r="S738" s="2" t="n">
        <v>290.75</v>
      </c>
      <c r="T738" s="2" t="n">
        <v>0.1</v>
      </c>
      <c r="U738" s="2" t="str">
        <f aca="false">IF(ISBLANK(T738),"Yes","No")</f>
        <v>No</v>
      </c>
      <c r="V738" s="2" t="n">
        <f aca="false">IF(ISBLANK(T738),0,IF(ISNUMBER(T738),T738,VALUE(LEFT(T738,LEN(T738)-1))/100))</f>
        <v>0.1</v>
      </c>
      <c r="W738" s="2" t="str">
        <f aca="false">IF(AND(V738&gt;=0,V738&lt;=0.25),"Valid","Invalid")</f>
        <v>Valid</v>
      </c>
      <c r="X738" s="2" t="n">
        <v>2355.08</v>
      </c>
      <c r="Y738" s="2" t="n">
        <f aca="false">R738*S738*(1-V738)</f>
        <v>2355.075</v>
      </c>
      <c r="Z738" s="2" t="str">
        <f aca="false">IF(ABS(X738-Y738)&gt;1,"Mismatch","OK")</f>
        <v>OK</v>
      </c>
      <c r="AA738" s="2" t="n">
        <v>1350.03</v>
      </c>
      <c r="AB738" s="2" t="n">
        <v>1005.05</v>
      </c>
      <c r="AC738" s="2" t="n">
        <f aca="false">Y738-AA738</f>
        <v>1005.045</v>
      </c>
      <c r="AD738" s="2" t="str">
        <f aca="false">IF(ABS(AB738-AC738)&gt;1,"Mismatch","OK")</f>
        <v>OK</v>
      </c>
      <c r="AE738" s="4" t="n">
        <f aca="false">IF(Y738=0,0,AC738/Y738)</f>
        <v>0.42675710964619</v>
      </c>
      <c r="AF738" s="2" t="s">
        <v>52</v>
      </c>
      <c r="AG738" s="2" t="s">
        <v>53</v>
      </c>
      <c r="AH738" s="2" t="str">
        <f aca="false">IF(AND(AG738="Completed",AF738&lt;&gt;"Paid"),"Inconsistent","OK")</f>
        <v>OK</v>
      </c>
      <c r="AI738" s="2" t="n">
        <f aca="false">IF(OR(ISBLANK(B738),ISBLANK(C738)),"",C738-B738)</f>
        <v>3</v>
      </c>
      <c r="AJ738" s="2" t="str">
        <f aca="false">IF(AI738="","Unknown",IF(AI738&lt;0,"Invalid","OK"))</f>
        <v>OK</v>
      </c>
      <c r="AK738" s="2" t="str">
        <f aca="false">IF(ISBLANK(B738),"",TEXT(B738,"mmm"))</f>
        <v>Dec</v>
      </c>
      <c r="AL738" s="2" t="n">
        <f aca="false">IF(ISBLANK(B738),"",YEAR(B738))</f>
        <v>2024</v>
      </c>
      <c r="AM738" s="2" t="s">
        <v>41</v>
      </c>
      <c r="AN738" s="2" t="str">
        <f aca="false">IF(OR(W738="Invalid",AJ738="Invalid",AH738="Inconsistent",Z738="Mismatch",AD738="Mismatch",AM738="Yes",D738="Yes",E738="Yes"),"Invalid",IF(OR(J738="Yes",Q738="Yes",U738="Yes"),"Warning","Clean"))</f>
        <v>Clean</v>
      </c>
    </row>
    <row r="739" customFormat="false" ht="15" hidden="false" customHeight="false" outlineLevel="0" collapsed="false">
      <c r="A739" s="2" t="s">
        <v>2315</v>
      </c>
      <c r="B739" s="3" t="n">
        <v>45332</v>
      </c>
      <c r="C739" s="3" t="n">
        <v>45332</v>
      </c>
      <c r="D739" s="2" t="s">
        <v>41</v>
      </c>
      <c r="E739" s="2" t="s">
        <v>41</v>
      </c>
      <c r="F739" s="2" t="s">
        <v>2316</v>
      </c>
      <c r="G739" s="2" t="s">
        <v>67</v>
      </c>
      <c r="H739" s="2" t="s">
        <v>115</v>
      </c>
      <c r="I739" s="2" t="s">
        <v>83</v>
      </c>
      <c r="J739" s="2" t="s">
        <v>41</v>
      </c>
      <c r="K739" s="2" t="s">
        <v>84</v>
      </c>
      <c r="L739" s="2" t="s">
        <v>85</v>
      </c>
      <c r="M739" s="2" t="s">
        <v>61</v>
      </c>
      <c r="N739" s="2" t="s">
        <v>86</v>
      </c>
      <c r="O739" s="2" t="s">
        <v>2317</v>
      </c>
      <c r="P739" s="2" t="s">
        <v>64</v>
      </c>
      <c r="Q739" s="2" t="s">
        <v>41</v>
      </c>
      <c r="R739" s="2" t="n">
        <v>6</v>
      </c>
      <c r="S739" s="2" t="n">
        <v>601.52</v>
      </c>
      <c r="T739" s="2" t="n">
        <v>0</v>
      </c>
      <c r="U739" s="2" t="str">
        <f aca="false">IF(ISBLANK(T739),"Yes","No")</f>
        <v>No</v>
      </c>
      <c r="V739" s="2" t="n">
        <f aca="false">IF(ISBLANK(T739),0,IF(ISNUMBER(T739),T739,VALUE(LEFT(T739,LEN(T739)-1))/100))</f>
        <v>0</v>
      </c>
      <c r="W739" s="2" t="str">
        <f aca="false">IF(AND(V739&gt;=0,V739&lt;=0.25),"Valid","Invalid")</f>
        <v>Valid</v>
      </c>
      <c r="X739" s="2" t="n">
        <v>3609.12</v>
      </c>
      <c r="Y739" s="2" t="n">
        <f aca="false">R739*S739*(1-V739)</f>
        <v>3609.12</v>
      </c>
      <c r="Z739" s="2" t="str">
        <f aca="false">IF(ABS(X739-Y739)&gt;1,"Mismatch","OK")</f>
        <v>OK</v>
      </c>
      <c r="AA739" s="2" t="n">
        <v>2645.5</v>
      </c>
      <c r="AB739" s="2" t="n">
        <v>963.62</v>
      </c>
      <c r="AC739" s="2" t="n">
        <f aca="false">Y739-AA739</f>
        <v>963.62</v>
      </c>
      <c r="AD739" s="2" t="str">
        <f aca="false">IF(ABS(AB739-AC739)&gt;1,"Mismatch","OK")</f>
        <v>OK</v>
      </c>
      <c r="AE739" s="4" t="n">
        <f aca="false">IF(Y739=0,0,AC739/Y739)</f>
        <v>0.266995832779182</v>
      </c>
      <c r="AF739" s="2" t="s">
        <v>52</v>
      </c>
      <c r="AG739" s="2" t="s">
        <v>53</v>
      </c>
      <c r="AH739" s="2" t="str">
        <f aca="false">IF(AND(AG739="Completed",AF739&lt;&gt;"Paid"),"Inconsistent","OK")</f>
        <v>OK</v>
      </c>
      <c r="AI739" s="2" t="n">
        <f aca="false">IF(OR(ISBLANK(B739),ISBLANK(C739)),"",C739-B739)</f>
        <v>0</v>
      </c>
      <c r="AJ739" s="2" t="str">
        <f aca="false">IF(AI739="","Unknown",IF(AI739&lt;0,"Invalid","OK"))</f>
        <v>OK</v>
      </c>
      <c r="AK739" s="2" t="str">
        <f aca="false">IF(ISBLANK(B739),"",TEXT(B739,"mmm"))</f>
        <v>Feb</v>
      </c>
      <c r="AL739" s="2" t="n">
        <f aca="false">IF(ISBLANK(B739),"",YEAR(B739))</f>
        <v>2024</v>
      </c>
      <c r="AM739" s="2" t="s">
        <v>41</v>
      </c>
      <c r="AN739" s="2" t="str">
        <f aca="false">IF(OR(W739="Invalid",AJ739="Invalid",AH739="Inconsistent",Z739="Mismatch",AD739="Mismatch",AM739="Yes",D739="Yes",E739="Yes"),"Invalid",IF(OR(J739="Yes",Q739="Yes",U739="Yes"),"Warning","Clean"))</f>
        <v>Clean</v>
      </c>
    </row>
    <row r="740" customFormat="false" ht="15" hidden="false" customHeight="false" outlineLevel="0" collapsed="false">
      <c r="A740" s="2" t="s">
        <v>2318</v>
      </c>
      <c r="B740" s="3" t="n">
        <v>45708</v>
      </c>
      <c r="C740" s="3" t="n">
        <v>45710</v>
      </c>
      <c r="D740" s="2" t="s">
        <v>41</v>
      </c>
      <c r="E740" s="2" t="s">
        <v>41</v>
      </c>
      <c r="F740" s="2" t="s">
        <v>2319</v>
      </c>
      <c r="G740" s="2" t="s">
        <v>134</v>
      </c>
      <c r="H740" s="2" t="s">
        <v>110</v>
      </c>
      <c r="I740" s="2" t="s">
        <v>74</v>
      </c>
      <c r="J740" s="2" t="s">
        <v>41</v>
      </c>
      <c r="K740" s="2" t="s">
        <v>205</v>
      </c>
      <c r="L740" s="2" t="s">
        <v>206</v>
      </c>
      <c r="M740" s="2" t="s">
        <v>48</v>
      </c>
      <c r="N740" s="2" t="s">
        <v>49</v>
      </c>
      <c r="O740" s="2" t="s">
        <v>2320</v>
      </c>
      <c r="P740" s="2" t="s">
        <v>70</v>
      </c>
      <c r="Q740" s="2" t="s">
        <v>41</v>
      </c>
      <c r="R740" s="2" t="n">
        <v>1</v>
      </c>
      <c r="S740" s="2" t="n">
        <v>2188.19</v>
      </c>
      <c r="T740" s="2" t="n">
        <v>0</v>
      </c>
      <c r="U740" s="2" t="str">
        <f aca="false">IF(ISBLANK(T740),"Yes","No")</f>
        <v>No</v>
      </c>
      <c r="V740" s="2" t="n">
        <f aca="false">IF(ISBLANK(T740),0,IF(ISNUMBER(T740),T740,VALUE(LEFT(T740,LEN(T740)-1))/100))</f>
        <v>0</v>
      </c>
      <c r="W740" s="2" t="str">
        <f aca="false">IF(AND(V740&gt;=0,V740&lt;=0.25),"Valid","Invalid")</f>
        <v>Valid</v>
      </c>
      <c r="X740" s="2" t="n">
        <v>2188.19</v>
      </c>
      <c r="Y740" s="2" t="n">
        <f aca="false">R740*S740*(1-V740)</f>
        <v>2188.19</v>
      </c>
      <c r="Z740" s="2" t="str">
        <f aca="false">IF(ABS(X740-Y740)&gt;1,"Mismatch","OK")</f>
        <v>OK</v>
      </c>
      <c r="AA740" s="2" t="n">
        <v>1298.84</v>
      </c>
      <c r="AB740" s="2" t="n">
        <v>889.35</v>
      </c>
      <c r="AC740" s="2" t="n">
        <f aca="false">Y740-AA740</f>
        <v>889.35</v>
      </c>
      <c r="AD740" s="2" t="str">
        <f aca="false">IF(ABS(AB740-AC740)&gt;1,"Mismatch","OK")</f>
        <v>OK</v>
      </c>
      <c r="AE740" s="4" t="n">
        <f aca="false">IF(Y740=0,0,AC740/Y740)</f>
        <v>0.406431799798007</v>
      </c>
      <c r="AF740" s="2" t="s">
        <v>52</v>
      </c>
      <c r="AG740" s="2" t="s">
        <v>53</v>
      </c>
      <c r="AH740" s="2" t="str">
        <f aca="false">IF(AND(AG740="Completed",AF740&lt;&gt;"Paid"),"Inconsistent","OK")</f>
        <v>OK</v>
      </c>
      <c r="AI740" s="2" t="n">
        <f aca="false">IF(OR(ISBLANK(B740),ISBLANK(C740)),"",C740-B740)</f>
        <v>2</v>
      </c>
      <c r="AJ740" s="2" t="str">
        <f aca="false">IF(AI740="","Unknown",IF(AI740&lt;0,"Invalid","OK"))</f>
        <v>OK</v>
      </c>
      <c r="AK740" s="2" t="str">
        <f aca="false">IF(ISBLANK(B740),"",TEXT(B740,"mmm"))</f>
        <v>Feb</v>
      </c>
      <c r="AL740" s="2" t="n">
        <f aca="false">IF(ISBLANK(B740),"",YEAR(B740))</f>
        <v>2025</v>
      </c>
      <c r="AM740" s="2" t="s">
        <v>41</v>
      </c>
      <c r="AN740" s="2" t="str">
        <f aca="false">IF(OR(W740="Invalid",AJ740="Invalid",AH740="Inconsistent",Z740="Mismatch",AD740="Mismatch",AM740="Yes",D740="Yes",E740="Yes"),"Invalid",IF(OR(J740="Yes",Q740="Yes",U740="Yes"),"Warning","Clean"))</f>
        <v>Clean</v>
      </c>
    </row>
    <row r="741" customFormat="false" ht="15" hidden="false" customHeight="false" outlineLevel="0" collapsed="false">
      <c r="A741" s="2" t="s">
        <v>2321</v>
      </c>
      <c r="B741" s="3" t="n">
        <v>45629</v>
      </c>
      <c r="C741" s="3" t="n">
        <v>45636</v>
      </c>
      <c r="D741" s="2" t="s">
        <v>41</v>
      </c>
      <c r="E741" s="2" t="s">
        <v>41</v>
      </c>
      <c r="F741" s="2" t="s">
        <v>2322</v>
      </c>
      <c r="G741" s="2" t="s">
        <v>99</v>
      </c>
      <c r="H741" s="2" t="s">
        <v>110</v>
      </c>
      <c r="I741" s="2" t="s">
        <v>45</v>
      </c>
      <c r="J741" s="2" t="s">
        <v>41</v>
      </c>
      <c r="K741" s="2" t="s">
        <v>46</v>
      </c>
      <c r="L741" s="2" t="s">
        <v>47</v>
      </c>
      <c r="M741" s="2" t="s">
        <v>94</v>
      </c>
      <c r="N741" s="2" t="s">
        <v>191</v>
      </c>
      <c r="O741" s="2" t="s">
        <v>2323</v>
      </c>
      <c r="P741" s="2" t="s">
        <v>79</v>
      </c>
      <c r="Q741" s="2" t="s">
        <v>41</v>
      </c>
      <c r="R741" s="2" t="n">
        <v>5</v>
      </c>
      <c r="S741" s="2" t="n">
        <v>2393.86</v>
      </c>
      <c r="T741" s="2" t="n">
        <v>0.05</v>
      </c>
      <c r="U741" s="2" t="str">
        <f aca="false">IF(ISBLANK(T741),"Yes","No")</f>
        <v>No</v>
      </c>
      <c r="V741" s="2" t="n">
        <f aca="false">IF(ISBLANK(T741),0,IF(ISNUMBER(T741),T741,VALUE(LEFT(T741,LEN(T741)-1))/100))</f>
        <v>0.05</v>
      </c>
      <c r="W741" s="2" t="str">
        <f aca="false">IF(AND(V741&gt;=0,V741&lt;=0.25),"Valid","Invalid")</f>
        <v>Valid</v>
      </c>
      <c r="X741" s="2" t="n">
        <v>11370.84</v>
      </c>
      <c r="Y741" s="2" t="n">
        <f aca="false">R741*S741*(1-V741)</f>
        <v>11370.835</v>
      </c>
      <c r="Z741" s="2" t="str">
        <f aca="false">IF(ABS(X741-Y741)&gt;1,"Mismatch","OK")</f>
        <v>OK</v>
      </c>
      <c r="AA741" s="2" t="n">
        <v>7469.58</v>
      </c>
      <c r="AB741" s="2" t="n">
        <v>3901.26</v>
      </c>
      <c r="AC741" s="2" t="n">
        <f aca="false">Y741-AA741</f>
        <v>3901.255</v>
      </c>
      <c r="AD741" s="2" t="str">
        <f aca="false">IF(ABS(AB741-AC741)&gt;1,"Mismatch","OK")</f>
        <v>OK</v>
      </c>
      <c r="AE741" s="4" t="n">
        <f aca="false">IF(Y741=0,0,AC741/Y741)</f>
        <v>0.343093097384669</v>
      </c>
      <c r="AF741" s="2" t="s">
        <v>52</v>
      </c>
      <c r="AG741" s="2" t="s">
        <v>53</v>
      </c>
      <c r="AH741" s="2" t="str">
        <f aca="false">IF(AND(AG741="Completed",AF741&lt;&gt;"Paid"),"Inconsistent","OK")</f>
        <v>OK</v>
      </c>
      <c r="AI741" s="2" t="n">
        <f aca="false">IF(OR(ISBLANK(B741),ISBLANK(C741)),"",C741-B741)</f>
        <v>7</v>
      </c>
      <c r="AJ741" s="2" t="str">
        <f aca="false">IF(AI741="","Unknown",IF(AI741&lt;0,"Invalid","OK"))</f>
        <v>OK</v>
      </c>
      <c r="AK741" s="2" t="str">
        <f aca="false">IF(ISBLANK(B741),"",TEXT(B741,"mmm"))</f>
        <v>Dec</v>
      </c>
      <c r="AL741" s="2" t="n">
        <f aca="false">IF(ISBLANK(B741),"",YEAR(B741))</f>
        <v>2024</v>
      </c>
      <c r="AM741" s="2" t="s">
        <v>41</v>
      </c>
      <c r="AN741" s="2" t="str">
        <f aca="false">IF(OR(W741="Invalid",AJ741="Invalid",AH741="Inconsistent",Z741="Mismatch",AD741="Mismatch",AM741="Yes",D741="Yes",E741="Yes"),"Invalid",IF(OR(J741="Yes",Q741="Yes",U741="Yes"),"Warning","Clean"))</f>
        <v>Clean</v>
      </c>
    </row>
    <row r="742" customFormat="false" ht="15" hidden="false" customHeight="false" outlineLevel="0" collapsed="false">
      <c r="A742" s="2" t="s">
        <v>2324</v>
      </c>
      <c r="B742" s="3" t="n">
        <v>45384</v>
      </c>
      <c r="C742" s="3" t="n">
        <v>45384</v>
      </c>
      <c r="D742" s="2" t="s">
        <v>41</v>
      </c>
      <c r="E742" s="2" t="s">
        <v>41</v>
      </c>
      <c r="F742" s="2" t="s">
        <v>544</v>
      </c>
      <c r="G742" s="2" t="s">
        <v>152</v>
      </c>
      <c r="H742" s="2" t="s">
        <v>57</v>
      </c>
      <c r="I742" s="2" t="s">
        <v>83</v>
      </c>
      <c r="J742" s="2" t="s">
        <v>41</v>
      </c>
      <c r="K742" s="2" t="s">
        <v>84</v>
      </c>
      <c r="L742" s="2" t="s">
        <v>85</v>
      </c>
      <c r="M742" s="2" t="s">
        <v>61</v>
      </c>
      <c r="N742" s="2" t="s">
        <v>86</v>
      </c>
      <c r="O742" s="2" t="s">
        <v>2325</v>
      </c>
      <c r="P742" s="2" t="s">
        <v>70</v>
      </c>
      <c r="Q742" s="2" t="s">
        <v>41</v>
      </c>
      <c r="R742" s="2" t="n">
        <v>4</v>
      </c>
      <c r="S742" s="2" t="n">
        <v>2583</v>
      </c>
      <c r="T742" s="2" t="n">
        <v>0.1</v>
      </c>
      <c r="U742" s="2" t="str">
        <f aca="false">IF(ISBLANK(T742),"Yes","No")</f>
        <v>No</v>
      </c>
      <c r="V742" s="2" t="n">
        <f aca="false">IF(ISBLANK(T742),0,IF(ISNUMBER(T742),T742,VALUE(LEFT(T742,LEN(T742)-1))/100))</f>
        <v>0.1</v>
      </c>
      <c r="W742" s="2" t="str">
        <f aca="false">IF(AND(V742&gt;=0,V742&lt;=0.25),"Valid","Invalid")</f>
        <v>Valid</v>
      </c>
      <c r="X742" s="2" t="n">
        <v>9298.8</v>
      </c>
      <c r="Y742" s="2" t="n">
        <f aca="false">R742*S742*(1-V742)</f>
        <v>9298.8</v>
      </c>
      <c r="Z742" s="2" t="str">
        <f aca="false">IF(ABS(X742-Y742)&gt;1,"Mismatch","OK")</f>
        <v>OK</v>
      </c>
      <c r="AA742" s="2" t="n">
        <v>6548.5</v>
      </c>
      <c r="AB742" s="2" t="n">
        <v>2750.3</v>
      </c>
      <c r="AC742" s="2" t="n">
        <f aca="false">Y742-AA742</f>
        <v>2750.3</v>
      </c>
      <c r="AD742" s="2" t="str">
        <f aca="false">IF(ABS(AB742-AC742)&gt;1,"Mismatch","OK")</f>
        <v>OK</v>
      </c>
      <c r="AE742" s="4" t="n">
        <f aca="false">IF(Y742=0,0,AC742/Y742)</f>
        <v>0.295769346582355</v>
      </c>
      <c r="AF742" s="2" t="s">
        <v>52</v>
      </c>
      <c r="AG742" s="2" t="s">
        <v>53</v>
      </c>
      <c r="AH742" s="2" t="str">
        <f aca="false">IF(AND(AG742="Completed",AF742&lt;&gt;"Paid"),"Inconsistent","OK")</f>
        <v>OK</v>
      </c>
      <c r="AI742" s="2" t="n">
        <f aca="false">IF(OR(ISBLANK(B742),ISBLANK(C742)),"",C742-B742)</f>
        <v>0</v>
      </c>
      <c r="AJ742" s="2" t="str">
        <f aca="false">IF(AI742="","Unknown",IF(AI742&lt;0,"Invalid","OK"))</f>
        <v>OK</v>
      </c>
      <c r="AK742" s="2" t="str">
        <f aca="false">IF(ISBLANK(B742),"",TEXT(B742,"mmm"))</f>
        <v>Apr</v>
      </c>
      <c r="AL742" s="2" t="n">
        <f aca="false">IF(ISBLANK(B742),"",YEAR(B742))</f>
        <v>2024</v>
      </c>
      <c r="AM742" s="2" t="s">
        <v>41</v>
      </c>
      <c r="AN742" s="2" t="str">
        <f aca="false">IF(OR(W742="Invalid",AJ742="Invalid",AH742="Inconsistent",Z742="Mismatch",AD742="Mismatch",AM742="Yes",D742="Yes",E742="Yes"),"Invalid",IF(OR(J742="Yes",Q742="Yes",U742="Yes"),"Warning","Clean"))</f>
        <v>Clean</v>
      </c>
    </row>
    <row r="743" customFormat="false" ht="15" hidden="false" customHeight="false" outlineLevel="0" collapsed="false">
      <c r="A743" s="2" t="s">
        <v>2326</v>
      </c>
      <c r="B743" s="3" t="n">
        <v>45770</v>
      </c>
      <c r="C743" s="3" t="n">
        <v>45772</v>
      </c>
      <c r="D743" s="2" t="s">
        <v>41</v>
      </c>
      <c r="E743" s="2" t="s">
        <v>41</v>
      </c>
      <c r="F743" s="2" t="s">
        <v>2327</v>
      </c>
      <c r="G743" s="2" t="s">
        <v>67</v>
      </c>
      <c r="H743" s="2" t="s">
        <v>115</v>
      </c>
      <c r="I743" s="2" t="s">
        <v>74</v>
      </c>
      <c r="J743" s="2" t="s">
        <v>41</v>
      </c>
      <c r="K743" s="2" t="s">
        <v>269</v>
      </c>
      <c r="L743" s="2" t="s">
        <v>270</v>
      </c>
      <c r="M743" s="2" t="s">
        <v>61</v>
      </c>
      <c r="N743" s="2" t="s">
        <v>86</v>
      </c>
      <c r="O743" s="2" t="s">
        <v>2328</v>
      </c>
      <c r="P743" s="2" t="s">
        <v>51</v>
      </c>
      <c r="Q743" s="2" t="s">
        <v>41</v>
      </c>
      <c r="R743" s="2" t="n">
        <v>3</v>
      </c>
      <c r="S743" s="2" t="n">
        <v>2951.12</v>
      </c>
      <c r="T743" s="2"/>
      <c r="U743" s="2" t="str">
        <f aca="false">IF(ISBLANK(T743),"Yes","No")</f>
        <v>Yes</v>
      </c>
      <c r="V743" s="2" t="n">
        <f aca="false">IF(ISBLANK(T743),0,IF(ISNUMBER(T743),T743,VALUE(LEFT(T743,LEN(T743)-1))/100))</f>
        <v>0</v>
      </c>
      <c r="W743" s="2" t="str">
        <f aca="false">IF(AND(V743&gt;=0,V743&lt;=0.25),"Valid","Invalid")</f>
        <v>Valid</v>
      </c>
      <c r="X743" s="2" t="n">
        <v>7082.69</v>
      </c>
      <c r="Y743" s="2" t="n">
        <f aca="false">R743*S743*(1-V743)</f>
        <v>8853.36</v>
      </c>
      <c r="Z743" s="2" t="str">
        <f aca="false">IF(ABS(X743-Y743)&gt;1,"Mismatch","OK")</f>
        <v>Mismatch</v>
      </c>
      <c r="AA743" s="2" t="n">
        <v>5596.34</v>
      </c>
      <c r="AB743" s="2" t="n">
        <v>1486.35</v>
      </c>
      <c r="AC743" s="2" t="n">
        <f aca="false">Y743-AA743</f>
        <v>3257.02</v>
      </c>
      <c r="AD743" s="2" t="str">
        <f aca="false">IF(ABS(AB743-AC743)&gt;1,"Mismatch","OK")</f>
        <v>Mismatch</v>
      </c>
      <c r="AE743" s="4" t="n">
        <f aca="false">IF(Y743=0,0,AC743/Y743)</f>
        <v>0.36788518709281</v>
      </c>
      <c r="AF743" s="2" t="s">
        <v>52</v>
      </c>
      <c r="AG743" s="2" t="s">
        <v>88</v>
      </c>
      <c r="AH743" s="2" t="str">
        <f aca="false">IF(AND(AG743="Completed",AF743&lt;&gt;"Paid"),"Inconsistent","OK")</f>
        <v>OK</v>
      </c>
      <c r="AI743" s="2" t="n">
        <f aca="false">IF(OR(ISBLANK(B743),ISBLANK(C743)),"",C743-B743)</f>
        <v>2</v>
      </c>
      <c r="AJ743" s="2" t="str">
        <f aca="false">IF(AI743="","Unknown",IF(AI743&lt;0,"Invalid","OK"))</f>
        <v>OK</v>
      </c>
      <c r="AK743" s="2" t="str">
        <f aca="false">IF(ISBLANK(B743),"",TEXT(B743,"mmm"))</f>
        <v>Apr</v>
      </c>
      <c r="AL743" s="2" t="n">
        <f aca="false">IF(ISBLANK(B743),"",YEAR(B743))</f>
        <v>2025</v>
      </c>
      <c r="AM743" s="2" t="s">
        <v>41</v>
      </c>
      <c r="AN743" s="2" t="str">
        <f aca="false">IF(OR(W743="Invalid",AJ743="Invalid",AH743="Inconsistent",Z743="Mismatch",AD743="Mismatch",AM743="Yes",D743="Yes",E743="Yes"),"Invalid",IF(OR(J743="Yes",Q743="Yes",U743="Yes"),"Warning","Clean"))</f>
        <v>Invalid</v>
      </c>
    </row>
    <row r="744" customFormat="false" ht="15" hidden="false" customHeight="false" outlineLevel="0" collapsed="false">
      <c r="A744" s="2" t="s">
        <v>2329</v>
      </c>
      <c r="B744" s="3" t="n">
        <v>45580</v>
      </c>
      <c r="C744" s="3" t="n">
        <v>45587</v>
      </c>
      <c r="D744" s="2" t="s">
        <v>41</v>
      </c>
      <c r="E744" s="2" t="s">
        <v>41</v>
      </c>
      <c r="F744" s="2" t="s">
        <v>2330</v>
      </c>
      <c r="G744" s="2" t="s">
        <v>43</v>
      </c>
      <c r="H744" s="2" t="s">
        <v>110</v>
      </c>
      <c r="I744" s="2" t="s">
        <v>58</v>
      </c>
      <c r="J744" s="2" t="s">
        <v>41</v>
      </c>
      <c r="K744" s="2" t="s">
        <v>59</v>
      </c>
      <c r="L744" s="2" t="s">
        <v>60</v>
      </c>
      <c r="M744" s="2" t="s">
        <v>48</v>
      </c>
      <c r="N744" s="2" t="s">
        <v>49</v>
      </c>
      <c r="O744" s="2" t="s">
        <v>2331</v>
      </c>
      <c r="P744" s="2" t="s">
        <v>79</v>
      </c>
      <c r="Q744" s="2" t="s">
        <v>41</v>
      </c>
      <c r="R744" s="2" t="n">
        <v>4</v>
      </c>
      <c r="S744" s="2" t="n">
        <v>2260.95</v>
      </c>
      <c r="T744" s="2" t="n">
        <v>0</v>
      </c>
      <c r="U744" s="2" t="str">
        <f aca="false">IF(ISBLANK(T744),"Yes","No")</f>
        <v>No</v>
      </c>
      <c r="V744" s="2" t="n">
        <f aca="false">IF(ISBLANK(T744),0,IF(ISNUMBER(T744),T744,VALUE(LEFT(T744,LEN(T744)-1))/100))</f>
        <v>0</v>
      </c>
      <c r="W744" s="2" t="str">
        <f aca="false">IF(AND(V744&gt;=0,V744&lt;=0.25),"Valid","Invalid")</f>
        <v>Valid</v>
      </c>
      <c r="X744" s="2" t="n">
        <v>9043.8</v>
      </c>
      <c r="Y744" s="2" t="n">
        <f aca="false">R744*S744*(1-V744)</f>
        <v>9043.8</v>
      </c>
      <c r="Z744" s="2" t="str">
        <f aca="false">IF(ABS(X744-Y744)&gt;1,"Mismatch","OK")</f>
        <v>OK</v>
      </c>
      <c r="AA744" s="2" t="n">
        <v>5913.38</v>
      </c>
      <c r="AB744" s="2" t="n">
        <v>3130.42</v>
      </c>
      <c r="AC744" s="2" t="n">
        <f aca="false">Y744-AA744</f>
        <v>3130.42</v>
      </c>
      <c r="AD744" s="2" t="str">
        <f aca="false">IF(ABS(AB744-AC744)&gt;1,"Mismatch","OK")</f>
        <v>OK</v>
      </c>
      <c r="AE744" s="4" t="n">
        <f aca="false">IF(Y744=0,0,AC744/Y744)</f>
        <v>0.346139896945974</v>
      </c>
      <c r="AF744" s="2" t="s">
        <v>52</v>
      </c>
      <c r="AG744" s="2" t="s">
        <v>53</v>
      </c>
      <c r="AH744" s="2" t="str">
        <f aca="false">IF(AND(AG744="Completed",AF744&lt;&gt;"Paid"),"Inconsistent","OK")</f>
        <v>OK</v>
      </c>
      <c r="AI744" s="2" t="n">
        <f aca="false">IF(OR(ISBLANK(B744),ISBLANK(C744)),"",C744-B744)</f>
        <v>7</v>
      </c>
      <c r="AJ744" s="2" t="str">
        <f aca="false">IF(AI744="","Unknown",IF(AI744&lt;0,"Invalid","OK"))</f>
        <v>OK</v>
      </c>
      <c r="AK744" s="2" t="str">
        <f aca="false">IF(ISBLANK(B744),"",TEXT(B744,"mmm"))</f>
        <v>Oct</v>
      </c>
      <c r="AL744" s="2" t="n">
        <f aca="false">IF(ISBLANK(B744),"",YEAR(B744))</f>
        <v>2024</v>
      </c>
      <c r="AM744" s="2" t="s">
        <v>41</v>
      </c>
      <c r="AN744" s="2" t="str">
        <f aca="false">IF(OR(W744="Invalid",AJ744="Invalid",AH744="Inconsistent",Z744="Mismatch",AD744="Mismatch",AM744="Yes",D744="Yes",E744="Yes"),"Invalid",IF(OR(J744="Yes",Q744="Yes",U744="Yes"),"Warning","Clean"))</f>
        <v>Clean</v>
      </c>
    </row>
    <row r="745" customFormat="false" ht="15" hidden="false" customHeight="false" outlineLevel="0" collapsed="false">
      <c r="A745" s="2" t="s">
        <v>2332</v>
      </c>
      <c r="B745" s="3" t="n">
        <v>45700</v>
      </c>
      <c r="C745" s="3" t="n">
        <v>45702</v>
      </c>
      <c r="D745" s="2" t="s">
        <v>41</v>
      </c>
      <c r="E745" s="2" t="s">
        <v>41</v>
      </c>
      <c r="F745" s="2" t="s">
        <v>2333</v>
      </c>
      <c r="G745" s="2" t="s">
        <v>152</v>
      </c>
      <c r="H745" s="2" t="s">
        <v>44</v>
      </c>
      <c r="I745" s="2" t="s">
        <v>45</v>
      </c>
      <c r="J745" s="2" t="s">
        <v>41</v>
      </c>
      <c r="K745" s="2" t="s">
        <v>156</v>
      </c>
      <c r="L745" s="2" t="s">
        <v>157</v>
      </c>
      <c r="M745" s="2" t="s">
        <v>48</v>
      </c>
      <c r="N745" s="2" t="s">
        <v>68</v>
      </c>
      <c r="O745" s="2" t="s">
        <v>2334</v>
      </c>
      <c r="P745" s="2" t="s">
        <v>79</v>
      </c>
      <c r="Q745" s="2" t="s">
        <v>41</v>
      </c>
      <c r="R745" s="2" t="n">
        <v>6</v>
      </c>
      <c r="S745" s="2" t="n">
        <v>491.4</v>
      </c>
      <c r="T745" s="2" t="n">
        <v>0.25</v>
      </c>
      <c r="U745" s="2" t="str">
        <f aca="false">IF(ISBLANK(T745),"Yes","No")</f>
        <v>No</v>
      </c>
      <c r="V745" s="2" t="n">
        <f aca="false">IF(ISBLANK(T745),0,IF(ISNUMBER(T745),T745,VALUE(LEFT(T745,LEN(T745)-1))/100))</f>
        <v>0.25</v>
      </c>
      <c r="W745" s="2" t="str">
        <f aca="false">IF(AND(V745&gt;=0,V745&lt;=0.25),"Valid","Invalid")</f>
        <v>Valid</v>
      </c>
      <c r="X745" s="2" t="n">
        <v>2211.3</v>
      </c>
      <c r="Y745" s="2" t="n">
        <f aca="false">R745*S745*(1-V745)</f>
        <v>2211.3</v>
      </c>
      <c r="Z745" s="2" t="str">
        <f aca="false">IF(ABS(X745-Y745)&gt;1,"Mismatch","OK")</f>
        <v>OK</v>
      </c>
      <c r="AA745" s="2" t="n">
        <v>1735.64</v>
      </c>
      <c r="AB745" s="2" t="n">
        <v>475.66</v>
      </c>
      <c r="AC745" s="2" t="n">
        <f aca="false">Y745-AA745</f>
        <v>475.66</v>
      </c>
      <c r="AD745" s="2" t="str">
        <f aca="false">IF(ABS(AB745-AC745)&gt;1,"Mismatch","OK")</f>
        <v>OK</v>
      </c>
      <c r="AE745" s="4" t="n">
        <f aca="false">IF(Y745=0,0,AC745/Y745)</f>
        <v>0.215104237326459</v>
      </c>
      <c r="AF745" s="2" t="s">
        <v>52</v>
      </c>
      <c r="AG745" s="2" t="s">
        <v>53</v>
      </c>
      <c r="AH745" s="2" t="str">
        <f aca="false">IF(AND(AG745="Completed",AF745&lt;&gt;"Paid"),"Inconsistent","OK")</f>
        <v>OK</v>
      </c>
      <c r="AI745" s="2" t="n">
        <f aca="false">IF(OR(ISBLANK(B745),ISBLANK(C745)),"",C745-B745)</f>
        <v>2</v>
      </c>
      <c r="AJ745" s="2" t="str">
        <f aca="false">IF(AI745="","Unknown",IF(AI745&lt;0,"Invalid","OK"))</f>
        <v>OK</v>
      </c>
      <c r="AK745" s="2" t="str">
        <f aca="false">IF(ISBLANK(B745),"",TEXT(B745,"mmm"))</f>
        <v>Feb</v>
      </c>
      <c r="AL745" s="2" t="n">
        <f aca="false">IF(ISBLANK(B745),"",YEAR(B745))</f>
        <v>2025</v>
      </c>
      <c r="AM745" s="2" t="s">
        <v>41</v>
      </c>
      <c r="AN745" s="2" t="str">
        <f aca="false">IF(OR(W745="Invalid",AJ745="Invalid",AH745="Inconsistent",Z745="Mismatch",AD745="Mismatch",AM745="Yes",D745="Yes",E745="Yes"),"Invalid",IF(OR(J745="Yes",Q745="Yes",U745="Yes"),"Warning","Clean"))</f>
        <v>Clean</v>
      </c>
    </row>
    <row r="746" customFormat="false" ht="15" hidden="false" customHeight="false" outlineLevel="0" collapsed="false">
      <c r="A746" s="2" t="s">
        <v>2335</v>
      </c>
      <c r="B746" s="3" t="n">
        <v>45886</v>
      </c>
      <c r="C746" s="3" t="n">
        <v>45889</v>
      </c>
      <c r="D746" s="2" t="s">
        <v>41</v>
      </c>
      <c r="E746" s="2" t="s">
        <v>41</v>
      </c>
      <c r="F746" s="2" t="s">
        <v>2336</v>
      </c>
      <c r="G746" s="2" t="s">
        <v>56</v>
      </c>
      <c r="H746" s="2" t="s">
        <v>115</v>
      </c>
      <c r="I746" s="2" t="s">
        <v>45</v>
      </c>
      <c r="J746" s="2" t="s">
        <v>41</v>
      </c>
      <c r="K746" s="2" t="s">
        <v>142</v>
      </c>
      <c r="L746" s="2" t="s">
        <v>143</v>
      </c>
      <c r="M746" s="2" t="s">
        <v>48</v>
      </c>
      <c r="N746" s="2" t="s">
        <v>173</v>
      </c>
      <c r="O746" s="2" t="s">
        <v>2337</v>
      </c>
      <c r="P746" s="2" t="s">
        <v>70</v>
      </c>
      <c r="Q746" s="2" t="s">
        <v>41</v>
      </c>
      <c r="R746" s="2" t="n">
        <v>5</v>
      </c>
      <c r="S746" s="2" t="n">
        <v>2701.89</v>
      </c>
      <c r="T746" s="2" t="n">
        <v>0.1</v>
      </c>
      <c r="U746" s="2" t="str">
        <f aca="false">IF(ISBLANK(T746),"Yes","No")</f>
        <v>No</v>
      </c>
      <c r="V746" s="2" t="n">
        <f aca="false">IF(ISBLANK(T746),0,IF(ISNUMBER(T746),T746,VALUE(LEFT(T746,LEN(T746)-1))/100))</f>
        <v>0.1</v>
      </c>
      <c r="W746" s="2" t="str">
        <f aca="false">IF(AND(V746&gt;=0,V746&lt;=0.25),"Valid","Invalid")</f>
        <v>Valid</v>
      </c>
      <c r="X746" s="2" t="n">
        <v>12158.5</v>
      </c>
      <c r="Y746" s="2" t="n">
        <f aca="false">R746*S746*(1-V746)</f>
        <v>12158.505</v>
      </c>
      <c r="Z746" s="2" t="str">
        <f aca="false">IF(ABS(X746-Y746)&gt;1,"Mismatch","OK")</f>
        <v>OK</v>
      </c>
      <c r="AA746" s="2" t="n">
        <v>10260.07</v>
      </c>
      <c r="AB746" s="2" t="n">
        <v>1898.43</v>
      </c>
      <c r="AC746" s="2" t="n">
        <f aca="false">Y746-AA746</f>
        <v>1898.435</v>
      </c>
      <c r="AD746" s="2" t="str">
        <f aca="false">IF(ABS(AB746-AC746)&gt;1,"Mismatch","OK")</f>
        <v>OK</v>
      </c>
      <c r="AE746" s="4" t="n">
        <f aca="false">IF(Y746=0,0,AC746/Y746)</f>
        <v>0.156140495891559</v>
      </c>
      <c r="AF746" s="2" t="s">
        <v>52</v>
      </c>
      <c r="AG746" s="2" t="s">
        <v>88</v>
      </c>
      <c r="AH746" s="2" t="str">
        <f aca="false">IF(AND(AG746="Completed",AF746&lt;&gt;"Paid"),"Inconsistent","OK")</f>
        <v>OK</v>
      </c>
      <c r="AI746" s="2" t="n">
        <f aca="false">IF(OR(ISBLANK(B746),ISBLANK(C746)),"",C746-B746)</f>
        <v>3</v>
      </c>
      <c r="AJ746" s="2" t="str">
        <f aca="false">IF(AI746="","Unknown",IF(AI746&lt;0,"Invalid","OK"))</f>
        <v>OK</v>
      </c>
      <c r="AK746" s="2" t="str">
        <f aca="false">IF(ISBLANK(B746),"",TEXT(B746,"mmm"))</f>
        <v>Aug</v>
      </c>
      <c r="AL746" s="2" t="n">
        <f aca="false">IF(ISBLANK(B746),"",YEAR(B746))</f>
        <v>2025</v>
      </c>
      <c r="AM746" s="2" t="s">
        <v>41</v>
      </c>
      <c r="AN746" s="2" t="str">
        <f aca="false">IF(OR(W746="Invalid",AJ746="Invalid",AH746="Inconsistent",Z746="Mismatch",AD746="Mismatch",AM746="Yes",D746="Yes",E746="Yes"),"Invalid",IF(OR(J746="Yes",Q746="Yes",U746="Yes"),"Warning","Clean"))</f>
        <v>Clean</v>
      </c>
    </row>
    <row r="747" customFormat="false" ht="15" hidden="false" customHeight="false" outlineLevel="0" collapsed="false">
      <c r="A747" s="2" t="s">
        <v>2338</v>
      </c>
      <c r="B747" s="3" t="n">
        <v>45589</v>
      </c>
      <c r="C747" s="3" t="n">
        <v>45593</v>
      </c>
      <c r="D747" s="2" t="s">
        <v>41</v>
      </c>
      <c r="E747" s="2" t="s">
        <v>41</v>
      </c>
      <c r="F747" s="2" t="s">
        <v>2339</v>
      </c>
      <c r="G747" s="2" t="s">
        <v>56</v>
      </c>
      <c r="H747" s="2" t="s">
        <v>57</v>
      </c>
      <c r="I747" s="2" t="s">
        <v>58</v>
      </c>
      <c r="J747" s="2" t="s">
        <v>41</v>
      </c>
      <c r="K747" s="2" t="s">
        <v>186</v>
      </c>
      <c r="L747" s="2" t="s">
        <v>187</v>
      </c>
      <c r="M747" s="2" t="s">
        <v>94</v>
      </c>
      <c r="N747" s="2" t="s">
        <v>100</v>
      </c>
      <c r="O747" s="2" t="s">
        <v>2340</v>
      </c>
      <c r="P747" s="2" t="s">
        <v>79</v>
      </c>
      <c r="Q747" s="2" t="s">
        <v>41</v>
      </c>
      <c r="R747" s="2" t="n">
        <v>3</v>
      </c>
      <c r="S747" s="2" t="n">
        <v>723.59</v>
      </c>
      <c r="T747" s="2" t="n">
        <v>0.2</v>
      </c>
      <c r="U747" s="2" t="str">
        <f aca="false">IF(ISBLANK(T747),"Yes","No")</f>
        <v>No</v>
      </c>
      <c r="V747" s="2" t="n">
        <f aca="false">IF(ISBLANK(T747),0,IF(ISNUMBER(T747),T747,VALUE(LEFT(T747,LEN(T747)-1))/100))</f>
        <v>0.2</v>
      </c>
      <c r="W747" s="2" t="str">
        <f aca="false">IF(AND(V747&gt;=0,V747&lt;=0.25),"Valid","Invalid")</f>
        <v>Valid</v>
      </c>
      <c r="X747" s="2" t="n">
        <v>1736.62</v>
      </c>
      <c r="Y747" s="2" t="n">
        <f aca="false">R747*S747*(1-V747)</f>
        <v>1736.616</v>
      </c>
      <c r="Z747" s="2" t="str">
        <f aca="false">IF(ABS(X747-Y747)&gt;1,"Mismatch","OK")</f>
        <v>OK</v>
      </c>
      <c r="AA747" s="2" t="n">
        <v>1059.52</v>
      </c>
      <c r="AB747" s="2" t="n">
        <v>677.1</v>
      </c>
      <c r="AC747" s="2" t="n">
        <f aca="false">Y747-AA747</f>
        <v>677.096</v>
      </c>
      <c r="AD747" s="2" t="str">
        <f aca="false">IF(ABS(AB747-AC747)&gt;1,"Mismatch","OK")</f>
        <v>OK</v>
      </c>
      <c r="AE747" s="4" t="n">
        <f aca="false">IF(Y747=0,0,AC747/Y747)</f>
        <v>0.389893908613073</v>
      </c>
      <c r="AF747" s="2" t="s">
        <v>52</v>
      </c>
      <c r="AG747" s="2" t="s">
        <v>53</v>
      </c>
      <c r="AH747" s="2" t="str">
        <f aca="false">IF(AND(AG747="Completed",AF747&lt;&gt;"Paid"),"Inconsistent","OK")</f>
        <v>OK</v>
      </c>
      <c r="AI747" s="2" t="n">
        <f aca="false">IF(OR(ISBLANK(B747),ISBLANK(C747)),"",C747-B747)</f>
        <v>4</v>
      </c>
      <c r="AJ747" s="2" t="str">
        <f aca="false">IF(AI747="","Unknown",IF(AI747&lt;0,"Invalid","OK"))</f>
        <v>OK</v>
      </c>
      <c r="AK747" s="2" t="str">
        <f aca="false">IF(ISBLANK(B747),"",TEXT(B747,"mmm"))</f>
        <v>Oct</v>
      </c>
      <c r="AL747" s="2" t="n">
        <f aca="false">IF(ISBLANK(B747),"",YEAR(B747))</f>
        <v>2024</v>
      </c>
      <c r="AM747" s="2" t="s">
        <v>41</v>
      </c>
      <c r="AN747" s="2" t="str">
        <f aca="false">IF(OR(W747="Invalid",AJ747="Invalid",AH747="Inconsistent",Z747="Mismatch",AD747="Mismatch",AM747="Yes",D747="Yes",E747="Yes"),"Invalid",IF(OR(J747="Yes",Q747="Yes",U747="Yes"),"Warning","Clean"))</f>
        <v>Clean</v>
      </c>
    </row>
    <row r="748" customFormat="false" ht="15" hidden="false" customHeight="false" outlineLevel="0" collapsed="false">
      <c r="A748" s="2" t="s">
        <v>2341</v>
      </c>
      <c r="B748" s="3" t="n">
        <v>45661</v>
      </c>
      <c r="C748" s="3" t="n">
        <v>45667</v>
      </c>
      <c r="D748" s="2" t="s">
        <v>41</v>
      </c>
      <c r="E748" s="2" t="s">
        <v>41</v>
      </c>
      <c r="F748" s="2" t="s">
        <v>2049</v>
      </c>
      <c r="G748" s="2" t="s">
        <v>148</v>
      </c>
      <c r="H748" s="2" t="s">
        <v>115</v>
      </c>
      <c r="I748" s="2" t="s">
        <v>58</v>
      </c>
      <c r="J748" s="2" t="s">
        <v>41</v>
      </c>
      <c r="K748" s="2" t="s">
        <v>119</v>
      </c>
      <c r="L748" s="2" t="s">
        <v>120</v>
      </c>
      <c r="M748" s="2" t="s">
        <v>48</v>
      </c>
      <c r="N748" s="2" t="s">
        <v>49</v>
      </c>
      <c r="O748" s="2" t="s">
        <v>2342</v>
      </c>
      <c r="P748" s="2" t="s">
        <v>79</v>
      </c>
      <c r="Q748" s="2" t="s">
        <v>41</v>
      </c>
      <c r="R748" s="2" t="n">
        <v>4</v>
      </c>
      <c r="S748" s="2" t="n">
        <v>2583.19</v>
      </c>
      <c r="T748" s="2" t="n">
        <v>0.2</v>
      </c>
      <c r="U748" s="2" t="str">
        <f aca="false">IF(ISBLANK(T748),"Yes","No")</f>
        <v>No</v>
      </c>
      <c r="V748" s="2" t="n">
        <f aca="false">IF(ISBLANK(T748),0,IF(ISNUMBER(T748),T748,VALUE(LEFT(T748,LEN(T748)-1))/100))</f>
        <v>0.2</v>
      </c>
      <c r="W748" s="2" t="str">
        <f aca="false">IF(AND(V748&gt;=0,V748&lt;=0.25),"Valid","Invalid")</f>
        <v>Valid</v>
      </c>
      <c r="X748" s="2" t="n">
        <v>8266.21</v>
      </c>
      <c r="Y748" s="2" t="n">
        <f aca="false">R748*S748*(1-V748)</f>
        <v>8266.208</v>
      </c>
      <c r="Z748" s="2" t="str">
        <f aca="false">IF(ABS(X748-Y748)&gt;1,"Mismatch","OK")</f>
        <v>OK</v>
      </c>
      <c r="AA748" s="2" t="n">
        <v>6236.32</v>
      </c>
      <c r="AB748" s="2" t="n">
        <v>2029.89</v>
      </c>
      <c r="AC748" s="2" t="n">
        <f aca="false">Y748-AA748</f>
        <v>2029.888</v>
      </c>
      <c r="AD748" s="2" t="str">
        <f aca="false">IF(ABS(AB748-AC748)&gt;1,"Mismatch","OK")</f>
        <v>OK</v>
      </c>
      <c r="AE748" s="4" t="n">
        <f aca="false">IF(Y748=0,0,AC748/Y748)</f>
        <v>0.245564592616107</v>
      </c>
      <c r="AF748" s="2" t="s">
        <v>52</v>
      </c>
      <c r="AG748" s="2" t="s">
        <v>53</v>
      </c>
      <c r="AH748" s="2" t="str">
        <f aca="false">IF(AND(AG748="Completed",AF748&lt;&gt;"Paid"),"Inconsistent","OK")</f>
        <v>OK</v>
      </c>
      <c r="AI748" s="2" t="n">
        <f aca="false">IF(OR(ISBLANK(B748),ISBLANK(C748)),"",C748-B748)</f>
        <v>6</v>
      </c>
      <c r="AJ748" s="2" t="str">
        <f aca="false">IF(AI748="","Unknown",IF(AI748&lt;0,"Invalid","OK"))</f>
        <v>OK</v>
      </c>
      <c r="AK748" s="2" t="str">
        <f aca="false">IF(ISBLANK(B748),"",TEXT(B748,"mmm"))</f>
        <v>Jan</v>
      </c>
      <c r="AL748" s="2" t="n">
        <f aca="false">IF(ISBLANK(B748),"",YEAR(B748))</f>
        <v>2025</v>
      </c>
      <c r="AM748" s="2" t="s">
        <v>41</v>
      </c>
      <c r="AN748" s="2" t="str">
        <f aca="false">IF(OR(W748="Invalid",AJ748="Invalid",AH748="Inconsistent",Z748="Mismatch",AD748="Mismatch",AM748="Yes",D748="Yes",E748="Yes"),"Invalid",IF(OR(J748="Yes",Q748="Yes",U748="Yes"),"Warning","Clean"))</f>
        <v>Clean</v>
      </c>
    </row>
    <row r="749" customFormat="false" ht="15" hidden="false" customHeight="false" outlineLevel="0" collapsed="false">
      <c r="A749" s="2" t="s">
        <v>2343</v>
      </c>
      <c r="B749" s="3" t="n">
        <v>45413</v>
      </c>
      <c r="C749" s="3" t="n">
        <v>45419</v>
      </c>
      <c r="D749" s="2" t="s">
        <v>41</v>
      </c>
      <c r="E749" s="2" t="s">
        <v>41</v>
      </c>
      <c r="F749" s="2" t="s">
        <v>2344</v>
      </c>
      <c r="G749" s="2" t="s">
        <v>67</v>
      </c>
      <c r="H749" s="2" t="s">
        <v>115</v>
      </c>
      <c r="I749" s="2" t="s">
        <v>58</v>
      </c>
      <c r="J749" s="2" t="s">
        <v>41</v>
      </c>
      <c r="K749" s="2" t="s">
        <v>59</v>
      </c>
      <c r="L749" s="2" t="s">
        <v>60</v>
      </c>
      <c r="M749" s="2" t="s">
        <v>48</v>
      </c>
      <c r="N749" s="2" t="s">
        <v>49</v>
      </c>
      <c r="O749" s="2" t="s">
        <v>2345</v>
      </c>
      <c r="P749" s="2" t="s">
        <v>64</v>
      </c>
      <c r="Q749" s="2" t="s">
        <v>41</v>
      </c>
      <c r="R749" s="2" t="n">
        <v>8</v>
      </c>
      <c r="S749" s="2" t="n">
        <v>1473.83</v>
      </c>
      <c r="T749" s="2" t="n">
        <v>0.15</v>
      </c>
      <c r="U749" s="2" t="str">
        <f aca="false">IF(ISBLANK(T749),"Yes","No")</f>
        <v>No</v>
      </c>
      <c r="V749" s="2" t="n">
        <f aca="false">IF(ISBLANK(T749),0,IF(ISNUMBER(T749),T749,VALUE(LEFT(T749,LEN(T749)-1))/100))</f>
        <v>0.15</v>
      </c>
      <c r="W749" s="2" t="str">
        <f aca="false">IF(AND(V749&gt;=0,V749&lt;=0.25),"Valid","Invalid")</f>
        <v>Valid</v>
      </c>
      <c r="X749" s="2" t="n">
        <v>10022.04</v>
      </c>
      <c r="Y749" s="2" t="n">
        <f aca="false">R749*S749*(1-V749)</f>
        <v>10022.044</v>
      </c>
      <c r="Z749" s="2" t="str">
        <f aca="false">IF(ABS(X749-Y749)&gt;1,"Mismatch","OK")</f>
        <v>OK</v>
      </c>
      <c r="AA749" s="2" t="n">
        <v>5576.98</v>
      </c>
      <c r="AB749" s="2" t="n">
        <v>4445.06</v>
      </c>
      <c r="AC749" s="2" t="n">
        <f aca="false">Y749-AA749</f>
        <v>4445.064</v>
      </c>
      <c r="AD749" s="2" t="str">
        <f aca="false">IF(ABS(AB749-AC749)&gt;1,"Mismatch","OK")</f>
        <v>OK</v>
      </c>
      <c r="AE749" s="4" t="n">
        <f aca="false">IF(Y749=0,0,AC749/Y749)</f>
        <v>0.443528685365979</v>
      </c>
      <c r="AF749" s="2" t="s">
        <v>52</v>
      </c>
      <c r="AG749" s="2" t="s">
        <v>53</v>
      </c>
      <c r="AH749" s="2" t="str">
        <f aca="false">IF(AND(AG749="Completed",AF749&lt;&gt;"Paid"),"Inconsistent","OK")</f>
        <v>OK</v>
      </c>
      <c r="AI749" s="2" t="n">
        <f aca="false">IF(OR(ISBLANK(B749),ISBLANK(C749)),"",C749-B749)</f>
        <v>6</v>
      </c>
      <c r="AJ749" s="2" t="str">
        <f aca="false">IF(AI749="","Unknown",IF(AI749&lt;0,"Invalid","OK"))</f>
        <v>OK</v>
      </c>
      <c r="AK749" s="2" t="str">
        <f aca="false">IF(ISBLANK(B749),"",TEXT(B749,"mmm"))</f>
        <v>May</v>
      </c>
      <c r="AL749" s="2" t="n">
        <f aca="false">IF(ISBLANK(B749),"",YEAR(B749))</f>
        <v>2024</v>
      </c>
      <c r="AM749" s="2" t="s">
        <v>41</v>
      </c>
      <c r="AN749" s="2" t="str">
        <f aca="false">IF(OR(W749="Invalid",AJ749="Invalid",AH749="Inconsistent",Z749="Mismatch",AD749="Mismatch",AM749="Yes",D749="Yes",E749="Yes"),"Invalid",IF(OR(J749="Yes",Q749="Yes",U749="Yes"),"Warning","Clean"))</f>
        <v>Clean</v>
      </c>
    </row>
    <row r="750" customFormat="false" ht="15" hidden="false" customHeight="false" outlineLevel="0" collapsed="false">
      <c r="A750" s="2" t="s">
        <v>2346</v>
      </c>
      <c r="B750" s="3" t="n">
        <v>45442</v>
      </c>
      <c r="C750" s="3" t="n">
        <v>45442</v>
      </c>
      <c r="D750" s="2" t="s">
        <v>41</v>
      </c>
      <c r="E750" s="2" t="s">
        <v>41</v>
      </c>
      <c r="F750" s="2" t="s">
        <v>2347</v>
      </c>
      <c r="G750" s="2" t="s">
        <v>182</v>
      </c>
      <c r="H750" s="2" t="s">
        <v>115</v>
      </c>
      <c r="I750" s="2" t="s">
        <v>45</v>
      </c>
      <c r="J750" s="2" t="s">
        <v>41</v>
      </c>
      <c r="K750" s="2" t="s">
        <v>258</v>
      </c>
      <c r="L750" s="2" t="s">
        <v>259</v>
      </c>
      <c r="M750" s="2" t="s">
        <v>94</v>
      </c>
      <c r="N750" s="2" t="s">
        <v>191</v>
      </c>
      <c r="O750" s="2" t="s">
        <v>2348</v>
      </c>
      <c r="P750" s="2" t="s">
        <v>51</v>
      </c>
      <c r="Q750" s="2" t="s">
        <v>41</v>
      </c>
      <c r="R750" s="2" t="n">
        <v>1</v>
      </c>
      <c r="S750" s="2" t="n">
        <v>3848.04</v>
      </c>
      <c r="T750" s="2" t="n">
        <v>0.25</v>
      </c>
      <c r="U750" s="2" t="str">
        <f aca="false">IF(ISBLANK(T750),"Yes","No")</f>
        <v>No</v>
      </c>
      <c r="V750" s="2" t="n">
        <f aca="false">IF(ISBLANK(T750),0,IF(ISNUMBER(T750),T750,VALUE(LEFT(T750,LEN(T750)-1))/100))</f>
        <v>0.25</v>
      </c>
      <c r="W750" s="2" t="str">
        <f aca="false">IF(AND(V750&gt;=0,V750&lt;=0.25),"Valid","Invalid")</f>
        <v>Valid</v>
      </c>
      <c r="X750" s="2" t="n">
        <v>2886.03</v>
      </c>
      <c r="Y750" s="2" t="n">
        <f aca="false">R750*S750*(1-V750)</f>
        <v>2886.03</v>
      </c>
      <c r="Z750" s="2" t="str">
        <f aca="false">IF(ABS(X750-Y750)&gt;1,"Mismatch","OK")</f>
        <v>OK</v>
      </c>
      <c r="AA750" s="2" t="n">
        <v>2064.83</v>
      </c>
      <c r="AB750" s="2" t="n">
        <v>821.2</v>
      </c>
      <c r="AC750" s="2" t="n">
        <f aca="false">Y750-AA750</f>
        <v>821.2</v>
      </c>
      <c r="AD750" s="2" t="str">
        <f aca="false">IF(ABS(AB750-AC750)&gt;1,"Mismatch","OK")</f>
        <v>OK</v>
      </c>
      <c r="AE750" s="4" t="n">
        <f aca="false">IF(Y750=0,0,AC750/Y750)</f>
        <v>0.284543126717324</v>
      </c>
      <c r="AF750" s="2" t="s">
        <v>52</v>
      </c>
      <c r="AG750" s="2" t="s">
        <v>53</v>
      </c>
      <c r="AH750" s="2" t="str">
        <f aca="false">IF(AND(AG750="Completed",AF750&lt;&gt;"Paid"),"Inconsistent","OK")</f>
        <v>OK</v>
      </c>
      <c r="AI750" s="2" t="n">
        <f aca="false">IF(OR(ISBLANK(B750),ISBLANK(C750)),"",C750-B750)</f>
        <v>0</v>
      </c>
      <c r="AJ750" s="2" t="str">
        <f aca="false">IF(AI750="","Unknown",IF(AI750&lt;0,"Invalid","OK"))</f>
        <v>OK</v>
      </c>
      <c r="AK750" s="2" t="str">
        <f aca="false">IF(ISBLANK(B750),"",TEXT(B750,"mmm"))</f>
        <v>May</v>
      </c>
      <c r="AL750" s="2" t="n">
        <f aca="false">IF(ISBLANK(B750),"",YEAR(B750))</f>
        <v>2024</v>
      </c>
      <c r="AM750" s="2" t="s">
        <v>41</v>
      </c>
      <c r="AN750" s="2" t="str">
        <f aca="false">IF(OR(W750="Invalid",AJ750="Invalid",AH750="Inconsistent",Z750="Mismatch",AD750="Mismatch",AM750="Yes",D750="Yes",E750="Yes"),"Invalid",IF(OR(J750="Yes",Q750="Yes",U750="Yes"),"Warning","Clean"))</f>
        <v>Clean</v>
      </c>
    </row>
    <row r="751" customFormat="false" ht="15" hidden="false" customHeight="false" outlineLevel="0" collapsed="false">
      <c r="A751" s="2" t="s">
        <v>2349</v>
      </c>
      <c r="B751" s="3" t="n">
        <v>45372</v>
      </c>
      <c r="C751" s="3" t="n">
        <v>45376</v>
      </c>
      <c r="D751" s="2" t="s">
        <v>41</v>
      </c>
      <c r="E751" s="2" t="s">
        <v>41</v>
      </c>
      <c r="F751" s="2" t="s">
        <v>2350</v>
      </c>
      <c r="G751" s="2" t="s">
        <v>109</v>
      </c>
      <c r="H751" s="2" t="s">
        <v>115</v>
      </c>
      <c r="I751" s="2" t="s">
        <v>58</v>
      </c>
      <c r="J751" s="2" t="s">
        <v>41</v>
      </c>
      <c r="K751" s="2" t="s">
        <v>186</v>
      </c>
      <c r="L751" s="2" t="s">
        <v>187</v>
      </c>
      <c r="M751" s="2" t="s">
        <v>94</v>
      </c>
      <c r="N751" s="2" t="s">
        <v>296</v>
      </c>
      <c r="O751" s="2" t="s">
        <v>2351</v>
      </c>
      <c r="P751" s="2" t="s">
        <v>79</v>
      </c>
      <c r="Q751" s="2" t="s">
        <v>41</v>
      </c>
      <c r="R751" s="2" t="n">
        <v>1</v>
      </c>
      <c r="S751" s="2" t="n">
        <v>1716.7</v>
      </c>
      <c r="T751" s="2" t="n">
        <v>0.15</v>
      </c>
      <c r="U751" s="2" t="str">
        <f aca="false">IF(ISBLANK(T751),"Yes","No")</f>
        <v>No</v>
      </c>
      <c r="V751" s="2" t="n">
        <f aca="false">IF(ISBLANK(T751),0,IF(ISNUMBER(T751),T751,VALUE(LEFT(T751,LEN(T751)-1))/100))</f>
        <v>0.15</v>
      </c>
      <c r="W751" s="2" t="str">
        <f aca="false">IF(AND(V751&gt;=0,V751&lt;=0.25),"Valid","Invalid")</f>
        <v>Valid</v>
      </c>
      <c r="X751" s="2" t="n">
        <v>1459.19</v>
      </c>
      <c r="Y751" s="2" t="n">
        <f aca="false">R751*S751*(1-V751)</f>
        <v>1459.195</v>
      </c>
      <c r="Z751" s="2" t="str">
        <f aca="false">IF(ABS(X751-Y751)&gt;1,"Mismatch","OK")</f>
        <v>OK</v>
      </c>
      <c r="AA751" s="2" t="n">
        <v>1055.79</v>
      </c>
      <c r="AB751" s="2" t="n">
        <v>403.4</v>
      </c>
      <c r="AC751" s="2" t="n">
        <f aca="false">Y751-AA751</f>
        <v>403.405</v>
      </c>
      <c r="AD751" s="2" t="str">
        <f aca="false">IF(ABS(AB751-AC751)&gt;1,"Mismatch","OK")</f>
        <v>OK</v>
      </c>
      <c r="AE751" s="4" t="n">
        <f aca="false">IF(Y751=0,0,AC751/Y751)</f>
        <v>0.276457224702661</v>
      </c>
      <c r="AF751" s="2" t="s">
        <v>52</v>
      </c>
      <c r="AG751" s="2" t="s">
        <v>53</v>
      </c>
      <c r="AH751" s="2" t="str">
        <f aca="false">IF(AND(AG751="Completed",AF751&lt;&gt;"Paid"),"Inconsistent","OK")</f>
        <v>OK</v>
      </c>
      <c r="AI751" s="2" t="n">
        <f aca="false">IF(OR(ISBLANK(B751),ISBLANK(C751)),"",C751-B751)</f>
        <v>4</v>
      </c>
      <c r="AJ751" s="2" t="str">
        <f aca="false">IF(AI751="","Unknown",IF(AI751&lt;0,"Invalid","OK"))</f>
        <v>OK</v>
      </c>
      <c r="AK751" s="2" t="str">
        <f aca="false">IF(ISBLANK(B751),"",TEXT(B751,"mmm"))</f>
        <v>Mar</v>
      </c>
      <c r="AL751" s="2" t="n">
        <f aca="false">IF(ISBLANK(B751),"",YEAR(B751))</f>
        <v>2024</v>
      </c>
      <c r="AM751" s="2" t="s">
        <v>41</v>
      </c>
      <c r="AN751" s="2" t="str">
        <f aca="false">IF(OR(W751="Invalid",AJ751="Invalid",AH751="Inconsistent",Z751="Mismatch",AD751="Mismatch",AM751="Yes",D751="Yes",E751="Yes"),"Invalid",IF(OR(J751="Yes",Q751="Yes",U751="Yes"),"Warning","Clean"))</f>
        <v>Clean</v>
      </c>
    </row>
    <row r="752" customFormat="false" ht="15" hidden="false" customHeight="false" outlineLevel="0" collapsed="false">
      <c r="A752" s="2" t="s">
        <v>2352</v>
      </c>
      <c r="B752" s="3" t="n">
        <v>45810</v>
      </c>
      <c r="C752" s="3" t="n">
        <v>45810</v>
      </c>
      <c r="D752" s="2" t="s">
        <v>41</v>
      </c>
      <c r="E752" s="2" t="s">
        <v>41</v>
      </c>
      <c r="F752" s="2" t="s">
        <v>2353</v>
      </c>
      <c r="G752" s="2" t="s">
        <v>148</v>
      </c>
      <c r="H752" s="2" t="s">
        <v>115</v>
      </c>
      <c r="I752" s="2" t="s">
        <v>74</v>
      </c>
      <c r="J752" s="2" t="s">
        <v>41</v>
      </c>
      <c r="K752" s="2" t="s">
        <v>75</v>
      </c>
      <c r="L752" s="2" t="s">
        <v>76</v>
      </c>
      <c r="M752" s="2" t="s">
        <v>94</v>
      </c>
      <c r="N752" s="2" t="s">
        <v>95</v>
      </c>
      <c r="O752" s="2" t="s">
        <v>2354</v>
      </c>
      <c r="P752" s="2" t="s">
        <v>70</v>
      </c>
      <c r="Q752" s="2" t="s">
        <v>41</v>
      </c>
      <c r="R752" s="2" t="n">
        <v>8</v>
      </c>
      <c r="S752" s="2" t="n">
        <v>3925.93</v>
      </c>
      <c r="T752" s="2" t="n">
        <v>0.15</v>
      </c>
      <c r="U752" s="2" t="str">
        <f aca="false">IF(ISBLANK(T752),"Yes","No")</f>
        <v>No</v>
      </c>
      <c r="V752" s="2" t="n">
        <f aca="false">IF(ISBLANK(T752),0,IF(ISNUMBER(T752),T752,VALUE(LEFT(T752,LEN(T752)-1))/100))</f>
        <v>0.15</v>
      </c>
      <c r="W752" s="2" t="str">
        <f aca="false">IF(AND(V752&gt;=0,V752&lt;=0.25),"Valid","Invalid")</f>
        <v>Valid</v>
      </c>
      <c r="X752" s="2" t="n">
        <v>26696.32</v>
      </c>
      <c r="Y752" s="2" t="n">
        <f aca="false">R752*S752*(1-V752)</f>
        <v>26696.324</v>
      </c>
      <c r="Z752" s="2" t="str">
        <f aca="false">IF(ABS(X752-Y752)&gt;1,"Mismatch","OK")</f>
        <v>OK</v>
      </c>
      <c r="AA752" s="2" t="n">
        <v>22724.52</v>
      </c>
      <c r="AB752" s="2" t="n">
        <v>3971.8</v>
      </c>
      <c r="AC752" s="2" t="n">
        <f aca="false">Y752-AA752</f>
        <v>3971.804</v>
      </c>
      <c r="AD752" s="2" t="str">
        <f aca="false">IF(ABS(AB752-AC752)&gt;1,"Mismatch","OK")</f>
        <v>OK</v>
      </c>
      <c r="AE752" s="4" t="n">
        <f aca="false">IF(Y752=0,0,AC752/Y752)</f>
        <v>0.148777187450976</v>
      </c>
      <c r="AF752" s="2" t="s">
        <v>52</v>
      </c>
      <c r="AG752" s="2" t="s">
        <v>53</v>
      </c>
      <c r="AH752" s="2" t="str">
        <f aca="false">IF(AND(AG752="Completed",AF752&lt;&gt;"Paid"),"Inconsistent","OK")</f>
        <v>OK</v>
      </c>
      <c r="AI752" s="2" t="n">
        <f aca="false">IF(OR(ISBLANK(B752),ISBLANK(C752)),"",C752-B752)</f>
        <v>0</v>
      </c>
      <c r="AJ752" s="2" t="str">
        <f aca="false">IF(AI752="","Unknown",IF(AI752&lt;0,"Invalid","OK"))</f>
        <v>OK</v>
      </c>
      <c r="AK752" s="2" t="str">
        <f aca="false">IF(ISBLANK(B752),"",TEXT(B752,"mmm"))</f>
        <v>Jun</v>
      </c>
      <c r="AL752" s="2" t="n">
        <f aca="false">IF(ISBLANK(B752),"",YEAR(B752))</f>
        <v>2025</v>
      </c>
      <c r="AM752" s="2" t="s">
        <v>41</v>
      </c>
      <c r="AN752" s="2" t="str">
        <f aca="false">IF(OR(W752="Invalid",AJ752="Invalid",AH752="Inconsistent",Z752="Mismatch",AD752="Mismatch",AM752="Yes",D752="Yes",E752="Yes"),"Invalid",IF(OR(J752="Yes",Q752="Yes",U752="Yes"),"Warning","Clean"))</f>
        <v>Clean</v>
      </c>
    </row>
    <row r="753" customFormat="false" ht="15" hidden="false" customHeight="false" outlineLevel="0" collapsed="false">
      <c r="A753" s="2" t="s">
        <v>2355</v>
      </c>
      <c r="B753" s="3" t="n">
        <v>45856</v>
      </c>
      <c r="C753" s="3" t="n">
        <v>45857</v>
      </c>
      <c r="D753" s="2" t="s">
        <v>41</v>
      </c>
      <c r="E753" s="2" t="s">
        <v>41</v>
      </c>
      <c r="F753" s="2" t="s">
        <v>2356</v>
      </c>
      <c r="G753" s="2" t="s">
        <v>134</v>
      </c>
      <c r="H753" s="2" t="s">
        <v>115</v>
      </c>
      <c r="I753" s="2" t="s">
        <v>225</v>
      </c>
      <c r="J753" s="2" t="s">
        <v>226</v>
      </c>
      <c r="K753" s="2" t="s">
        <v>156</v>
      </c>
      <c r="L753" s="2" t="s">
        <v>157</v>
      </c>
      <c r="M753" s="2" t="s">
        <v>94</v>
      </c>
      <c r="N753" s="2" t="s">
        <v>296</v>
      </c>
      <c r="O753" s="2" t="s">
        <v>2357</v>
      </c>
      <c r="P753" s="2" t="s">
        <v>225</v>
      </c>
      <c r="Q753" s="2" t="s">
        <v>226</v>
      </c>
      <c r="R753" s="2" t="n">
        <v>3</v>
      </c>
      <c r="S753" s="2" t="n">
        <v>2963.25</v>
      </c>
      <c r="T753" s="2" t="n">
        <v>0.05</v>
      </c>
      <c r="U753" s="2" t="str">
        <f aca="false">IF(ISBLANK(T753),"Yes","No")</f>
        <v>No</v>
      </c>
      <c r="V753" s="2" t="n">
        <f aca="false">IF(ISBLANK(T753),0,IF(ISNUMBER(T753),T753,VALUE(LEFT(T753,LEN(T753)-1))/100))</f>
        <v>0.05</v>
      </c>
      <c r="W753" s="2" t="str">
        <f aca="false">IF(AND(V753&gt;=0,V753&lt;=0.25),"Valid","Invalid")</f>
        <v>Valid</v>
      </c>
      <c r="X753" s="2" t="n">
        <v>8445.26</v>
      </c>
      <c r="Y753" s="2" t="n">
        <f aca="false">R753*S753*(1-V753)</f>
        <v>8445.2625</v>
      </c>
      <c r="Z753" s="2" t="str">
        <f aca="false">IF(ABS(X753-Y753)&gt;1,"Mismatch","OK")</f>
        <v>OK</v>
      </c>
      <c r="AA753" s="2" t="n">
        <v>6937.6</v>
      </c>
      <c r="AB753" s="2" t="n">
        <v>1507.66</v>
      </c>
      <c r="AC753" s="2" t="n">
        <f aca="false">Y753-AA753</f>
        <v>1507.6625</v>
      </c>
      <c r="AD753" s="2" t="str">
        <f aca="false">IF(ABS(AB753-AC753)&gt;1,"Mismatch","OK")</f>
        <v>OK</v>
      </c>
      <c r="AE753" s="4" t="n">
        <f aca="false">IF(Y753=0,0,AC753/Y753)</f>
        <v>0.178521685974829</v>
      </c>
      <c r="AF753" s="2" t="s">
        <v>52</v>
      </c>
      <c r="AG753" s="2" t="s">
        <v>53</v>
      </c>
      <c r="AH753" s="2" t="str">
        <f aca="false">IF(AND(AG753="Completed",AF753&lt;&gt;"Paid"),"Inconsistent","OK")</f>
        <v>OK</v>
      </c>
      <c r="AI753" s="2" t="n">
        <f aca="false">IF(OR(ISBLANK(B753),ISBLANK(C753)),"",C753-B753)</f>
        <v>1</v>
      </c>
      <c r="AJ753" s="2" t="str">
        <f aca="false">IF(AI753="","Unknown",IF(AI753&lt;0,"Invalid","OK"))</f>
        <v>OK</v>
      </c>
      <c r="AK753" s="2" t="str">
        <f aca="false">IF(ISBLANK(B753),"",TEXT(B753,"mmm"))</f>
        <v>Jul</v>
      </c>
      <c r="AL753" s="2" t="n">
        <f aca="false">IF(ISBLANK(B753),"",YEAR(B753))</f>
        <v>2025</v>
      </c>
      <c r="AM753" s="2" t="s">
        <v>41</v>
      </c>
      <c r="AN753" s="2" t="str">
        <f aca="false">IF(OR(W753="Invalid",AJ753="Invalid",AH753="Inconsistent",Z753="Mismatch",AD753="Mismatch",AM753="Yes",D753="Yes",E753="Yes"),"Invalid",IF(OR(J753="Yes",Q753="Yes",U753="Yes"),"Warning","Clean"))</f>
        <v>Warning</v>
      </c>
    </row>
    <row r="754" customFormat="false" ht="15" hidden="false" customHeight="false" outlineLevel="0" collapsed="false">
      <c r="A754" s="2" t="s">
        <v>2358</v>
      </c>
      <c r="B754" s="3" t="n">
        <v>45375</v>
      </c>
      <c r="C754" s="3" t="n">
        <v>45378</v>
      </c>
      <c r="D754" s="2" t="s">
        <v>41</v>
      </c>
      <c r="E754" s="2" t="s">
        <v>41</v>
      </c>
      <c r="F754" s="2" t="s">
        <v>2359</v>
      </c>
      <c r="G754" s="2" t="s">
        <v>109</v>
      </c>
      <c r="H754" s="2" t="s">
        <v>110</v>
      </c>
      <c r="I754" s="2" t="s">
        <v>83</v>
      </c>
      <c r="J754" s="2" t="s">
        <v>41</v>
      </c>
      <c r="K754" s="2" t="s">
        <v>200</v>
      </c>
      <c r="L754" s="2" t="s">
        <v>201</v>
      </c>
      <c r="M754" s="2" t="s">
        <v>48</v>
      </c>
      <c r="N754" s="2" t="s">
        <v>144</v>
      </c>
      <c r="O754" s="2" t="s">
        <v>2360</v>
      </c>
      <c r="P754" s="2" t="s">
        <v>70</v>
      </c>
      <c r="Q754" s="2" t="s">
        <v>41</v>
      </c>
      <c r="R754" s="2" t="n">
        <v>5</v>
      </c>
      <c r="S754" s="2" t="n">
        <v>2465.22</v>
      </c>
      <c r="T754" s="2" t="n">
        <v>0.05</v>
      </c>
      <c r="U754" s="2" t="str">
        <f aca="false">IF(ISBLANK(T754),"Yes","No")</f>
        <v>No</v>
      </c>
      <c r="V754" s="2" t="n">
        <f aca="false">IF(ISBLANK(T754),0,IF(ISNUMBER(T754),T754,VALUE(LEFT(T754,LEN(T754)-1))/100))</f>
        <v>0.05</v>
      </c>
      <c r="W754" s="2" t="str">
        <f aca="false">IF(AND(V754&gt;=0,V754&lt;=0.25),"Valid","Invalid")</f>
        <v>Valid</v>
      </c>
      <c r="X754" s="2" t="n">
        <v>11709.79</v>
      </c>
      <c r="Y754" s="2" t="n">
        <f aca="false">R754*S754*(1-V754)</f>
        <v>11709.795</v>
      </c>
      <c r="Z754" s="2" t="str">
        <f aca="false">IF(ABS(X754-Y754)&gt;1,"Mismatch","OK")</f>
        <v>OK</v>
      </c>
      <c r="AA754" s="2" t="n">
        <v>8372.29</v>
      </c>
      <c r="AB754" s="2" t="n">
        <v>3337.5</v>
      </c>
      <c r="AC754" s="2" t="n">
        <f aca="false">Y754-AA754</f>
        <v>3337.505</v>
      </c>
      <c r="AD754" s="2" t="str">
        <f aca="false">IF(ABS(AB754-AC754)&gt;1,"Mismatch","OK")</f>
        <v>OK</v>
      </c>
      <c r="AE754" s="4" t="n">
        <f aca="false">IF(Y754=0,0,AC754/Y754)</f>
        <v>0.285018226194395</v>
      </c>
      <c r="AF754" s="2" t="s">
        <v>52</v>
      </c>
      <c r="AG754" s="2" t="s">
        <v>53</v>
      </c>
      <c r="AH754" s="2" t="str">
        <f aca="false">IF(AND(AG754="Completed",AF754&lt;&gt;"Paid"),"Inconsistent","OK")</f>
        <v>OK</v>
      </c>
      <c r="AI754" s="2" t="n">
        <f aca="false">IF(OR(ISBLANK(B754),ISBLANK(C754)),"",C754-B754)</f>
        <v>3</v>
      </c>
      <c r="AJ754" s="2" t="str">
        <f aca="false">IF(AI754="","Unknown",IF(AI754&lt;0,"Invalid","OK"))</f>
        <v>OK</v>
      </c>
      <c r="AK754" s="2" t="str">
        <f aca="false">IF(ISBLANK(B754),"",TEXT(B754,"mmm"))</f>
        <v>Mar</v>
      </c>
      <c r="AL754" s="2" t="n">
        <f aca="false">IF(ISBLANK(B754),"",YEAR(B754))</f>
        <v>2024</v>
      </c>
      <c r="AM754" s="2" t="s">
        <v>41</v>
      </c>
      <c r="AN754" s="2" t="str">
        <f aca="false">IF(OR(W754="Invalid",AJ754="Invalid",AH754="Inconsistent",Z754="Mismatch",AD754="Mismatch",AM754="Yes",D754="Yes",E754="Yes"),"Invalid",IF(OR(J754="Yes",Q754="Yes",U754="Yes"),"Warning","Clean"))</f>
        <v>Clean</v>
      </c>
    </row>
    <row r="755" customFormat="false" ht="15" hidden="false" customHeight="false" outlineLevel="0" collapsed="false">
      <c r="A755" s="2" t="s">
        <v>2361</v>
      </c>
      <c r="B755" s="3" t="n">
        <v>45515</v>
      </c>
      <c r="C755" s="3" t="n">
        <v>45514</v>
      </c>
      <c r="D755" s="2" t="s">
        <v>41</v>
      </c>
      <c r="E755" s="2" t="s">
        <v>41</v>
      </c>
      <c r="F755" s="2" t="s">
        <v>2362</v>
      </c>
      <c r="G755" s="2" t="s">
        <v>109</v>
      </c>
      <c r="H755" s="2" t="s">
        <v>110</v>
      </c>
      <c r="I755" s="2" t="s">
        <v>45</v>
      </c>
      <c r="J755" s="2" t="s">
        <v>41</v>
      </c>
      <c r="K755" s="2" t="s">
        <v>372</v>
      </c>
      <c r="L755" s="2" t="s">
        <v>373</v>
      </c>
      <c r="M755" s="2" t="s">
        <v>61</v>
      </c>
      <c r="N755" s="2" t="s">
        <v>77</v>
      </c>
      <c r="O755" s="2" t="s">
        <v>2363</v>
      </c>
      <c r="P755" s="2" t="s">
        <v>51</v>
      </c>
      <c r="Q755" s="2" t="s">
        <v>41</v>
      </c>
      <c r="R755" s="2" t="n">
        <v>3</v>
      </c>
      <c r="S755" s="2" t="n">
        <v>1017.22</v>
      </c>
      <c r="T755" s="2" t="n">
        <v>0.15</v>
      </c>
      <c r="U755" s="2" t="str">
        <f aca="false">IF(ISBLANK(T755),"Yes","No")</f>
        <v>No</v>
      </c>
      <c r="V755" s="2" t="n">
        <f aca="false">IF(ISBLANK(T755),0,IF(ISNUMBER(T755),T755,VALUE(LEFT(T755,LEN(T755)-1))/100))</f>
        <v>0.15</v>
      </c>
      <c r="W755" s="2" t="str">
        <f aca="false">IF(AND(V755&gt;=0,V755&lt;=0.25),"Valid","Invalid")</f>
        <v>Valid</v>
      </c>
      <c r="X755" s="2" t="n">
        <v>2593.91</v>
      </c>
      <c r="Y755" s="2" t="n">
        <f aca="false">R755*S755*(1-V755)</f>
        <v>2593.911</v>
      </c>
      <c r="Z755" s="2" t="str">
        <f aca="false">IF(ABS(X755-Y755)&gt;1,"Mismatch","OK")</f>
        <v>OK</v>
      </c>
      <c r="AA755" s="2" t="n">
        <v>1848.48</v>
      </c>
      <c r="AB755" s="2" t="n">
        <v>745.43</v>
      </c>
      <c r="AC755" s="2" t="n">
        <f aca="false">Y755-AA755</f>
        <v>745.431</v>
      </c>
      <c r="AD755" s="2" t="str">
        <f aca="false">IF(ABS(AB755-AC755)&gt;1,"Mismatch","OK")</f>
        <v>OK</v>
      </c>
      <c r="AE755" s="4" t="n">
        <f aca="false">IF(Y755=0,0,AC755/Y755)</f>
        <v>0.287377246173828</v>
      </c>
      <c r="AF755" s="2" t="s">
        <v>175</v>
      </c>
      <c r="AG755" s="2" t="s">
        <v>123</v>
      </c>
      <c r="AH755" s="2" t="str">
        <f aca="false">IF(AND(AG755="Completed",AF755&lt;&gt;"Paid"),"Inconsistent","OK")</f>
        <v>OK</v>
      </c>
      <c r="AI755" s="2" t="n">
        <f aca="false">IF(OR(ISBLANK(B755),ISBLANK(C755)),"",C755-B755)</f>
        <v>-1</v>
      </c>
      <c r="AJ755" s="2" t="str">
        <f aca="false">IF(AI755="","Unknown",IF(AI755&lt;0,"Invalid","OK"))</f>
        <v>Invalid</v>
      </c>
      <c r="AK755" s="2" t="str">
        <f aca="false">IF(ISBLANK(B755),"",TEXT(B755,"mmm"))</f>
        <v>Aug</v>
      </c>
      <c r="AL755" s="2" t="n">
        <f aca="false">IF(ISBLANK(B755),"",YEAR(B755))</f>
        <v>2024</v>
      </c>
      <c r="AM755" s="2" t="s">
        <v>41</v>
      </c>
      <c r="AN755" s="2" t="str">
        <f aca="false">IF(OR(W755="Invalid",AJ755="Invalid",AH755="Inconsistent",Z755="Mismatch",AD755="Mismatch",AM755="Yes",D755="Yes",E755="Yes"),"Invalid",IF(OR(J755="Yes",Q755="Yes",U755="Yes"),"Warning","Clean"))</f>
        <v>Invalid</v>
      </c>
    </row>
    <row r="756" customFormat="false" ht="15" hidden="false" customHeight="false" outlineLevel="0" collapsed="false">
      <c r="A756" s="2" t="s">
        <v>2364</v>
      </c>
      <c r="B756" s="3" t="n">
        <v>45812</v>
      </c>
      <c r="C756" s="3" t="n">
        <v>45812</v>
      </c>
      <c r="D756" s="2" t="s">
        <v>41</v>
      </c>
      <c r="E756" s="2" t="s">
        <v>41</v>
      </c>
      <c r="F756" s="2" t="s">
        <v>2365</v>
      </c>
      <c r="G756" s="2" t="s">
        <v>99</v>
      </c>
      <c r="H756" s="2" t="s">
        <v>110</v>
      </c>
      <c r="I756" s="2" t="s">
        <v>74</v>
      </c>
      <c r="J756" s="2" t="s">
        <v>41</v>
      </c>
      <c r="K756" s="2" t="s">
        <v>205</v>
      </c>
      <c r="L756" s="2" t="s">
        <v>206</v>
      </c>
      <c r="M756" s="2" t="s">
        <v>48</v>
      </c>
      <c r="N756" s="2" t="s">
        <v>144</v>
      </c>
      <c r="O756" s="2" t="s">
        <v>2366</v>
      </c>
      <c r="P756" s="2" t="s">
        <v>79</v>
      </c>
      <c r="Q756" s="2" t="s">
        <v>41</v>
      </c>
      <c r="R756" s="2" t="n">
        <v>4</v>
      </c>
      <c r="S756" s="2" t="n">
        <v>891.34</v>
      </c>
      <c r="T756" s="2" t="n">
        <v>0.25</v>
      </c>
      <c r="U756" s="2" t="str">
        <f aca="false">IF(ISBLANK(T756),"Yes","No")</f>
        <v>No</v>
      </c>
      <c r="V756" s="2" t="n">
        <f aca="false">IF(ISBLANK(T756),0,IF(ISNUMBER(T756),T756,VALUE(LEFT(T756,LEN(T756)-1))/100))</f>
        <v>0.25</v>
      </c>
      <c r="W756" s="2" t="str">
        <f aca="false">IF(AND(V756&gt;=0,V756&lt;=0.25),"Valid","Invalid")</f>
        <v>Valid</v>
      </c>
      <c r="X756" s="2" t="n">
        <v>2674.02</v>
      </c>
      <c r="Y756" s="2" t="n">
        <f aca="false">R756*S756*(1-V756)</f>
        <v>2674.02</v>
      </c>
      <c r="Z756" s="2" t="str">
        <f aca="false">IF(ABS(X756-Y756)&gt;1,"Mismatch","OK")</f>
        <v>OK</v>
      </c>
      <c r="AA756" s="2" t="n">
        <v>2207.57</v>
      </c>
      <c r="AB756" s="2" t="n">
        <v>466.45</v>
      </c>
      <c r="AC756" s="2" t="n">
        <f aca="false">Y756-AA756</f>
        <v>466.45</v>
      </c>
      <c r="AD756" s="2" t="str">
        <f aca="false">IF(ABS(AB756-AC756)&gt;1,"Mismatch","OK")</f>
        <v>OK</v>
      </c>
      <c r="AE756" s="4" t="n">
        <f aca="false">IF(Y756=0,0,AC756/Y756)</f>
        <v>0.174437737937637</v>
      </c>
      <c r="AF756" s="2" t="s">
        <v>52</v>
      </c>
      <c r="AG756" s="2" t="s">
        <v>53</v>
      </c>
      <c r="AH756" s="2" t="str">
        <f aca="false">IF(AND(AG756="Completed",AF756&lt;&gt;"Paid"),"Inconsistent","OK")</f>
        <v>OK</v>
      </c>
      <c r="AI756" s="2" t="n">
        <f aca="false">IF(OR(ISBLANK(B756),ISBLANK(C756)),"",C756-B756)</f>
        <v>0</v>
      </c>
      <c r="AJ756" s="2" t="str">
        <f aca="false">IF(AI756="","Unknown",IF(AI756&lt;0,"Invalid","OK"))</f>
        <v>OK</v>
      </c>
      <c r="AK756" s="2" t="str">
        <f aca="false">IF(ISBLANK(B756),"",TEXT(B756,"mmm"))</f>
        <v>Jun</v>
      </c>
      <c r="AL756" s="2" t="n">
        <f aca="false">IF(ISBLANK(B756),"",YEAR(B756))</f>
        <v>2025</v>
      </c>
      <c r="AM756" s="2" t="s">
        <v>41</v>
      </c>
      <c r="AN756" s="2" t="str">
        <f aca="false">IF(OR(W756="Invalid",AJ756="Invalid",AH756="Inconsistent",Z756="Mismatch",AD756="Mismatch",AM756="Yes",D756="Yes",E756="Yes"),"Invalid",IF(OR(J756="Yes",Q756="Yes",U756="Yes"),"Warning","Clean"))</f>
        <v>Clean</v>
      </c>
    </row>
    <row r="757" customFormat="false" ht="15" hidden="false" customHeight="false" outlineLevel="0" collapsed="false">
      <c r="A757" s="2" t="s">
        <v>2367</v>
      </c>
      <c r="B757" s="3" t="n">
        <v>45858</v>
      </c>
      <c r="C757" s="3" t="n">
        <v>45862</v>
      </c>
      <c r="D757" s="2" t="s">
        <v>41</v>
      </c>
      <c r="E757" s="2" t="s">
        <v>41</v>
      </c>
      <c r="F757" s="2" t="s">
        <v>2368</v>
      </c>
      <c r="G757" s="2" t="s">
        <v>134</v>
      </c>
      <c r="H757" s="2" t="s">
        <v>115</v>
      </c>
      <c r="I757" s="2" t="s">
        <v>83</v>
      </c>
      <c r="J757" s="2" t="s">
        <v>41</v>
      </c>
      <c r="K757" s="2" t="s">
        <v>92</v>
      </c>
      <c r="L757" s="2" t="s">
        <v>93</v>
      </c>
      <c r="M757" s="2" t="s">
        <v>48</v>
      </c>
      <c r="N757" s="2" t="s">
        <v>144</v>
      </c>
      <c r="O757" s="2" t="s">
        <v>2369</v>
      </c>
      <c r="P757" s="2" t="s">
        <v>51</v>
      </c>
      <c r="Q757" s="2" t="s">
        <v>41</v>
      </c>
      <c r="R757" s="2" t="n">
        <v>5</v>
      </c>
      <c r="S757" s="2" t="n">
        <v>2481.74</v>
      </c>
      <c r="T757" s="2" t="n">
        <v>0.2</v>
      </c>
      <c r="U757" s="2" t="str">
        <f aca="false">IF(ISBLANK(T757),"Yes","No")</f>
        <v>No</v>
      </c>
      <c r="V757" s="2" t="n">
        <f aca="false">IF(ISBLANK(T757),0,IF(ISNUMBER(T757),T757,VALUE(LEFT(T757,LEN(T757)-1))/100))</f>
        <v>0.2</v>
      </c>
      <c r="W757" s="2" t="str">
        <f aca="false">IF(AND(V757&gt;=0,V757&lt;=0.25),"Valid","Invalid")</f>
        <v>Valid</v>
      </c>
      <c r="X757" s="2" t="n">
        <v>9926.96</v>
      </c>
      <c r="Y757" s="2" t="n">
        <f aca="false">R757*S757*(1-V757)</f>
        <v>9926.96</v>
      </c>
      <c r="Z757" s="2" t="str">
        <f aca="false">IF(ABS(X757-Y757)&gt;1,"Mismatch","OK")</f>
        <v>OK</v>
      </c>
      <c r="AA757" s="2" t="n">
        <v>7994.98</v>
      </c>
      <c r="AB757" s="2" t="n">
        <v>1931.98</v>
      </c>
      <c r="AC757" s="2" t="n">
        <f aca="false">Y757-AA757</f>
        <v>1931.98</v>
      </c>
      <c r="AD757" s="2" t="str">
        <f aca="false">IF(ABS(AB757-AC757)&gt;1,"Mismatch","OK")</f>
        <v>OK</v>
      </c>
      <c r="AE757" s="4" t="n">
        <f aca="false">IF(Y757=0,0,AC757/Y757)</f>
        <v>0.194619500834092</v>
      </c>
      <c r="AF757" s="2" t="s">
        <v>52</v>
      </c>
      <c r="AG757" s="2" t="s">
        <v>53</v>
      </c>
      <c r="AH757" s="2" t="str">
        <f aca="false">IF(AND(AG757="Completed",AF757&lt;&gt;"Paid"),"Inconsistent","OK")</f>
        <v>OK</v>
      </c>
      <c r="AI757" s="2" t="n">
        <f aca="false">IF(OR(ISBLANK(B757),ISBLANK(C757)),"",C757-B757)</f>
        <v>4</v>
      </c>
      <c r="AJ757" s="2" t="str">
        <f aca="false">IF(AI757="","Unknown",IF(AI757&lt;0,"Invalid","OK"))</f>
        <v>OK</v>
      </c>
      <c r="AK757" s="2" t="str">
        <f aca="false">IF(ISBLANK(B757),"",TEXT(B757,"mmm"))</f>
        <v>Jul</v>
      </c>
      <c r="AL757" s="2" t="n">
        <f aca="false">IF(ISBLANK(B757),"",YEAR(B757))</f>
        <v>2025</v>
      </c>
      <c r="AM757" s="2" t="s">
        <v>41</v>
      </c>
      <c r="AN757" s="2" t="str">
        <f aca="false">IF(OR(W757="Invalid",AJ757="Invalid",AH757="Inconsistent",Z757="Mismatch",AD757="Mismatch",AM757="Yes",D757="Yes",E757="Yes"),"Invalid",IF(OR(J757="Yes",Q757="Yes",U757="Yes"),"Warning","Clean"))</f>
        <v>Clean</v>
      </c>
    </row>
    <row r="758" customFormat="false" ht="15" hidden="false" customHeight="false" outlineLevel="0" collapsed="false">
      <c r="A758" s="2" t="s">
        <v>2370</v>
      </c>
      <c r="B758" s="3" t="n">
        <v>45592</v>
      </c>
      <c r="C758" s="3" t="n">
        <v>45597</v>
      </c>
      <c r="D758" s="2" t="s">
        <v>41</v>
      </c>
      <c r="E758" s="2" t="s">
        <v>41</v>
      </c>
      <c r="F758" s="2" t="s">
        <v>2371</v>
      </c>
      <c r="G758" s="2" t="s">
        <v>161</v>
      </c>
      <c r="H758" s="2" t="s">
        <v>44</v>
      </c>
      <c r="I758" s="2" t="s">
        <v>45</v>
      </c>
      <c r="J758" s="2" t="s">
        <v>41</v>
      </c>
      <c r="K758" s="2" t="s">
        <v>46</v>
      </c>
      <c r="L758" s="2" t="s">
        <v>47</v>
      </c>
      <c r="M758" s="2" t="s">
        <v>94</v>
      </c>
      <c r="N758" s="2" t="s">
        <v>95</v>
      </c>
      <c r="O758" s="2" t="s">
        <v>2372</v>
      </c>
      <c r="P758" s="2" t="s">
        <v>64</v>
      </c>
      <c r="Q758" s="2" t="s">
        <v>41</v>
      </c>
      <c r="R758" s="2" t="n">
        <v>7</v>
      </c>
      <c r="S758" s="2" t="n">
        <v>2177.1</v>
      </c>
      <c r="T758" s="2" t="n">
        <v>0.2</v>
      </c>
      <c r="U758" s="2" t="str">
        <f aca="false">IF(ISBLANK(T758),"Yes","No")</f>
        <v>No</v>
      </c>
      <c r="V758" s="2" t="n">
        <f aca="false">IF(ISBLANK(T758),0,IF(ISNUMBER(T758),T758,VALUE(LEFT(T758,LEN(T758)-1))/100))</f>
        <v>0.2</v>
      </c>
      <c r="W758" s="2" t="str">
        <f aca="false">IF(AND(V758&gt;=0,V758&lt;=0.25),"Valid","Invalid")</f>
        <v>Valid</v>
      </c>
      <c r="X758" s="2" t="n">
        <v>12191.76</v>
      </c>
      <c r="Y758" s="2" t="n">
        <f aca="false">R758*S758*(1-V758)</f>
        <v>12191.76</v>
      </c>
      <c r="Z758" s="2" t="str">
        <f aca="false">IF(ABS(X758-Y758)&gt;1,"Mismatch","OK")</f>
        <v>OK</v>
      </c>
      <c r="AA758" s="2" t="n">
        <v>10457.49</v>
      </c>
      <c r="AB758" s="2" t="n">
        <v>1734.27</v>
      </c>
      <c r="AC758" s="2" t="n">
        <f aca="false">Y758-AA758</f>
        <v>1734.27</v>
      </c>
      <c r="AD758" s="2" t="str">
        <f aca="false">IF(ABS(AB758-AC758)&gt;1,"Mismatch","OK")</f>
        <v>OK</v>
      </c>
      <c r="AE758" s="4" t="n">
        <f aca="false">IF(Y758=0,0,AC758/Y758)</f>
        <v>0.14224935530227</v>
      </c>
      <c r="AF758" s="2" t="s">
        <v>52</v>
      </c>
      <c r="AG758" s="2" t="s">
        <v>123</v>
      </c>
      <c r="AH758" s="2" t="str">
        <f aca="false">IF(AND(AG758="Completed",AF758&lt;&gt;"Paid"),"Inconsistent","OK")</f>
        <v>OK</v>
      </c>
      <c r="AI758" s="2" t="n">
        <f aca="false">IF(OR(ISBLANK(B758),ISBLANK(C758)),"",C758-B758)</f>
        <v>5</v>
      </c>
      <c r="AJ758" s="2" t="str">
        <f aca="false">IF(AI758="","Unknown",IF(AI758&lt;0,"Invalid","OK"))</f>
        <v>OK</v>
      </c>
      <c r="AK758" s="2" t="str">
        <f aca="false">IF(ISBLANK(B758),"",TEXT(B758,"mmm"))</f>
        <v>Oct</v>
      </c>
      <c r="AL758" s="2" t="n">
        <f aca="false">IF(ISBLANK(B758),"",YEAR(B758))</f>
        <v>2024</v>
      </c>
      <c r="AM758" s="2" t="s">
        <v>41</v>
      </c>
      <c r="AN758" s="2" t="str">
        <f aca="false">IF(OR(W758="Invalid",AJ758="Invalid",AH758="Inconsistent",Z758="Mismatch",AD758="Mismatch",AM758="Yes",D758="Yes",E758="Yes"),"Invalid",IF(OR(J758="Yes",Q758="Yes",U758="Yes"),"Warning","Clean"))</f>
        <v>Clean</v>
      </c>
    </row>
    <row r="759" customFormat="false" ht="15" hidden="false" customHeight="false" outlineLevel="0" collapsed="false">
      <c r="A759" s="2" t="s">
        <v>2373</v>
      </c>
      <c r="B759" s="3" t="n">
        <v>45870</v>
      </c>
      <c r="C759" s="3" t="n">
        <v>45872</v>
      </c>
      <c r="D759" s="2" t="s">
        <v>41</v>
      </c>
      <c r="E759" s="2" t="s">
        <v>41</v>
      </c>
      <c r="F759" s="2" t="s">
        <v>2374</v>
      </c>
      <c r="G759" s="2" t="s">
        <v>109</v>
      </c>
      <c r="H759" s="2" t="s">
        <v>57</v>
      </c>
      <c r="I759" s="2" t="s">
        <v>74</v>
      </c>
      <c r="J759" s="2" t="s">
        <v>41</v>
      </c>
      <c r="K759" s="2" t="s">
        <v>205</v>
      </c>
      <c r="L759" s="2" t="s">
        <v>206</v>
      </c>
      <c r="M759" s="2" t="s">
        <v>61</v>
      </c>
      <c r="N759" s="2" t="s">
        <v>178</v>
      </c>
      <c r="O759" s="2" t="s">
        <v>2375</v>
      </c>
      <c r="P759" s="2" t="s">
        <v>79</v>
      </c>
      <c r="Q759" s="2" t="s">
        <v>41</v>
      </c>
      <c r="R759" s="2" t="n">
        <v>3</v>
      </c>
      <c r="S759" s="2" t="n">
        <v>1904.78</v>
      </c>
      <c r="T759" s="2" t="n">
        <v>0.25</v>
      </c>
      <c r="U759" s="2" t="str">
        <f aca="false">IF(ISBLANK(T759),"Yes","No")</f>
        <v>No</v>
      </c>
      <c r="V759" s="2" t="n">
        <f aca="false">IF(ISBLANK(T759),0,IF(ISNUMBER(T759),T759,VALUE(LEFT(T759,LEN(T759)-1))/100))</f>
        <v>0.25</v>
      </c>
      <c r="W759" s="2" t="str">
        <f aca="false">IF(AND(V759&gt;=0,V759&lt;=0.25),"Valid","Invalid")</f>
        <v>Valid</v>
      </c>
      <c r="X759" s="2" t="n">
        <v>4285.76</v>
      </c>
      <c r="Y759" s="2" t="n">
        <f aca="false">R759*S759*(1-V759)</f>
        <v>4285.755</v>
      </c>
      <c r="Z759" s="2" t="str">
        <f aca="false">IF(ABS(X759-Y759)&gt;1,"Mismatch","OK")</f>
        <v>OK</v>
      </c>
      <c r="AA759" s="2" t="n">
        <v>2386.33</v>
      </c>
      <c r="AB759" s="2" t="n">
        <v>1899.43</v>
      </c>
      <c r="AC759" s="2" t="n">
        <f aca="false">Y759-AA759</f>
        <v>1899.425</v>
      </c>
      <c r="AD759" s="2" t="str">
        <f aca="false">IF(ABS(AB759-AC759)&gt;1,"Mismatch","OK")</f>
        <v>OK</v>
      </c>
      <c r="AE759" s="4" t="n">
        <f aca="false">IF(Y759=0,0,AC759/Y759)</f>
        <v>0.443194956314582</v>
      </c>
      <c r="AF759" s="2" t="s">
        <v>175</v>
      </c>
      <c r="AG759" s="2" t="s">
        <v>88</v>
      </c>
      <c r="AH759" s="2" t="str">
        <f aca="false">IF(AND(AG759="Completed",AF759&lt;&gt;"Paid"),"Inconsistent","OK")</f>
        <v>OK</v>
      </c>
      <c r="AI759" s="2" t="n">
        <f aca="false">IF(OR(ISBLANK(B759),ISBLANK(C759)),"",C759-B759)</f>
        <v>2</v>
      </c>
      <c r="AJ759" s="2" t="str">
        <f aca="false">IF(AI759="","Unknown",IF(AI759&lt;0,"Invalid","OK"))</f>
        <v>OK</v>
      </c>
      <c r="AK759" s="2" t="str">
        <f aca="false">IF(ISBLANK(B759),"",TEXT(B759,"mmm"))</f>
        <v>Aug</v>
      </c>
      <c r="AL759" s="2" t="n">
        <f aca="false">IF(ISBLANK(B759),"",YEAR(B759))</f>
        <v>2025</v>
      </c>
      <c r="AM759" s="2" t="s">
        <v>41</v>
      </c>
      <c r="AN759" s="2" t="str">
        <f aca="false">IF(OR(W759="Invalid",AJ759="Invalid",AH759="Inconsistent",Z759="Mismatch",AD759="Mismatch",AM759="Yes",D759="Yes",E759="Yes"),"Invalid",IF(OR(J759="Yes",Q759="Yes",U759="Yes"),"Warning","Clean"))</f>
        <v>Clean</v>
      </c>
    </row>
    <row r="760" customFormat="false" ht="15" hidden="false" customHeight="false" outlineLevel="0" collapsed="false">
      <c r="A760" s="2" t="s">
        <v>2376</v>
      </c>
      <c r="B760" s="3" t="n">
        <v>45414</v>
      </c>
      <c r="C760" s="3" t="n">
        <v>45422</v>
      </c>
      <c r="D760" s="2" t="s">
        <v>41</v>
      </c>
      <c r="E760" s="2" t="s">
        <v>41</v>
      </c>
      <c r="F760" s="2" t="s">
        <v>2377</v>
      </c>
      <c r="G760" s="2" t="s">
        <v>148</v>
      </c>
      <c r="H760" s="2" t="s">
        <v>57</v>
      </c>
      <c r="I760" s="2" t="s">
        <v>74</v>
      </c>
      <c r="J760" s="2" t="s">
        <v>41</v>
      </c>
      <c r="K760" s="2" t="s">
        <v>195</v>
      </c>
      <c r="L760" s="2" t="s">
        <v>196</v>
      </c>
      <c r="M760" s="2" t="s">
        <v>61</v>
      </c>
      <c r="N760" s="2" t="s">
        <v>86</v>
      </c>
      <c r="O760" s="2" t="s">
        <v>2378</v>
      </c>
      <c r="P760" s="2" t="s">
        <v>79</v>
      </c>
      <c r="Q760" s="2" t="s">
        <v>41</v>
      </c>
      <c r="R760" s="2" t="n">
        <v>1</v>
      </c>
      <c r="S760" s="2" t="n">
        <v>4166.91</v>
      </c>
      <c r="T760" s="2" t="n">
        <v>0</v>
      </c>
      <c r="U760" s="2" t="str">
        <f aca="false">IF(ISBLANK(T760),"Yes","No")</f>
        <v>No</v>
      </c>
      <c r="V760" s="2" t="n">
        <f aca="false">IF(ISBLANK(T760),0,IF(ISNUMBER(T760),T760,VALUE(LEFT(T760,LEN(T760)-1))/100))</f>
        <v>0</v>
      </c>
      <c r="W760" s="2" t="str">
        <f aca="false">IF(AND(V760&gt;=0,V760&lt;=0.25),"Valid","Invalid")</f>
        <v>Valid</v>
      </c>
      <c r="X760" s="2" t="n">
        <v>4166.91</v>
      </c>
      <c r="Y760" s="2" t="n">
        <f aca="false">R760*S760*(1-V760)</f>
        <v>4166.91</v>
      </c>
      <c r="Z760" s="2" t="str">
        <f aca="false">IF(ABS(X760-Y760)&gt;1,"Mismatch","OK")</f>
        <v>OK</v>
      </c>
      <c r="AA760" s="2" t="n">
        <v>3412.63</v>
      </c>
      <c r="AB760" s="2" t="n">
        <v>754.28</v>
      </c>
      <c r="AC760" s="2" t="n">
        <f aca="false">Y760-AA760</f>
        <v>754.28</v>
      </c>
      <c r="AD760" s="2" t="str">
        <f aca="false">IF(ABS(AB760-AC760)&gt;1,"Mismatch","OK")</f>
        <v>OK</v>
      </c>
      <c r="AE760" s="4" t="n">
        <f aca="false">IF(Y760=0,0,AC760/Y760)</f>
        <v>0.181016628628888</v>
      </c>
      <c r="AF760" s="2" t="s">
        <v>52</v>
      </c>
      <c r="AG760" s="2" t="s">
        <v>53</v>
      </c>
      <c r="AH760" s="2" t="str">
        <f aca="false">IF(AND(AG760="Completed",AF760&lt;&gt;"Paid"),"Inconsistent","OK")</f>
        <v>OK</v>
      </c>
      <c r="AI760" s="2" t="n">
        <f aca="false">IF(OR(ISBLANK(B760),ISBLANK(C760)),"",C760-B760)</f>
        <v>8</v>
      </c>
      <c r="AJ760" s="2" t="str">
        <f aca="false">IF(AI760="","Unknown",IF(AI760&lt;0,"Invalid","OK"))</f>
        <v>OK</v>
      </c>
      <c r="AK760" s="2" t="str">
        <f aca="false">IF(ISBLANK(B760),"",TEXT(B760,"mmm"))</f>
        <v>May</v>
      </c>
      <c r="AL760" s="2" t="n">
        <f aca="false">IF(ISBLANK(B760),"",YEAR(B760))</f>
        <v>2024</v>
      </c>
      <c r="AM760" s="2" t="s">
        <v>41</v>
      </c>
      <c r="AN760" s="2" t="str">
        <f aca="false">IF(OR(W760="Invalid",AJ760="Invalid",AH760="Inconsistent",Z760="Mismatch",AD760="Mismatch",AM760="Yes",D760="Yes",E760="Yes"),"Invalid",IF(OR(J760="Yes",Q760="Yes",U760="Yes"),"Warning","Clean"))</f>
        <v>Clean</v>
      </c>
    </row>
    <row r="761" customFormat="false" ht="15" hidden="false" customHeight="false" outlineLevel="0" collapsed="false">
      <c r="A761" s="2" t="s">
        <v>2379</v>
      </c>
      <c r="B761" s="3" t="n">
        <v>45492</v>
      </c>
      <c r="C761" s="3" t="n">
        <v>45499</v>
      </c>
      <c r="D761" s="2" t="s">
        <v>41</v>
      </c>
      <c r="E761" s="2" t="s">
        <v>41</v>
      </c>
      <c r="F761" s="2" t="s">
        <v>2380</v>
      </c>
      <c r="G761" s="2" t="s">
        <v>73</v>
      </c>
      <c r="H761" s="2" t="s">
        <v>115</v>
      </c>
      <c r="I761" s="2" t="s">
        <v>74</v>
      </c>
      <c r="J761" s="2" t="s">
        <v>41</v>
      </c>
      <c r="K761" s="2" t="s">
        <v>195</v>
      </c>
      <c r="L761" s="2" t="s">
        <v>196</v>
      </c>
      <c r="M761" s="2" t="s">
        <v>61</v>
      </c>
      <c r="N761" s="2" t="s">
        <v>62</v>
      </c>
      <c r="O761" s="2" t="s">
        <v>2381</v>
      </c>
      <c r="P761" s="2" t="s">
        <v>51</v>
      </c>
      <c r="Q761" s="2" t="s">
        <v>41</v>
      </c>
      <c r="R761" s="2" t="n">
        <v>5</v>
      </c>
      <c r="S761" s="2" t="n">
        <v>3986.01</v>
      </c>
      <c r="T761" s="2" t="n">
        <v>0.25</v>
      </c>
      <c r="U761" s="2" t="str">
        <f aca="false">IF(ISBLANK(T761),"Yes","No")</f>
        <v>No</v>
      </c>
      <c r="V761" s="2" t="n">
        <f aca="false">IF(ISBLANK(T761),0,IF(ISNUMBER(T761),T761,VALUE(LEFT(T761,LEN(T761)-1))/100))</f>
        <v>0.25</v>
      </c>
      <c r="W761" s="2" t="str">
        <f aca="false">IF(AND(V761&gt;=0,V761&lt;=0.25),"Valid","Invalid")</f>
        <v>Valid</v>
      </c>
      <c r="X761" s="2" t="n">
        <v>14947.54</v>
      </c>
      <c r="Y761" s="2" t="n">
        <f aca="false">R761*S761*(1-V761)</f>
        <v>14947.5375</v>
      </c>
      <c r="Z761" s="2" t="str">
        <f aca="false">IF(ABS(X761-Y761)&gt;1,"Mismatch","OK")</f>
        <v>OK</v>
      </c>
      <c r="AA761" s="2" t="n">
        <v>9438.46</v>
      </c>
      <c r="AB761" s="2" t="n">
        <v>5509.08</v>
      </c>
      <c r="AC761" s="2" t="n">
        <f aca="false">Y761-AA761</f>
        <v>5509.0775</v>
      </c>
      <c r="AD761" s="2" t="str">
        <f aca="false">IF(ABS(AB761-AC761)&gt;1,"Mismatch","OK")</f>
        <v>OK</v>
      </c>
      <c r="AE761" s="4" t="n">
        <f aca="false">IF(Y761=0,0,AC761/Y761)</f>
        <v>0.368560874993624</v>
      </c>
      <c r="AF761" s="2" t="s">
        <v>52</v>
      </c>
      <c r="AG761" s="2" t="s">
        <v>53</v>
      </c>
      <c r="AH761" s="2" t="str">
        <f aca="false">IF(AND(AG761="Completed",AF761&lt;&gt;"Paid"),"Inconsistent","OK")</f>
        <v>OK</v>
      </c>
      <c r="AI761" s="2" t="n">
        <f aca="false">IF(OR(ISBLANK(B761),ISBLANK(C761)),"",C761-B761)</f>
        <v>7</v>
      </c>
      <c r="AJ761" s="2" t="str">
        <f aca="false">IF(AI761="","Unknown",IF(AI761&lt;0,"Invalid","OK"))</f>
        <v>OK</v>
      </c>
      <c r="AK761" s="2" t="str">
        <f aca="false">IF(ISBLANK(B761),"",TEXT(B761,"mmm"))</f>
        <v>Jul</v>
      </c>
      <c r="AL761" s="2" t="n">
        <f aca="false">IF(ISBLANK(B761),"",YEAR(B761))</f>
        <v>2024</v>
      </c>
      <c r="AM761" s="2" t="s">
        <v>41</v>
      </c>
      <c r="AN761" s="2" t="str">
        <f aca="false">IF(OR(W761="Invalid",AJ761="Invalid",AH761="Inconsistent",Z761="Mismatch",AD761="Mismatch",AM761="Yes",D761="Yes",E761="Yes"),"Invalid",IF(OR(J761="Yes",Q761="Yes",U761="Yes"),"Warning","Clean"))</f>
        <v>Clean</v>
      </c>
    </row>
    <row r="762" customFormat="false" ht="15" hidden="false" customHeight="false" outlineLevel="0" collapsed="false">
      <c r="A762" s="2" t="s">
        <v>2382</v>
      </c>
      <c r="B762" s="3" t="n">
        <v>45532</v>
      </c>
      <c r="C762" s="3" t="n">
        <v>45537</v>
      </c>
      <c r="D762" s="2" t="s">
        <v>41</v>
      </c>
      <c r="E762" s="2" t="s">
        <v>41</v>
      </c>
      <c r="F762" s="2" t="s">
        <v>2383</v>
      </c>
      <c r="G762" s="2" t="s">
        <v>109</v>
      </c>
      <c r="H762" s="2" t="s">
        <v>115</v>
      </c>
      <c r="I762" s="2" t="s">
        <v>58</v>
      </c>
      <c r="J762" s="2" t="s">
        <v>41</v>
      </c>
      <c r="K762" s="2" t="s">
        <v>186</v>
      </c>
      <c r="L762" s="2" t="s">
        <v>187</v>
      </c>
      <c r="M762" s="2" t="s">
        <v>48</v>
      </c>
      <c r="N762" s="2" t="s">
        <v>68</v>
      </c>
      <c r="O762" s="2" t="s">
        <v>2384</v>
      </c>
      <c r="P762" s="2" t="s">
        <v>51</v>
      </c>
      <c r="Q762" s="2" t="s">
        <v>41</v>
      </c>
      <c r="R762" s="2" t="n">
        <v>4</v>
      </c>
      <c r="S762" s="2" t="n">
        <v>3365.53</v>
      </c>
      <c r="T762" s="2" t="n">
        <v>0</v>
      </c>
      <c r="U762" s="2" t="str">
        <f aca="false">IF(ISBLANK(T762),"Yes","No")</f>
        <v>No</v>
      </c>
      <c r="V762" s="2" t="n">
        <f aca="false">IF(ISBLANK(T762),0,IF(ISNUMBER(T762),T762,VALUE(LEFT(T762,LEN(T762)-1))/100))</f>
        <v>0</v>
      </c>
      <c r="W762" s="2" t="str">
        <f aca="false">IF(AND(V762&gt;=0,V762&lt;=0.25),"Valid","Invalid")</f>
        <v>Valid</v>
      </c>
      <c r="X762" s="2" t="n">
        <v>13462.12</v>
      </c>
      <c r="Y762" s="2" t="n">
        <f aca="false">R762*S762*(1-V762)</f>
        <v>13462.12</v>
      </c>
      <c r="Z762" s="2" t="str">
        <f aca="false">IF(ABS(X762-Y762)&gt;1,"Mismatch","OK")</f>
        <v>OK</v>
      </c>
      <c r="AA762" s="2" t="n">
        <v>7600.63</v>
      </c>
      <c r="AB762" s="2" t="n">
        <v>5861.49</v>
      </c>
      <c r="AC762" s="2" t="n">
        <f aca="false">Y762-AA762</f>
        <v>5861.49</v>
      </c>
      <c r="AD762" s="2" t="str">
        <f aca="false">IF(ABS(AB762-AC762)&gt;1,"Mismatch","OK")</f>
        <v>OK</v>
      </c>
      <c r="AE762" s="4" t="n">
        <f aca="false">IF(Y762=0,0,AC762/Y762)</f>
        <v>0.435406161882378</v>
      </c>
      <c r="AF762" s="2" t="s">
        <v>131</v>
      </c>
      <c r="AG762" s="2" t="s">
        <v>123</v>
      </c>
      <c r="AH762" s="2" t="str">
        <f aca="false">IF(AND(AG762="Completed",AF762&lt;&gt;"Paid"),"Inconsistent","OK")</f>
        <v>OK</v>
      </c>
      <c r="AI762" s="2" t="n">
        <f aca="false">IF(OR(ISBLANK(B762),ISBLANK(C762)),"",C762-B762)</f>
        <v>5</v>
      </c>
      <c r="AJ762" s="2" t="str">
        <f aca="false">IF(AI762="","Unknown",IF(AI762&lt;0,"Invalid","OK"))</f>
        <v>OK</v>
      </c>
      <c r="AK762" s="2" t="str">
        <f aca="false">IF(ISBLANK(B762),"",TEXT(B762,"mmm"))</f>
        <v>Aug</v>
      </c>
      <c r="AL762" s="2" t="n">
        <f aca="false">IF(ISBLANK(B762),"",YEAR(B762))</f>
        <v>2024</v>
      </c>
      <c r="AM762" s="2" t="s">
        <v>41</v>
      </c>
      <c r="AN762" s="2" t="str">
        <f aca="false">IF(OR(W762="Invalid",AJ762="Invalid",AH762="Inconsistent",Z762="Mismatch",AD762="Mismatch",AM762="Yes",D762="Yes",E762="Yes"),"Invalid",IF(OR(J762="Yes",Q762="Yes",U762="Yes"),"Warning","Clean"))</f>
        <v>Clean</v>
      </c>
    </row>
    <row r="763" customFormat="false" ht="15" hidden="false" customHeight="false" outlineLevel="0" collapsed="false">
      <c r="A763" s="2" t="s">
        <v>2385</v>
      </c>
      <c r="B763" s="3" t="n">
        <v>45896</v>
      </c>
      <c r="C763" s="3" t="n">
        <v>45900</v>
      </c>
      <c r="D763" s="2" t="s">
        <v>41</v>
      </c>
      <c r="E763" s="2" t="s">
        <v>41</v>
      </c>
      <c r="F763" s="2" t="s">
        <v>2386</v>
      </c>
      <c r="G763" s="2" t="s">
        <v>67</v>
      </c>
      <c r="H763" s="2" t="s">
        <v>44</v>
      </c>
      <c r="I763" s="2" t="s">
        <v>74</v>
      </c>
      <c r="J763" s="2" t="s">
        <v>41</v>
      </c>
      <c r="K763" s="2" t="s">
        <v>195</v>
      </c>
      <c r="L763" s="2" t="s">
        <v>196</v>
      </c>
      <c r="M763" s="2" t="s">
        <v>94</v>
      </c>
      <c r="N763" s="2" t="s">
        <v>296</v>
      </c>
      <c r="O763" s="2" t="s">
        <v>2387</v>
      </c>
      <c r="P763" s="2" t="s">
        <v>70</v>
      </c>
      <c r="Q763" s="2" t="s">
        <v>41</v>
      </c>
      <c r="R763" s="2" t="n">
        <v>3</v>
      </c>
      <c r="S763" s="2" t="n">
        <v>2489.12</v>
      </c>
      <c r="T763" s="2" t="n">
        <v>0</v>
      </c>
      <c r="U763" s="2" t="str">
        <f aca="false">IF(ISBLANK(T763),"Yes","No")</f>
        <v>No</v>
      </c>
      <c r="V763" s="2" t="n">
        <f aca="false">IF(ISBLANK(T763),0,IF(ISNUMBER(T763),T763,VALUE(LEFT(T763,LEN(T763)-1))/100))</f>
        <v>0</v>
      </c>
      <c r="W763" s="2" t="str">
        <f aca="false">IF(AND(V763&gt;=0,V763&lt;=0.25),"Valid","Invalid")</f>
        <v>Valid</v>
      </c>
      <c r="X763" s="2" t="n">
        <v>7467.36</v>
      </c>
      <c r="Y763" s="2" t="n">
        <f aca="false">R763*S763*(1-V763)</f>
        <v>7467.36</v>
      </c>
      <c r="Z763" s="2" t="str">
        <f aca="false">IF(ABS(X763-Y763)&gt;1,"Mismatch","OK")</f>
        <v>OK</v>
      </c>
      <c r="AA763" s="2" t="n">
        <v>5010.61</v>
      </c>
      <c r="AB763" s="2" t="n">
        <v>2456.75</v>
      </c>
      <c r="AC763" s="2" t="n">
        <f aca="false">Y763-AA763</f>
        <v>2456.75</v>
      </c>
      <c r="AD763" s="2" t="str">
        <f aca="false">IF(ABS(AB763-AC763)&gt;1,"Mismatch","OK")</f>
        <v>OK</v>
      </c>
      <c r="AE763" s="4" t="n">
        <f aca="false">IF(Y763=0,0,AC763/Y763)</f>
        <v>0.3289984679994</v>
      </c>
      <c r="AF763" s="2" t="s">
        <v>52</v>
      </c>
      <c r="AG763" s="2" t="s">
        <v>53</v>
      </c>
      <c r="AH763" s="2" t="str">
        <f aca="false">IF(AND(AG763="Completed",AF763&lt;&gt;"Paid"),"Inconsistent","OK")</f>
        <v>OK</v>
      </c>
      <c r="AI763" s="2" t="n">
        <f aca="false">IF(OR(ISBLANK(B763),ISBLANK(C763)),"",C763-B763)</f>
        <v>4</v>
      </c>
      <c r="AJ763" s="2" t="str">
        <f aca="false">IF(AI763="","Unknown",IF(AI763&lt;0,"Invalid","OK"))</f>
        <v>OK</v>
      </c>
      <c r="AK763" s="2" t="str">
        <f aca="false">IF(ISBLANK(B763),"",TEXT(B763,"mmm"))</f>
        <v>Aug</v>
      </c>
      <c r="AL763" s="2" t="n">
        <f aca="false">IF(ISBLANK(B763),"",YEAR(B763))</f>
        <v>2025</v>
      </c>
      <c r="AM763" s="2" t="s">
        <v>41</v>
      </c>
      <c r="AN763" s="2" t="str">
        <f aca="false">IF(OR(W763="Invalid",AJ763="Invalid",AH763="Inconsistent",Z763="Mismatch",AD763="Mismatch",AM763="Yes",D763="Yes",E763="Yes"),"Invalid",IF(OR(J763="Yes",Q763="Yes",U763="Yes"),"Warning","Clean"))</f>
        <v>Clean</v>
      </c>
    </row>
    <row r="764" customFormat="false" ht="15" hidden="false" customHeight="false" outlineLevel="0" collapsed="false">
      <c r="A764" s="2" t="s">
        <v>2388</v>
      </c>
      <c r="B764" s="3" t="n">
        <v>45292</v>
      </c>
      <c r="C764" s="3" t="n">
        <v>45296</v>
      </c>
      <c r="D764" s="2" t="s">
        <v>41</v>
      </c>
      <c r="E764" s="2" t="s">
        <v>41</v>
      </c>
      <c r="F764" s="2" t="s">
        <v>2389</v>
      </c>
      <c r="G764" s="2" t="s">
        <v>182</v>
      </c>
      <c r="H764" s="2" t="s">
        <v>110</v>
      </c>
      <c r="I764" s="2" t="s">
        <v>83</v>
      </c>
      <c r="J764" s="2" t="s">
        <v>41</v>
      </c>
      <c r="K764" s="2" t="s">
        <v>92</v>
      </c>
      <c r="L764" s="2" t="s">
        <v>93</v>
      </c>
      <c r="M764" s="2" t="s">
        <v>94</v>
      </c>
      <c r="N764" s="2" t="s">
        <v>296</v>
      </c>
      <c r="O764" s="2" t="s">
        <v>2390</v>
      </c>
      <c r="P764" s="2" t="s">
        <v>51</v>
      </c>
      <c r="Q764" s="2" t="s">
        <v>41</v>
      </c>
      <c r="R764" s="2" t="n">
        <v>2</v>
      </c>
      <c r="S764" s="2" t="n">
        <v>3694.12</v>
      </c>
      <c r="T764" s="2" t="n">
        <v>0.2</v>
      </c>
      <c r="U764" s="2" t="str">
        <f aca="false">IF(ISBLANK(T764),"Yes","No")</f>
        <v>No</v>
      </c>
      <c r="V764" s="2" t="n">
        <f aca="false">IF(ISBLANK(T764),0,IF(ISNUMBER(T764),T764,VALUE(LEFT(T764,LEN(T764)-1))/100))</f>
        <v>0.2</v>
      </c>
      <c r="W764" s="2" t="str">
        <f aca="false">IF(AND(V764&gt;=0,V764&lt;=0.25),"Valid","Invalid")</f>
        <v>Valid</v>
      </c>
      <c r="X764" s="2" t="n">
        <v>5910.59</v>
      </c>
      <c r="Y764" s="2" t="n">
        <f aca="false">R764*S764*(1-V764)</f>
        <v>5910.592</v>
      </c>
      <c r="Z764" s="2" t="str">
        <f aca="false">IF(ABS(X764-Y764)&gt;1,"Mismatch","OK")</f>
        <v>OK</v>
      </c>
      <c r="AA764" s="2" t="n">
        <v>4775.44</v>
      </c>
      <c r="AB764" s="2" t="n">
        <v>1135.15</v>
      </c>
      <c r="AC764" s="2" t="n">
        <f aca="false">Y764-AA764</f>
        <v>1135.152</v>
      </c>
      <c r="AD764" s="2" t="str">
        <f aca="false">IF(ABS(AB764-AC764)&gt;1,"Mismatch","OK")</f>
        <v>OK</v>
      </c>
      <c r="AE764" s="4" t="n">
        <f aca="false">IF(Y764=0,0,AC764/Y764)</f>
        <v>0.192053858564421</v>
      </c>
      <c r="AF764" s="2" t="s">
        <v>122</v>
      </c>
      <c r="AG764" s="2" t="s">
        <v>123</v>
      </c>
      <c r="AH764" s="2" t="str">
        <f aca="false">IF(AND(AG764="Completed",AF764&lt;&gt;"Paid"),"Inconsistent","OK")</f>
        <v>OK</v>
      </c>
      <c r="AI764" s="2" t="n">
        <f aca="false">IF(OR(ISBLANK(B764),ISBLANK(C764)),"",C764-B764)</f>
        <v>4</v>
      </c>
      <c r="AJ764" s="2" t="str">
        <f aca="false">IF(AI764="","Unknown",IF(AI764&lt;0,"Invalid","OK"))</f>
        <v>OK</v>
      </c>
      <c r="AK764" s="2" t="str">
        <f aca="false">IF(ISBLANK(B764),"",TEXT(B764,"mmm"))</f>
        <v>Jan</v>
      </c>
      <c r="AL764" s="2" t="n">
        <f aca="false">IF(ISBLANK(B764),"",YEAR(B764))</f>
        <v>2024</v>
      </c>
      <c r="AM764" s="2" t="s">
        <v>41</v>
      </c>
      <c r="AN764" s="2" t="str">
        <f aca="false">IF(OR(W764="Invalid",AJ764="Invalid",AH764="Inconsistent",Z764="Mismatch",AD764="Mismatch",AM764="Yes",D764="Yes",E764="Yes"),"Invalid",IF(OR(J764="Yes",Q764="Yes",U764="Yes"),"Warning","Clean"))</f>
        <v>Clean</v>
      </c>
    </row>
    <row r="765" customFormat="false" ht="15" hidden="false" customHeight="false" outlineLevel="0" collapsed="false">
      <c r="A765" s="2" t="s">
        <v>2391</v>
      </c>
      <c r="B765" s="3" t="n">
        <v>45892</v>
      </c>
      <c r="C765" s="3" t="n">
        <v>45894</v>
      </c>
      <c r="D765" s="2" t="s">
        <v>41</v>
      </c>
      <c r="E765" s="2" t="s">
        <v>41</v>
      </c>
      <c r="F765" s="2" t="s">
        <v>2392</v>
      </c>
      <c r="G765" s="2" t="s">
        <v>182</v>
      </c>
      <c r="H765" s="2" t="s">
        <v>44</v>
      </c>
      <c r="I765" s="2" t="s">
        <v>45</v>
      </c>
      <c r="J765" s="2" t="s">
        <v>41</v>
      </c>
      <c r="K765" s="2" t="s">
        <v>46</v>
      </c>
      <c r="L765" s="2" t="s">
        <v>47</v>
      </c>
      <c r="M765" s="2" t="s">
        <v>61</v>
      </c>
      <c r="N765" s="2" t="s">
        <v>77</v>
      </c>
      <c r="O765" s="2" t="s">
        <v>2393</v>
      </c>
      <c r="P765" s="2" t="s">
        <v>64</v>
      </c>
      <c r="Q765" s="2" t="s">
        <v>41</v>
      </c>
      <c r="R765" s="2" t="n">
        <v>6</v>
      </c>
      <c r="S765" s="2" t="n">
        <v>2742.48</v>
      </c>
      <c r="T765" s="2" t="n">
        <v>0</v>
      </c>
      <c r="U765" s="2" t="str">
        <f aca="false">IF(ISBLANK(T765),"Yes","No")</f>
        <v>No</v>
      </c>
      <c r="V765" s="2" t="n">
        <f aca="false">IF(ISBLANK(T765),0,IF(ISNUMBER(T765),T765,VALUE(LEFT(T765,LEN(T765)-1))/100))</f>
        <v>0</v>
      </c>
      <c r="W765" s="2" t="str">
        <f aca="false">IF(AND(V765&gt;=0,V765&lt;=0.25),"Valid","Invalid")</f>
        <v>Valid</v>
      </c>
      <c r="X765" s="2" t="n">
        <v>16454.88</v>
      </c>
      <c r="Y765" s="2" t="n">
        <f aca="false">R765*S765*(1-V765)</f>
        <v>16454.88</v>
      </c>
      <c r="Z765" s="2" t="str">
        <f aca="false">IF(ABS(X765-Y765)&gt;1,"Mismatch","OK")</f>
        <v>OK</v>
      </c>
      <c r="AA765" s="2" t="n">
        <v>12081.54</v>
      </c>
      <c r="AB765" s="2" t="n">
        <v>4373.34</v>
      </c>
      <c r="AC765" s="2" t="n">
        <f aca="false">Y765-AA765</f>
        <v>4373.34</v>
      </c>
      <c r="AD765" s="2" t="str">
        <f aca="false">IF(ABS(AB765-AC765)&gt;1,"Mismatch","OK")</f>
        <v>OK</v>
      </c>
      <c r="AE765" s="4" t="n">
        <f aca="false">IF(Y765=0,0,AC765/Y765)</f>
        <v>0.265777690265745</v>
      </c>
      <c r="AF765" s="2" t="s">
        <v>52</v>
      </c>
      <c r="AG765" s="2" t="s">
        <v>53</v>
      </c>
      <c r="AH765" s="2" t="str">
        <f aca="false">IF(AND(AG765="Completed",AF765&lt;&gt;"Paid"),"Inconsistent","OK")</f>
        <v>OK</v>
      </c>
      <c r="AI765" s="2" t="n">
        <f aca="false">IF(OR(ISBLANK(B765),ISBLANK(C765)),"",C765-B765)</f>
        <v>2</v>
      </c>
      <c r="AJ765" s="2" t="str">
        <f aca="false">IF(AI765="","Unknown",IF(AI765&lt;0,"Invalid","OK"))</f>
        <v>OK</v>
      </c>
      <c r="AK765" s="2" t="str">
        <f aca="false">IF(ISBLANK(B765),"",TEXT(B765,"mmm"))</f>
        <v>Aug</v>
      </c>
      <c r="AL765" s="2" t="n">
        <f aca="false">IF(ISBLANK(B765),"",YEAR(B765))</f>
        <v>2025</v>
      </c>
      <c r="AM765" s="2" t="s">
        <v>41</v>
      </c>
      <c r="AN765" s="2" t="str">
        <f aca="false">IF(OR(W765="Invalid",AJ765="Invalid",AH765="Inconsistent",Z765="Mismatch",AD765="Mismatch",AM765="Yes",D765="Yes",E765="Yes"),"Invalid",IF(OR(J765="Yes",Q765="Yes",U765="Yes"),"Warning","Clean"))</f>
        <v>Clean</v>
      </c>
    </row>
    <row r="766" customFormat="false" ht="15" hidden="false" customHeight="false" outlineLevel="0" collapsed="false">
      <c r="A766" s="2" t="s">
        <v>2394</v>
      </c>
      <c r="B766" s="3" t="n">
        <v>45760</v>
      </c>
      <c r="C766" s="3" t="n">
        <v>45760</v>
      </c>
      <c r="D766" s="2" t="s">
        <v>41</v>
      </c>
      <c r="E766" s="2" t="s">
        <v>41</v>
      </c>
      <c r="F766" s="2" t="s">
        <v>909</v>
      </c>
      <c r="G766" s="2" t="s">
        <v>134</v>
      </c>
      <c r="H766" s="2" t="s">
        <v>110</v>
      </c>
      <c r="I766" s="2" t="s">
        <v>74</v>
      </c>
      <c r="J766" s="2" t="s">
        <v>41</v>
      </c>
      <c r="K766" s="2" t="s">
        <v>205</v>
      </c>
      <c r="L766" s="2" t="s">
        <v>206</v>
      </c>
      <c r="M766" s="2" t="s">
        <v>61</v>
      </c>
      <c r="N766" s="2" t="s">
        <v>178</v>
      </c>
      <c r="O766" s="2" t="s">
        <v>2395</v>
      </c>
      <c r="P766" s="2" t="s">
        <v>70</v>
      </c>
      <c r="Q766" s="2" t="s">
        <v>41</v>
      </c>
      <c r="R766" s="2" t="n">
        <v>6</v>
      </c>
      <c r="S766" s="2" t="n">
        <v>4414</v>
      </c>
      <c r="T766" s="2" t="n">
        <v>0.05</v>
      </c>
      <c r="U766" s="2" t="str">
        <f aca="false">IF(ISBLANK(T766),"Yes","No")</f>
        <v>No</v>
      </c>
      <c r="V766" s="2" t="n">
        <f aca="false">IF(ISBLANK(T766),0,IF(ISNUMBER(T766),T766,VALUE(LEFT(T766,LEN(T766)-1))/100))</f>
        <v>0.05</v>
      </c>
      <c r="W766" s="2" t="str">
        <f aca="false">IF(AND(V766&gt;=0,V766&lt;=0.25),"Valid","Invalid")</f>
        <v>Valid</v>
      </c>
      <c r="X766" s="2" t="n">
        <v>25159.8</v>
      </c>
      <c r="Y766" s="2" t="n">
        <f aca="false">R766*S766*(1-V766)</f>
        <v>25159.8</v>
      </c>
      <c r="Z766" s="2" t="str">
        <f aca="false">IF(ABS(X766-Y766)&gt;1,"Mismatch","OK")</f>
        <v>OK</v>
      </c>
      <c r="AA766" s="2" t="n">
        <v>21606.83</v>
      </c>
      <c r="AB766" s="2" t="n">
        <v>3552.97</v>
      </c>
      <c r="AC766" s="2" t="n">
        <f aca="false">Y766-AA766</f>
        <v>3552.97</v>
      </c>
      <c r="AD766" s="2" t="str">
        <f aca="false">IF(ABS(AB766-AC766)&gt;1,"Mismatch","OK")</f>
        <v>OK</v>
      </c>
      <c r="AE766" s="4" t="n">
        <f aca="false">IF(Y766=0,0,AC766/Y766)</f>
        <v>0.141216146392261</v>
      </c>
      <c r="AF766" s="2" t="s">
        <v>52</v>
      </c>
      <c r="AG766" s="2" t="s">
        <v>53</v>
      </c>
      <c r="AH766" s="2" t="str">
        <f aca="false">IF(AND(AG766="Completed",AF766&lt;&gt;"Paid"),"Inconsistent","OK")</f>
        <v>OK</v>
      </c>
      <c r="AI766" s="2" t="n">
        <f aca="false">IF(OR(ISBLANK(B766),ISBLANK(C766)),"",C766-B766)</f>
        <v>0</v>
      </c>
      <c r="AJ766" s="2" t="str">
        <f aca="false">IF(AI766="","Unknown",IF(AI766&lt;0,"Invalid","OK"))</f>
        <v>OK</v>
      </c>
      <c r="AK766" s="2" t="str">
        <f aca="false">IF(ISBLANK(B766),"",TEXT(B766,"mmm"))</f>
        <v>Apr</v>
      </c>
      <c r="AL766" s="2" t="n">
        <f aca="false">IF(ISBLANK(B766),"",YEAR(B766))</f>
        <v>2025</v>
      </c>
      <c r="AM766" s="2" t="s">
        <v>41</v>
      </c>
      <c r="AN766" s="2" t="str">
        <f aca="false">IF(OR(W766="Invalid",AJ766="Invalid",AH766="Inconsistent",Z766="Mismatch",AD766="Mismatch",AM766="Yes",D766="Yes",E766="Yes"),"Invalid",IF(OR(J766="Yes",Q766="Yes",U766="Yes"),"Warning","Clean"))</f>
        <v>Clean</v>
      </c>
    </row>
    <row r="767" customFormat="false" ht="15" hidden="false" customHeight="false" outlineLevel="0" collapsed="false">
      <c r="A767" s="2" t="s">
        <v>2396</v>
      </c>
      <c r="B767" s="3" t="n">
        <v>45837</v>
      </c>
      <c r="C767" s="3" t="n">
        <v>45841</v>
      </c>
      <c r="D767" s="2" t="s">
        <v>41</v>
      </c>
      <c r="E767" s="2" t="s">
        <v>41</v>
      </c>
      <c r="F767" s="2" t="s">
        <v>2397</v>
      </c>
      <c r="G767" s="2" t="s">
        <v>91</v>
      </c>
      <c r="H767" s="2" t="s">
        <v>110</v>
      </c>
      <c r="I767" s="2" t="s">
        <v>58</v>
      </c>
      <c r="J767" s="2" t="s">
        <v>41</v>
      </c>
      <c r="K767" s="2" t="s">
        <v>250</v>
      </c>
      <c r="L767" s="2" t="s">
        <v>251</v>
      </c>
      <c r="M767" s="2" t="s">
        <v>48</v>
      </c>
      <c r="N767" s="2" t="s">
        <v>111</v>
      </c>
      <c r="O767" s="2" t="s">
        <v>2398</v>
      </c>
      <c r="P767" s="2" t="s">
        <v>70</v>
      </c>
      <c r="Q767" s="2" t="s">
        <v>41</v>
      </c>
      <c r="R767" s="2" t="n">
        <v>3</v>
      </c>
      <c r="S767" s="2" t="n">
        <v>608.14</v>
      </c>
      <c r="T767" s="2" t="n">
        <v>0</v>
      </c>
      <c r="U767" s="2" t="str">
        <f aca="false">IF(ISBLANK(T767),"Yes","No")</f>
        <v>No</v>
      </c>
      <c r="V767" s="2" t="n">
        <f aca="false">IF(ISBLANK(T767),0,IF(ISNUMBER(T767),T767,VALUE(LEFT(T767,LEN(T767)-1))/100))</f>
        <v>0</v>
      </c>
      <c r="W767" s="2" t="str">
        <f aca="false">IF(AND(V767&gt;=0,V767&lt;=0.25),"Valid","Invalid")</f>
        <v>Valid</v>
      </c>
      <c r="X767" s="2" t="n">
        <v>1824.42</v>
      </c>
      <c r="Y767" s="2" t="n">
        <f aca="false">R767*S767*(1-V767)</f>
        <v>1824.42</v>
      </c>
      <c r="Z767" s="2" t="str">
        <f aca="false">IF(ABS(X767-Y767)&gt;1,"Mismatch","OK")</f>
        <v>OK</v>
      </c>
      <c r="AA767" s="2" t="n">
        <v>1214.87</v>
      </c>
      <c r="AB767" s="2" t="n">
        <v>609.55</v>
      </c>
      <c r="AC767" s="2" t="n">
        <f aca="false">Y767-AA767</f>
        <v>609.55</v>
      </c>
      <c r="AD767" s="2" t="str">
        <f aca="false">IF(ABS(AB767-AC767)&gt;1,"Mismatch","OK")</f>
        <v>OK</v>
      </c>
      <c r="AE767" s="4" t="n">
        <f aca="false">IF(Y767=0,0,AC767/Y767)</f>
        <v>0.33410618169062</v>
      </c>
      <c r="AF767" s="2" t="s">
        <v>52</v>
      </c>
      <c r="AG767" s="2" t="s">
        <v>53</v>
      </c>
      <c r="AH767" s="2" t="str">
        <f aca="false">IF(AND(AG767="Completed",AF767&lt;&gt;"Paid"),"Inconsistent","OK")</f>
        <v>OK</v>
      </c>
      <c r="AI767" s="2" t="n">
        <f aca="false">IF(OR(ISBLANK(B767),ISBLANK(C767)),"",C767-B767)</f>
        <v>4</v>
      </c>
      <c r="AJ767" s="2" t="str">
        <f aca="false">IF(AI767="","Unknown",IF(AI767&lt;0,"Invalid","OK"))</f>
        <v>OK</v>
      </c>
      <c r="AK767" s="2" t="str">
        <f aca="false">IF(ISBLANK(B767),"",TEXT(B767,"mmm"))</f>
        <v>Jun</v>
      </c>
      <c r="AL767" s="2" t="n">
        <f aca="false">IF(ISBLANK(B767),"",YEAR(B767))</f>
        <v>2025</v>
      </c>
      <c r="AM767" s="2" t="s">
        <v>41</v>
      </c>
      <c r="AN767" s="2" t="str">
        <f aca="false">IF(OR(W767="Invalid",AJ767="Invalid",AH767="Inconsistent",Z767="Mismatch",AD767="Mismatch",AM767="Yes",D767="Yes",E767="Yes"),"Invalid",IF(OR(J767="Yes",Q767="Yes",U767="Yes"),"Warning","Clean"))</f>
        <v>Clean</v>
      </c>
    </row>
    <row r="768" customFormat="false" ht="15" hidden="false" customHeight="false" outlineLevel="0" collapsed="false">
      <c r="A768" s="2" t="s">
        <v>2399</v>
      </c>
      <c r="B768" s="3" t="n">
        <v>45552</v>
      </c>
      <c r="C768" s="3" t="n">
        <v>45559</v>
      </c>
      <c r="D768" s="2" t="s">
        <v>41</v>
      </c>
      <c r="E768" s="2" t="s">
        <v>41</v>
      </c>
      <c r="F768" s="2" t="s">
        <v>2400</v>
      </c>
      <c r="G768" s="2" t="s">
        <v>56</v>
      </c>
      <c r="H768" s="2" t="s">
        <v>110</v>
      </c>
      <c r="I768" s="2" t="s">
        <v>83</v>
      </c>
      <c r="J768" s="2" t="s">
        <v>41</v>
      </c>
      <c r="K768" s="2" t="s">
        <v>200</v>
      </c>
      <c r="L768" s="2" t="s">
        <v>201</v>
      </c>
      <c r="M768" s="2" t="s">
        <v>48</v>
      </c>
      <c r="N768" s="2" t="s">
        <v>68</v>
      </c>
      <c r="O768" s="2" t="s">
        <v>2401</v>
      </c>
      <c r="P768" s="2" t="s">
        <v>51</v>
      </c>
      <c r="Q768" s="2" t="s">
        <v>41</v>
      </c>
      <c r="R768" s="2" t="n">
        <v>9</v>
      </c>
      <c r="S768" s="2" t="n">
        <v>2307.96</v>
      </c>
      <c r="T768" s="2" t="n">
        <v>0.2</v>
      </c>
      <c r="U768" s="2" t="str">
        <f aca="false">IF(ISBLANK(T768),"Yes","No")</f>
        <v>No</v>
      </c>
      <c r="V768" s="2" t="n">
        <f aca="false">IF(ISBLANK(T768),0,IF(ISNUMBER(T768),T768,VALUE(LEFT(T768,LEN(T768)-1))/100))</f>
        <v>0.2</v>
      </c>
      <c r="W768" s="2" t="str">
        <f aca="false">IF(AND(V768&gt;=0,V768&lt;=0.25),"Valid","Invalid")</f>
        <v>Valid</v>
      </c>
      <c r="X768" s="2" t="n">
        <v>16617.31</v>
      </c>
      <c r="Y768" s="2" t="n">
        <f aca="false">R768*S768*(1-V768)</f>
        <v>16617.312</v>
      </c>
      <c r="Z768" s="2" t="str">
        <f aca="false">IF(ABS(X768-Y768)&gt;1,"Mismatch","OK")</f>
        <v>OK</v>
      </c>
      <c r="AA768" s="2" t="n">
        <v>9195.73</v>
      </c>
      <c r="AB768" s="2" t="n">
        <v>7421.58</v>
      </c>
      <c r="AC768" s="2" t="n">
        <f aca="false">Y768-AA768</f>
        <v>7421.582</v>
      </c>
      <c r="AD768" s="2" t="str">
        <f aca="false">IF(ABS(AB768-AC768)&gt;1,"Mismatch","OK")</f>
        <v>OK</v>
      </c>
      <c r="AE768" s="4" t="n">
        <f aca="false">IF(Y768=0,0,AC768/Y768)</f>
        <v>0.446617479409426</v>
      </c>
      <c r="AF768" s="2" t="s">
        <v>52</v>
      </c>
      <c r="AG768" s="2" t="s">
        <v>88</v>
      </c>
      <c r="AH768" s="2" t="str">
        <f aca="false">IF(AND(AG768="Completed",AF768&lt;&gt;"Paid"),"Inconsistent","OK")</f>
        <v>OK</v>
      </c>
      <c r="AI768" s="2" t="n">
        <f aca="false">IF(OR(ISBLANK(B768),ISBLANK(C768)),"",C768-B768)</f>
        <v>7</v>
      </c>
      <c r="AJ768" s="2" t="str">
        <f aca="false">IF(AI768="","Unknown",IF(AI768&lt;0,"Invalid","OK"))</f>
        <v>OK</v>
      </c>
      <c r="AK768" s="2" t="str">
        <f aca="false">IF(ISBLANK(B768),"",TEXT(B768,"mmm"))</f>
        <v>Sep</v>
      </c>
      <c r="AL768" s="2" t="n">
        <f aca="false">IF(ISBLANK(B768),"",YEAR(B768))</f>
        <v>2024</v>
      </c>
      <c r="AM768" s="2" t="s">
        <v>41</v>
      </c>
      <c r="AN768" s="2" t="str">
        <f aca="false">IF(OR(W768="Invalid",AJ768="Invalid",AH768="Inconsistent",Z768="Mismatch",AD768="Mismatch",AM768="Yes",D768="Yes",E768="Yes"),"Invalid",IF(OR(J768="Yes",Q768="Yes",U768="Yes"),"Warning","Clean"))</f>
        <v>Clean</v>
      </c>
    </row>
    <row r="769" customFormat="false" ht="15" hidden="false" customHeight="false" outlineLevel="0" collapsed="false">
      <c r="A769" s="2" t="s">
        <v>2402</v>
      </c>
      <c r="B769" s="3" t="n">
        <v>45415</v>
      </c>
      <c r="C769" s="3" t="n">
        <v>45418</v>
      </c>
      <c r="D769" s="2" t="s">
        <v>41</v>
      </c>
      <c r="E769" s="2" t="s">
        <v>41</v>
      </c>
      <c r="F769" s="2" t="s">
        <v>2403</v>
      </c>
      <c r="G769" s="2" t="s">
        <v>82</v>
      </c>
      <c r="H769" s="2" t="s">
        <v>115</v>
      </c>
      <c r="I769" s="2" t="s">
        <v>45</v>
      </c>
      <c r="J769" s="2" t="s">
        <v>41</v>
      </c>
      <c r="K769" s="2" t="s">
        <v>156</v>
      </c>
      <c r="L769" s="2" t="s">
        <v>157</v>
      </c>
      <c r="M769" s="2" t="s">
        <v>48</v>
      </c>
      <c r="N769" s="2" t="s">
        <v>173</v>
      </c>
      <c r="O769" s="2" t="s">
        <v>2404</v>
      </c>
      <c r="P769" s="2" t="s">
        <v>79</v>
      </c>
      <c r="Q769" s="2" t="s">
        <v>41</v>
      </c>
      <c r="R769" s="2" t="n">
        <v>1</v>
      </c>
      <c r="S769" s="2" t="n">
        <v>1244.58</v>
      </c>
      <c r="T769" s="2" t="n">
        <v>0.25</v>
      </c>
      <c r="U769" s="2" t="str">
        <f aca="false">IF(ISBLANK(T769),"Yes","No")</f>
        <v>No</v>
      </c>
      <c r="V769" s="2" t="n">
        <f aca="false">IF(ISBLANK(T769),0,IF(ISNUMBER(T769),T769,VALUE(LEFT(T769,LEN(T769)-1))/100))</f>
        <v>0.25</v>
      </c>
      <c r="W769" s="2" t="str">
        <f aca="false">IF(AND(V769&gt;=0,V769&lt;=0.25),"Valid","Invalid")</f>
        <v>Valid</v>
      </c>
      <c r="X769" s="2" t="n">
        <v>933.43</v>
      </c>
      <c r="Y769" s="2" t="n">
        <f aca="false">R769*S769*(1-V769)</f>
        <v>933.435</v>
      </c>
      <c r="Z769" s="2" t="str">
        <f aca="false">IF(ABS(X769-Y769)&gt;1,"Mismatch","OK")</f>
        <v>OK</v>
      </c>
      <c r="AA769" s="2" t="n">
        <v>583.09</v>
      </c>
      <c r="AB769" s="2" t="n">
        <v>350.34</v>
      </c>
      <c r="AC769" s="2" t="n">
        <f aca="false">Y769-AA769</f>
        <v>350.345</v>
      </c>
      <c r="AD769" s="2" t="str">
        <f aca="false">IF(ABS(AB769-AC769)&gt;1,"Mismatch","OK")</f>
        <v>OK</v>
      </c>
      <c r="AE769" s="4" t="n">
        <f aca="false">IF(Y769=0,0,AC769/Y769)</f>
        <v>0.375328758831627</v>
      </c>
      <c r="AF769" s="2" t="s">
        <v>52</v>
      </c>
      <c r="AG769" s="2" t="s">
        <v>53</v>
      </c>
      <c r="AH769" s="2" t="str">
        <f aca="false">IF(AND(AG769="Completed",AF769&lt;&gt;"Paid"),"Inconsistent","OK")</f>
        <v>OK</v>
      </c>
      <c r="AI769" s="2" t="n">
        <f aca="false">IF(OR(ISBLANK(B769),ISBLANK(C769)),"",C769-B769)</f>
        <v>3</v>
      </c>
      <c r="AJ769" s="2" t="str">
        <f aca="false">IF(AI769="","Unknown",IF(AI769&lt;0,"Invalid","OK"))</f>
        <v>OK</v>
      </c>
      <c r="AK769" s="2" t="str">
        <f aca="false">IF(ISBLANK(B769),"",TEXT(B769,"mmm"))</f>
        <v>May</v>
      </c>
      <c r="AL769" s="2" t="n">
        <f aca="false">IF(ISBLANK(B769),"",YEAR(B769))</f>
        <v>2024</v>
      </c>
      <c r="AM769" s="2" t="s">
        <v>41</v>
      </c>
      <c r="AN769" s="2" t="str">
        <f aca="false">IF(OR(W769="Invalid",AJ769="Invalid",AH769="Inconsistent",Z769="Mismatch",AD769="Mismatch",AM769="Yes",D769="Yes",E769="Yes"),"Invalid",IF(OR(J769="Yes",Q769="Yes",U769="Yes"),"Warning","Clean"))</f>
        <v>Clean</v>
      </c>
    </row>
    <row r="770" customFormat="false" ht="15" hidden="false" customHeight="false" outlineLevel="0" collapsed="false">
      <c r="A770" s="2" t="s">
        <v>2405</v>
      </c>
      <c r="B770" s="3" t="n">
        <v>45749</v>
      </c>
      <c r="C770" s="3" t="n">
        <v>45751</v>
      </c>
      <c r="D770" s="2" t="s">
        <v>41</v>
      </c>
      <c r="E770" s="2" t="s">
        <v>41</v>
      </c>
      <c r="F770" s="2" t="s">
        <v>2406</v>
      </c>
      <c r="G770" s="2" t="s">
        <v>152</v>
      </c>
      <c r="H770" s="2" t="s">
        <v>115</v>
      </c>
      <c r="I770" s="2" t="s">
        <v>58</v>
      </c>
      <c r="J770" s="2" t="s">
        <v>41</v>
      </c>
      <c r="K770" s="2" t="s">
        <v>250</v>
      </c>
      <c r="L770" s="2" t="s">
        <v>251</v>
      </c>
      <c r="M770" s="2" t="s">
        <v>48</v>
      </c>
      <c r="N770" s="2" t="s">
        <v>49</v>
      </c>
      <c r="O770" s="2" t="s">
        <v>2407</v>
      </c>
      <c r="P770" s="2" t="s">
        <v>64</v>
      </c>
      <c r="Q770" s="2" t="s">
        <v>41</v>
      </c>
      <c r="R770" s="2" t="n">
        <v>5</v>
      </c>
      <c r="S770" s="2" t="n">
        <v>3234.24</v>
      </c>
      <c r="T770" s="2" t="n">
        <v>0.1</v>
      </c>
      <c r="U770" s="2" t="str">
        <f aca="false">IF(ISBLANK(T770),"Yes","No")</f>
        <v>No</v>
      </c>
      <c r="V770" s="2" t="n">
        <f aca="false">IF(ISBLANK(T770),0,IF(ISNUMBER(T770),T770,VALUE(LEFT(T770,LEN(T770)-1))/100))</f>
        <v>0.1</v>
      </c>
      <c r="W770" s="2" t="str">
        <f aca="false">IF(AND(V770&gt;=0,V770&lt;=0.25),"Valid","Invalid")</f>
        <v>Valid</v>
      </c>
      <c r="X770" s="2" t="n">
        <v>14554.08</v>
      </c>
      <c r="Y770" s="2" t="n">
        <f aca="false">R770*S770*(1-V770)</f>
        <v>14554.08</v>
      </c>
      <c r="Z770" s="2" t="str">
        <f aca="false">IF(ABS(X770-Y770)&gt;1,"Mismatch","OK")</f>
        <v>OK</v>
      </c>
      <c r="AA770" s="2" t="n">
        <v>11166.84</v>
      </c>
      <c r="AB770" s="2" t="n">
        <v>3387.24</v>
      </c>
      <c r="AC770" s="2" t="n">
        <f aca="false">Y770-AA770</f>
        <v>3387.24</v>
      </c>
      <c r="AD770" s="2" t="str">
        <f aca="false">IF(ABS(AB770-AC770)&gt;1,"Mismatch","OK")</f>
        <v>OK</v>
      </c>
      <c r="AE770" s="4" t="n">
        <f aca="false">IF(Y770=0,0,AC770/Y770)</f>
        <v>0.232734738300188</v>
      </c>
      <c r="AF770" s="2" t="s">
        <v>52</v>
      </c>
      <c r="AG770" s="2" t="s">
        <v>53</v>
      </c>
      <c r="AH770" s="2" t="str">
        <f aca="false">IF(AND(AG770="Completed",AF770&lt;&gt;"Paid"),"Inconsistent","OK")</f>
        <v>OK</v>
      </c>
      <c r="AI770" s="2" t="n">
        <f aca="false">IF(OR(ISBLANK(B770),ISBLANK(C770)),"",C770-B770)</f>
        <v>2</v>
      </c>
      <c r="AJ770" s="2" t="str">
        <f aca="false">IF(AI770="","Unknown",IF(AI770&lt;0,"Invalid","OK"))</f>
        <v>OK</v>
      </c>
      <c r="AK770" s="2" t="str">
        <f aca="false">IF(ISBLANK(B770),"",TEXT(B770,"mmm"))</f>
        <v>Apr</v>
      </c>
      <c r="AL770" s="2" t="n">
        <f aca="false">IF(ISBLANK(B770),"",YEAR(B770))</f>
        <v>2025</v>
      </c>
      <c r="AM770" s="2" t="s">
        <v>41</v>
      </c>
      <c r="AN770" s="2" t="str">
        <f aca="false">IF(OR(W770="Invalid",AJ770="Invalid",AH770="Inconsistent",Z770="Mismatch",AD770="Mismatch",AM770="Yes",D770="Yes",E770="Yes"),"Invalid",IF(OR(J770="Yes",Q770="Yes",U770="Yes"),"Warning","Clean"))</f>
        <v>Clean</v>
      </c>
    </row>
    <row r="771" customFormat="false" ht="15" hidden="false" customHeight="false" outlineLevel="0" collapsed="false">
      <c r="A771" s="2" t="s">
        <v>2408</v>
      </c>
      <c r="B771" s="3" t="n">
        <v>45423</v>
      </c>
      <c r="C771" s="3" t="n">
        <v>45425</v>
      </c>
      <c r="D771" s="2" t="s">
        <v>41</v>
      </c>
      <c r="E771" s="2" t="s">
        <v>41</v>
      </c>
      <c r="F771" s="2" t="s">
        <v>2409</v>
      </c>
      <c r="G771" s="2" t="s">
        <v>134</v>
      </c>
      <c r="H771" s="2" t="s">
        <v>115</v>
      </c>
      <c r="I771" s="2" t="s">
        <v>83</v>
      </c>
      <c r="J771" s="2" t="s">
        <v>41</v>
      </c>
      <c r="K771" s="2" t="s">
        <v>210</v>
      </c>
      <c r="L771" s="2" t="s">
        <v>211</v>
      </c>
      <c r="M771" s="2" t="s">
        <v>61</v>
      </c>
      <c r="N771" s="2" t="s">
        <v>178</v>
      </c>
      <c r="O771" s="2" t="s">
        <v>2410</v>
      </c>
      <c r="P771" s="2" t="s">
        <v>64</v>
      </c>
      <c r="Q771" s="2" t="s">
        <v>41</v>
      </c>
      <c r="R771" s="2" t="n">
        <v>3</v>
      </c>
      <c r="S771" s="2" t="n">
        <v>3612.75</v>
      </c>
      <c r="T771" s="2" t="n">
        <v>0.25</v>
      </c>
      <c r="U771" s="2" t="str">
        <f aca="false">IF(ISBLANK(T771),"Yes","No")</f>
        <v>No</v>
      </c>
      <c r="V771" s="2" t="n">
        <f aca="false">IF(ISBLANK(T771),0,IF(ISNUMBER(T771),T771,VALUE(LEFT(T771,LEN(T771)-1))/100))</f>
        <v>0.25</v>
      </c>
      <c r="W771" s="2" t="str">
        <f aca="false">IF(AND(V771&gt;=0,V771&lt;=0.25),"Valid","Invalid")</f>
        <v>Valid</v>
      </c>
      <c r="X771" s="2" t="n">
        <v>8128.69</v>
      </c>
      <c r="Y771" s="2" t="n">
        <f aca="false">R771*S771*(1-V771)</f>
        <v>8128.6875</v>
      </c>
      <c r="Z771" s="2" t="str">
        <f aca="false">IF(ABS(X771-Y771)&gt;1,"Mismatch","OK")</f>
        <v>OK</v>
      </c>
      <c r="AA771" s="2" t="n">
        <v>5071.66</v>
      </c>
      <c r="AB771" s="2" t="n">
        <v>3057.03</v>
      </c>
      <c r="AC771" s="2" t="n">
        <f aca="false">Y771-AA771</f>
        <v>3057.0275</v>
      </c>
      <c r="AD771" s="2" t="str">
        <f aca="false">IF(ABS(AB771-AC771)&gt;1,"Mismatch","OK")</f>
        <v>OK</v>
      </c>
      <c r="AE771" s="4" t="n">
        <f aca="false">IF(Y771=0,0,AC771/Y771)</f>
        <v>0.376078856518965</v>
      </c>
      <c r="AF771" s="2" t="s">
        <v>52</v>
      </c>
      <c r="AG771" s="2" t="s">
        <v>53</v>
      </c>
      <c r="AH771" s="2" t="str">
        <f aca="false">IF(AND(AG771="Completed",AF771&lt;&gt;"Paid"),"Inconsistent","OK")</f>
        <v>OK</v>
      </c>
      <c r="AI771" s="2" t="n">
        <f aca="false">IF(OR(ISBLANK(B771),ISBLANK(C771)),"",C771-B771)</f>
        <v>2</v>
      </c>
      <c r="AJ771" s="2" t="str">
        <f aca="false">IF(AI771="","Unknown",IF(AI771&lt;0,"Invalid","OK"))</f>
        <v>OK</v>
      </c>
      <c r="AK771" s="2" t="str">
        <f aca="false">IF(ISBLANK(B771),"",TEXT(B771,"mmm"))</f>
        <v>May</v>
      </c>
      <c r="AL771" s="2" t="n">
        <f aca="false">IF(ISBLANK(B771),"",YEAR(B771))</f>
        <v>2024</v>
      </c>
      <c r="AM771" s="2" t="s">
        <v>41</v>
      </c>
      <c r="AN771" s="2" t="str">
        <f aca="false">IF(OR(W771="Invalid",AJ771="Invalid",AH771="Inconsistent",Z771="Mismatch",AD771="Mismatch",AM771="Yes",D771="Yes",E771="Yes"),"Invalid",IF(OR(J771="Yes",Q771="Yes",U771="Yes"),"Warning","Clean"))</f>
        <v>Clean</v>
      </c>
    </row>
    <row r="772" customFormat="false" ht="15" hidden="false" customHeight="false" outlineLevel="0" collapsed="false">
      <c r="A772" s="2" t="s">
        <v>2411</v>
      </c>
      <c r="B772" s="3" t="n">
        <v>45337</v>
      </c>
      <c r="C772" s="3" t="n">
        <v>45339</v>
      </c>
      <c r="D772" s="2" t="s">
        <v>41</v>
      </c>
      <c r="E772" s="2" t="s">
        <v>41</v>
      </c>
      <c r="F772" s="2" t="s">
        <v>2412</v>
      </c>
      <c r="G772" s="2" t="s">
        <v>99</v>
      </c>
      <c r="H772" s="2" t="s">
        <v>44</v>
      </c>
      <c r="I772" s="2" t="s">
        <v>45</v>
      </c>
      <c r="J772" s="2" t="s">
        <v>41</v>
      </c>
      <c r="K772" s="2" t="s">
        <v>156</v>
      </c>
      <c r="L772" s="2" t="s">
        <v>157</v>
      </c>
      <c r="M772" s="2" t="s">
        <v>94</v>
      </c>
      <c r="N772" s="2" t="s">
        <v>100</v>
      </c>
      <c r="O772" s="2" t="s">
        <v>2413</v>
      </c>
      <c r="P772" s="2" t="s">
        <v>70</v>
      </c>
      <c r="Q772" s="2" t="s">
        <v>41</v>
      </c>
      <c r="R772" s="2" t="n">
        <v>4</v>
      </c>
      <c r="S772" s="2" t="n">
        <v>863</v>
      </c>
      <c r="T772" s="2"/>
      <c r="U772" s="2" t="str">
        <f aca="false">IF(ISBLANK(T772),"Yes","No")</f>
        <v>Yes</v>
      </c>
      <c r="V772" s="2" t="n">
        <f aca="false">IF(ISBLANK(T772),0,IF(ISNUMBER(T772),T772,VALUE(LEFT(T772,LEN(T772)-1))/100))</f>
        <v>0</v>
      </c>
      <c r="W772" s="2" t="str">
        <f aca="false">IF(AND(V772&gt;=0,V772&lt;=0.25),"Valid","Invalid")</f>
        <v>Valid</v>
      </c>
      <c r="X772" s="2" t="n">
        <v>3106.8</v>
      </c>
      <c r="Y772" s="2" t="n">
        <f aca="false">R772*S772*(1-V772)</f>
        <v>3452</v>
      </c>
      <c r="Z772" s="2" t="str">
        <f aca="false">IF(ABS(X772-Y772)&gt;1,"Mismatch","OK")</f>
        <v>Mismatch</v>
      </c>
      <c r="AA772" s="2" t="n">
        <v>2376.62</v>
      </c>
      <c r="AB772" s="2" t="n">
        <v>730.18</v>
      </c>
      <c r="AC772" s="2" t="n">
        <f aca="false">Y772-AA772</f>
        <v>1075.38</v>
      </c>
      <c r="AD772" s="2" t="str">
        <f aca="false">IF(ABS(AB772-AC772)&gt;1,"Mismatch","OK")</f>
        <v>Mismatch</v>
      </c>
      <c r="AE772" s="4" t="n">
        <f aca="false">IF(Y772=0,0,AC772/Y772)</f>
        <v>0.311523754345307</v>
      </c>
      <c r="AF772" s="2" t="s">
        <v>52</v>
      </c>
      <c r="AG772" s="2" t="s">
        <v>53</v>
      </c>
      <c r="AH772" s="2" t="str">
        <f aca="false">IF(AND(AG772="Completed",AF772&lt;&gt;"Paid"),"Inconsistent","OK")</f>
        <v>OK</v>
      </c>
      <c r="AI772" s="2" t="n">
        <f aca="false">IF(OR(ISBLANK(B772),ISBLANK(C772)),"",C772-B772)</f>
        <v>2</v>
      </c>
      <c r="AJ772" s="2" t="str">
        <f aca="false">IF(AI772="","Unknown",IF(AI772&lt;0,"Invalid","OK"))</f>
        <v>OK</v>
      </c>
      <c r="AK772" s="2" t="str">
        <f aca="false">IF(ISBLANK(B772),"",TEXT(B772,"mmm"))</f>
        <v>Feb</v>
      </c>
      <c r="AL772" s="2" t="n">
        <f aca="false">IF(ISBLANK(B772),"",YEAR(B772))</f>
        <v>2024</v>
      </c>
      <c r="AM772" s="2" t="s">
        <v>41</v>
      </c>
      <c r="AN772" s="2" t="str">
        <f aca="false">IF(OR(W772="Invalid",AJ772="Invalid",AH772="Inconsistent",Z772="Mismatch",AD772="Mismatch",AM772="Yes",D772="Yes",E772="Yes"),"Invalid",IF(OR(J772="Yes",Q772="Yes",U772="Yes"),"Warning","Clean"))</f>
        <v>Invalid</v>
      </c>
    </row>
    <row r="773" customFormat="false" ht="15" hidden="false" customHeight="false" outlineLevel="0" collapsed="false">
      <c r="A773" s="2" t="s">
        <v>2414</v>
      </c>
      <c r="B773" s="3" t="n">
        <v>45485</v>
      </c>
      <c r="C773" s="3" t="n">
        <v>45487</v>
      </c>
      <c r="D773" s="2" t="s">
        <v>41</v>
      </c>
      <c r="E773" s="2" t="s">
        <v>41</v>
      </c>
      <c r="F773" s="2" t="s">
        <v>490</v>
      </c>
      <c r="G773" s="2" t="s">
        <v>82</v>
      </c>
      <c r="H773" s="2" t="s">
        <v>44</v>
      </c>
      <c r="I773" s="2" t="s">
        <v>45</v>
      </c>
      <c r="J773" s="2" t="s">
        <v>41</v>
      </c>
      <c r="K773" s="2" t="s">
        <v>258</v>
      </c>
      <c r="L773" s="2" t="s">
        <v>259</v>
      </c>
      <c r="M773" s="2" t="s">
        <v>94</v>
      </c>
      <c r="N773" s="2" t="s">
        <v>296</v>
      </c>
      <c r="O773" s="2" t="s">
        <v>2415</v>
      </c>
      <c r="P773" s="2" t="s">
        <v>51</v>
      </c>
      <c r="Q773" s="2" t="s">
        <v>41</v>
      </c>
      <c r="R773" s="2" t="n">
        <v>4</v>
      </c>
      <c r="S773" s="2" t="n">
        <v>2131.41</v>
      </c>
      <c r="T773" s="2"/>
      <c r="U773" s="2" t="str">
        <f aca="false">IF(ISBLANK(T773),"Yes","No")</f>
        <v>Yes</v>
      </c>
      <c r="V773" s="2" t="n">
        <f aca="false">IF(ISBLANK(T773),0,IF(ISNUMBER(T773),T773,VALUE(LEFT(T773,LEN(T773)-1))/100))</f>
        <v>0</v>
      </c>
      <c r="W773" s="2" t="str">
        <f aca="false">IF(AND(V773&gt;=0,V773&lt;=0.25),"Valid","Invalid")</f>
        <v>Valid</v>
      </c>
      <c r="X773" s="2" t="n">
        <v>6394.23</v>
      </c>
      <c r="Y773" s="2" t="n">
        <f aca="false">R773*S773*(1-V773)</f>
        <v>8525.64</v>
      </c>
      <c r="Z773" s="2" t="str">
        <f aca="false">IF(ABS(X773-Y773)&gt;1,"Mismatch","OK")</f>
        <v>Mismatch</v>
      </c>
      <c r="AA773" s="2" t="n">
        <v>3520.69</v>
      </c>
      <c r="AB773" s="2" t="n">
        <v>2873.54</v>
      </c>
      <c r="AC773" s="2" t="n">
        <f aca="false">Y773-AA773</f>
        <v>5004.95</v>
      </c>
      <c r="AD773" s="2" t="str">
        <f aca="false">IF(ABS(AB773-AC773)&gt;1,"Mismatch","OK")</f>
        <v>Mismatch</v>
      </c>
      <c r="AE773" s="4" t="n">
        <f aca="false">IF(Y773=0,0,AC773/Y773)</f>
        <v>0.587046837539469</v>
      </c>
      <c r="AF773" s="2" t="s">
        <v>52</v>
      </c>
      <c r="AG773" s="2" t="s">
        <v>53</v>
      </c>
      <c r="AH773" s="2" t="str">
        <f aca="false">IF(AND(AG773="Completed",AF773&lt;&gt;"Paid"),"Inconsistent","OK")</f>
        <v>OK</v>
      </c>
      <c r="AI773" s="2" t="n">
        <f aca="false">IF(OR(ISBLANK(B773),ISBLANK(C773)),"",C773-B773)</f>
        <v>2</v>
      </c>
      <c r="AJ773" s="2" t="str">
        <f aca="false">IF(AI773="","Unknown",IF(AI773&lt;0,"Invalid","OK"))</f>
        <v>OK</v>
      </c>
      <c r="AK773" s="2" t="str">
        <f aca="false">IF(ISBLANK(B773),"",TEXT(B773,"mmm"))</f>
        <v>Jul</v>
      </c>
      <c r="AL773" s="2" t="n">
        <f aca="false">IF(ISBLANK(B773),"",YEAR(B773))</f>
        <v>2024</v>
      </c>
      <c r="AM773" s="2" t="s">
        <v>41</v>
      </c>
      <c r="AN773" s="2" t="str">
        <f aca="false">IF(OR(W773="Invalid",AJ773="Invalid",AH773="Inconsistent",Z773="Mismatch",AD773="Mismatch",AM773="Yes",D773="Yes",E773="Yes"),"Invalid",IF(OR(J773="Yes",Q773="Yes",U773="Yes"),"Warning","Clean"))</f>
        <v>Invalid</v>
      </c>
    </row>
    <row r="774" customFormat="false" ht="15" hidden="false" customHeight="false" outlineLevel="0" collapsed="false">
      <c r="A774" s="2" t="s">
        <v>2416</v>
      </c>
      <c r="B774" s="3" t="n">
        <v>45853</v>
      </c>
      <c r="C774" s="3" t="n">
        <v>45857</v>
      </c>
      <c r="D774" s="2" t="s">
        <v>41</v>
      </c>
      <c r="E774" s="2" t="s">
        <v>41</v>
      </c>
      <c r="F774" s="2" t="s">
        <v>2417</v>
      </c>
      <c r="G774" s="2" t="s">
        <v>182</v>
      </c>
      <c r="H774" s="2" t="s">
        <v>44</v>
      </c>
      <c r="I774" s="2" t="s">
        <v>74</v>
      </c>
      <c r="J774" s="2" t="s">
        <v>41</v>
      </c>
      <c r="K774" s="2" t="s">
        <v>269</v>
      </c>
      <c r="L774" s="2" t="s">
        <v>270</v>
      </c>
      <c r="M774" s="2" t="s">
        <v>61</v>
      </c>
      <c r="N774" s="2" t="s">
        <v>86</v>
      </c>
      <c r="O774" s="2" t="s">
        <v>2418</v>
      </c>
      <c r="P774" s="2" t="s">
        <v>64</v>
      </c>
      <c r="Q774" s="2" t="s">
        <v>41</v>
      </c>
      <c r="R774" s="2" t="n">
        <v>1</v>
      </c>
      <c r="S774" s="2" t="n">
        <v>3903.22</v>
      </c>
      <c r="T774" s="2" t="n">
        <v>0.05</v>
      </c>
      <c r="U774" s="2" t="str">
        <f aca="false">IF(ISBLANK(T774),"Yes","No")</f>
        <v>No</v>
      </c>
      <c r="V774" s="2" t="n">
        <f aca="false">IF(ISBLANK(T774),0,IF(ISNUMBER(T774),T774,VALUE(LEFT(T774,LEN(T774)-1))/100))</f>
        <v>0.05</v>
      </c>
      <c r="W774" s="2" t="str">
        <f aca="false">IF(AND(V774&gt;=0,V774&lt;=0.25),"Valid","Invalid")</f>
        <v>Valid</v>
      </c>
      <c r="X774" s="2" t="n">
        <v>3708.06</v>
      </c>
      <c r="Y774" s="2" t="n">
        <f aca="false">R774*S774*(1-V774)</f>
        <v>3708.059</v>
      </c>
      <c r="Z774" s="2" t="str">
        <f aca="false">IF(ABS(X774-Y774)&gt;1,"Mismatch","OK")</f>
        <v>OK</v>
      </c>
      <c r="AA774" s="2" t="n">
        <v>2760.29</v>
      </c>
      <c r="AB774" s="2" t="n">
        <v>947.77</v>
      </c>
      <c r="AC774" s="2" t="n">
        <f aca="false">Y774-AA774</f>
        <v>947.769</v>
      </c>
      <c r="AD774" s="2" t="str">
        <f aca="false">IF(ABS(AB774-AC774)&gt;1,"Mismatch","OK")</f>
        <v>OK</v>
      </c>
      <c r="AE774" s="4" t="n">
        <f aca="false">IF(Y774=0,0,AC774/Y774)</f>
        <v>0.255597065742481</v>
      </c>
      <c r="AF774" s="2" t="s">
        <v>131</v>
      </c>
      <c r="AG774" s="2" t="s">
        <v>88</v>
      </c>
      <c r="AH774" s="2" t="str">
        <f aca="false">IF(AND(AG774="Completed",AF774&lt;&gt;"Paid"),"Inconsistent","OK")</f>
        <v>OK</v>
      </c>
      <c r="AI774" s="2" t="n">
        <f aca="false">IF(OR(ISBLANK(B774),ISBLANK(C774)),"",C774-B774)</f>
        <v>4</v>
      </c>
      <c r="AJ774" s="2" t="str">
        <f aca="false">IF(AI774="","Unknown",IF(AI774&lt;0,"Invalid","OK"))</f>
        <v>OK</v>
      </c>
      <c r="AK774" s="2" t="str">
        <f aca="false">IF(ISBLANK(B774),"",TEXT(B774,"mmm"))</f>
        <v>Jul</v>
      </c>
      <c r="AL774" s="2" t="n">
        <f aca="false">IF(ISBLANK(B774),"",YEAR(B774))</f>
        <v>2025</v>
      </c>
      <c r="AM774" s="2" t="s">
        <v>41</v>
      </c>
      <c r="AN774" s="2" t="str">
        <f aca="false">IF(OR(W774="Invalid",AJ774="Invalid",AH774="Inconsistent",Z774="Mismatch",AD774="Mismatch",AM774="Yes",D774="Yes",E774="Yes"),"Invalid",IF(OR(J774="Yes",Q774="Yes",U774="Yes"),"Warning","Clean"))</f>
        <v>Clean</v>
      </c>
    </row>
    <row r="775" customFormat="false" ht="15" hidden="false" customHeight="false" outlineLevel="0" collapsed="false">
      <c r="A775" s="2" t="s">
        <v>2419</v>
      </c>
      <c r="B775" s="3" t="n">
        <v>45709</v>
      </c>
      <c r="C775" s="3" t="n">
        <v>45709</v>
      </c>
      <c r="D775" s="2" t="s">
        <v>41</v>
      </c>
      <c r="E775" s="2" t="s">
        <v>41</v>
      </c>
      <c r="F775" s="2" t="s">
        <v>2420</v>
      </c>
      <c r="G775" s="2" t="s">
        <v>43</v>
      </c>
      <c r="H775" s="2" t="s">
        <v>115</v>
      </c>
      <c r="I775" s="2" t="s">
        <v>83</v>
      </c>
      <c r="J775" s="2" t="s">
        <v>41</v>
      </c>
      <c r="K775" s="2" t="s">
        <v>200</v>
      </c>
      <c r="L775" s="2" t="s">
        <v>201</v>
      </c>
      <c r="M775" s="2" t="s">
        <v>94</v>
      </c>
      <c r="N775" s="2" t="s">
        <v>191</v>
      </c>
      <c r="O775" s="2" t="s">
        <v>2421</v>
      </c>
      <c r="P775" s="2" t="s">
        <v>225</v>
      </c>
      <c r="Q775" s="2" t="s">
        <v>226</v>
      </c>
      <c r="R775" s="2" t="n">
        <v>4</v>
      </c>
      <c r="S775" s="2" t="n">
        <v>2945.07</v>
      </c>
      <c r="T775" s="2" t="n">
        <v>0.2</v>
      </c>
      <c r="U775" s="2" t="str">
        <f aca="false">IF(ISBLANK(T775),"Yes","No")</f>
        <v>No</v>
      </c>
      <c r="V775" s="2" t="n">
        <f aca="false">IF(ISBLANK(T775),0,IF(ISNUMBER(T775),T775,VALUE(LEFT(T775,LEN(T775)-1))/100))</f>
        <v>0.2</v>
      </c>
      <c r="W775" s="2" t="str">
        <f aca="false">IF(AND(V775&gt;=0,V775&lt;=0.25),"Valid","Invalid")</f>
        <v>Valid</v>
      </c>
      <c r="X775" s="2" t="n">
        <v>9424.22</v>
      </c>
      <c r="Y775" s="2" t="n">
        <f aca="false">R775*S775*(1-V775)</f>
        <v>9424.224</v>
      </c>
      <c r="Z775" s="2" t="str">
        <f aca="false">IF(ABS(X775-Y775)&gt;1,"Mismatch","OK")</f>
        <v>OK</v>
      </c>
      <c r="AA775" s="2" t="n">
        <v>6178.92</v>
      </c>
      <c r="AB775" s="2" t="n">
        <v>3245.3</v>
      </c>
      <c r="AC775" s="2" t="n">
        <f aca="false">Y775-AA775</f>
        <v>3245.304</v>
      </c>
      <c r="AD775" s="2" t="str">
        <f aca="false">IF(ABS(AB775-AC775)&gt;1,"Mismatch","OK")</f>
        <v>OK</v>
      </c>
      <c r="AE775" s="4" t="n">
        <f aca="false">IF(Y775=0,0,AC775/Y775)</f>
        <v>0.344357689290917</v>
      </c>
      <c r="AF775" s="2" t="s">
        <v>52</v>
      </c>
      <c r="AG775" s="2" t="s">
        <v>53</v>
      </c>
      <c r="AH775" s="2" t="str">
        <f aca="false">IF(AND(AG775="Completed",AF775&lt;&gt;"Paid"),"Inconsistent","OK")</f>
        <v>OK</v>
      </c>
      <c r="AI775" s="2" t="n">
        <f aca="false">IF(OR(ISBLANK(B775),ISBLANK(C775)),"",C775-B775)</f>
        <v>0</v>
      </c>
      <c r="AJ775" s="2" t="str">
        <f aca="false">IF(AI775="","Unknown",IF(AI775&lt;0,"Invalid","OK"))</f>
        <v>OK</v>
      </c>
      <c r="AK775" s="2" t="str">
        <f aca="false">IF(ISBLANK(B775),"",TEXT(B775,"mmm"))</f>
        <v>Feb</v>
      </c>
      <c r="AL775" s="2" t="n">
        <f aca="false">IF(ISBLANK(B775),"",YEAR(B775))</f>
        <v>2025</v>
      </c>
      <c r="AM775" s="2" t="s">
        <v>41</v>
      </c>
      <c r="AN775" s="2" t="str">
        <f aca="false">IF(OR(W775="Invalid",AJ775="Invalid",AH775="Inconsistent",Z775="Mismatch",AD775="Mismatch",AM775="Yes",D775="Yes",E775="Yes"),"Invalid",IF(OR(J775="Yes",Q775="Yes",U775="Yes"),"Warning","Clean"))</f>
        <v>Warning</v>
      </c>
    </row>
    <row r="776" customFormat="false" ht="15" hidden="false" customHeight="false" outlineLevel="0" collapsed="false">
      <c r="A776" s="2" t="s">
        <v>2422</v>
      </c>
      <c r="B776" s="3" t="n">
        <v>45876</v>
      </c>
      <c r="C776" s="3" t="n">
        <v>45876</v>
      </c>
      <c r="D776" s="2" t="s">
        <v>41</v>
      </c>
      <c r="E776" s="2" t="s">
        <v>41</v>
      </c>
      <c r="F776" s="2" t="s">
        <v>2423</v>
      </c>
      <c r="G776" s="2" t="s">
        <v>286</v>
      </c>
      <c r="H776" s="2" t="s">
        <v>44</v>
      </c>
      <c r="I776" s="2" t="s">
        <v>83</v>
      </c>
      <c r="J776" s="2" t="s">
        <v>41</v>
      </c>
      <c r="K776" s="2" t="s">
        <v>46</v>
      </c>
      <c r="L776" s="2" t="s">
        <v>129</v>
      </c>
      <c r="M776" s="2" t="s">
        <v>94</v>
      </c>
      <c r="N776" s="2" t="s">
        <v>296</v>
      </c>
      <c r="O776" s="2" t="s">
        <v>2424</v>
      </c>
      <c r="P776" s="2" t="s">
        <v>225</v>
      </c>
      <c r="Q776" s="2" t="s">
        <v>226</v>
      </c>
      <c r="R776" s="2" t="n">
        <v>9</v>
      </c>
      <c r="S776" s="2" t="n">
        <v>1076.75</v>
      </c>
      <c r="T776" s="2" t="n">
        <v>0.2</v>
      </c>
      <c r="U776" s="2" t="str">
        <f aca="false">IF(ISBLANK(T776),"Yes","No")</f>
        <v>No</v>
      </c>
      <c r="V776" s="2" t="n">
        <f aca="false">IF(ISBLANK(T776),0,IF(ISNUMBER(T776),T776,VALUE(LEFT(T776,LEN(T776)-1))/100))</f>
        <v>0.2</v>
      </c>
      <c r="W776" s="2" t="str">
        <f aca="false">IF(AND(V776&gt;=0,V776&lt;=0.25),"Valid","Invalid")</f>
        <v>Valid</v>
      </c>
      <c r="X776" s="2" t="n">
        <v>7752.6</v>
      </c>
      <c r="Y776" s="2" t="n">
        <f aca="false">R776*S776*(1-V776)</f>
        <v>7752.6</v>
      </c>
      <c r="Z776" s="2" t="str">
        <f aca="false">IF(ABS(X776-Y776)&gt;1,"Mismatch","OK")</f>
        <v>OK</v>
      </c>
      <c r="AA776" s="2" t="n">
        <v>4689.3</v>
      </c>
      <c r="AB776" s="2" t="n">
        <v>3063.3</v>
      </c>
      <c r="AC776" s="2" t="n">
        <f aca="false">Y776-AA776</f>
        <v>3063.3</v>
      </c>
      <c r="AD776" s="2" t="str">
        <f aca="false">IF(ABS(AB776-AC776)&gt;1,"Mismatch","OK")</f>
        <v>OK</v>
      </c>
      <c r="AE776" s="4" t="n">
        <f aca="false">IF(Y776=0,0,AC776/Y776)</f>
        <v>0.395131955730981</v>
      </c>
      <c r="AF776" s="2" t="s">
        <v>52</v>
      </c>
      <c r="AG776" s="2" t="s">
        <v>53</v>
      </c>
      <c r="AH776" s="2" t="str">
        <f aca="false">IF(AND(AG776="Completed",AF776&lt;&gt;"Paid"),"Inconsistent","OK")</f>
        <v>OK</v>
      </c>
      <c r="AI776" s="2" t="n">
        <f aca="false">IF(OR(ISBLANK(B776),ISBLANK(C776)),"",C776-B776)</f>
        <v>0</v>
      </c>
      <c r="AJ776" s="2" t="str">
        <f aca="false">IF(AI776="","Unknown",IF(AI776&lt;0,"Invalid","OK"))</f>
        <v>OK</v>
      </c>
      <c r="AK776" s="2" t="str">
        <f aca="false">IF(ISBLANK(B776),"",TEXT(B776,"mmm"))</f>
        <v>Aug</v>
      </c>
      <c r="AL776" s="2" t="n">
        <f aca="false">IF(ISBLANK(B776),"",YEAR(B776))</f>
        <v>2025</v>
      </c>
      <c r="AM776" s="2" t="s">
        <v>41</v>
      </c>
      <c r="AN776" s="2" t="str">
        <f aca="false">IF(OR(W776="Invalid",AJ776="Invalid",AH776="Inconsistent",Z776="Mismatch",AD776="Mismatch",AM776="Yes",D776="Yes",E776="Yes"),"Invalid",IF(OR(J776="Yes",Q776="Yes",U776="Yes"),"Warning","Clean"))</f>
        <v>Warning</v>
      </c>
    </row>
    <row r="777" customFormat="false" ht="15" hidden="false" customHeight="false" outlineLevel="0" collapsed="false">
      <c r="A777" s="2" t="s">
        <v>2425</v>
      </c>
      <c r="B777" s="3" t="n">
        <v>45396</v>
      </c>
      <c r="C777" s="3" t="n">
        <v>45404</v>
      </c>
      <c r="D777" s="2" t="s">
        <v>41</v>
      </c>
      <c r="E777" s="2" t="s">
        <v>41</v>
      </c>
      <c r="F777" s="2" t="s">
        <v>2426</v>
      </c>
      <c r="G777" s="2" t="s">
        <v>73</v>
      </c>
      <c r="H777" s="2" t="s">
        <v>44</v>
      </c>
      <c r="I777" s="2" t="s">
        <v>45</v>
      </c>
      <c r="J777" s="2" t="s">
        <v>41</v>
      </c>
      <c r="K777" s="2" t="s">
        <v>258</v>
      </c>
      <c r="L777" s="2" t="s">
        <v>259</v>
      </c>
      <c r="M777" s="2" t="s">
        <v>94</v>
      </c>
      <c r="N777" s="2" t="s">
        <v>95</v>
      </c>
      <c r="O777" s="2" t="s">
        <v>2427</v>
      </c>
      <c r="P777" s="2" t="s">
        <v>79</v>
      </c>
      <c r="Q777" s="2" t="s">
        <v>41</v>
      </c>
      <c r="R777" s="2" t="n">
        <v>8</v>
      </c>
      <c r="S777" s="2" t="n">
        <v>3956.12</v>
      </c>
      <c r="T777" s="2" t="n">
        <v>0.25</v>
      </c>
      <c r="U777" s="2" t="str">
        <f aca="false">IF(ISBLANK(T777),"Yes","No")</f>
        <v>No</v>
      </c>
      <c r="V777" s="2" t="n">
        <f aca="false">IF(ISBLANK(T777),0,IF(ISNUMBER(T777),T777,VALUE(LEFT(T777,LEN(T777)-1))/100))</f>
        <v>0.25</v>
      </c>
      <c r="W777" s="2" t="str">
        <f aca="false">IF(AND(V777&gt;=0,V777&lt;=0.25),"Valid","Invalid")</f>
        <v>Valid</v>
      </c>
      <c r="X777" s="2" t="n">
        <v>23736.72</v>
      </c>
      <c r="Y777" s="2" t="n">
        <f aca="false">R777*S777*(1-V777)</f>
        <v>23736.72</v>
      </c>
      <c r="Z777" s="2" t="str">
        <f aca="false">IF(ABS(X777-Y777)&gt;1,"Mismatch","OK")</f>
        <v>OK</v>
      </c>
      <c r="AA777" s="2" t="n">
        <v>13890.9</v>
      </c>
      <c r="AB777" s="2" t="n">
        <v>9845.82</v>
      </c>
      <c r="AC777" s="2" t="n">
        <f aca="false">Y777-AA777</f>
        <v>9845.82</v>
      </c>
      <c r="AD777" s="2" t="str">
        <f aca="false">IF(ABS(AB777-AC777)&gt;1,"Mismatch","OK")</f>
        <v>OK</v>
      </c>
      <c r="AE777" s="4" t="n">
        <f aca="false">IF(Y777=0,0,AC777/Y777)</f>
        <v>0.414792776761069</v>
      </c>
      <c r="AF777" s="2" t="s">
        <v>52</v>
      </c>
      <c r="AG777" s="2" t="s">
        <v>53</v>
      </c>
      <c r="AH777" s="2" t="str">
        <f aca="false">IF(AND(AG777="Completed",AF777&lt;&gt;"Paid"),"Inconsistent","OK")</f>
        <v>OK</v>
      </c>
      <c r="AI777" s="2" t="n">
        <f aca="false">IF(OR(ISBLANK(B777),ISBLANK(C777)),"",C777-B777)</f>
        <v>8</v>
      </c>
      <c r="AJ777" s="2" t="str">
        <f aca="false">IF(AI777="","Unknown",IF(AI777&lt;0,"Invalid","OK"))</f>
        <v>OK</v>
      </c>
      <c r="AK777" s="2" t="str">
        <f aca="false">IF(ISBLANK(B777),"",TEXT(B777,"mmm"))</f>
        <v>Apr</v>
      </c>
      <c r="AL777" s="2" t="n">
        <f aca="false">IF(ISBLANK(B777),"",YEAR(B777))</f>
        <v>2024</v>
      </c>
      <c r="AM777" s="2" t="s">
        <v>41</v>
      </c>
      <c r="AN777" s="2" t="str">
        <f aca="false">IF(OR(W777="Invalid",AJ777="Invalid",AH777="Inconsistent",Z777="Mismatch",AD777="Mismatch",AM777="Yes",D777="Yes",E777="Yes"),"Invalid",IF(OR(J777="Yes",Q777="Yes",U777="Yes"),"Warning","Clean"))</f>
        <v>Clean</v>
      </c>
    </row>
    <row r="778" customFormat="false" ht="15" hidden="false" customHeight="false" outlineLevel="0" collapsed="false">
      <c r="A778" s="2" t="s">
        <v>2428</v>
      </c>
      <c r="B778" s="3" t="n">
        <v>45816</v>
      </c>
      <c r="C778" s="3" t="n">
        <v>45821</v>
      </c>
      <c r="D778" s="2" t="s">
        <v>41</v>
      </c>
      <c r="E778" s="2" t="s">
        <v>41</v>
      </c>
      <c r="F778" s="2" t="s">
        <v>2429</v>
      </c>
      <c r="G778" s="2" t="s">
        <v>109</v>
      </c>
      <c r="H778" s="2" t="s">
        <v>57</v>
      </c>
      <c r="I778" s="2" t="s">
        <v>45</v>
      </c>
      <c r="J778" s="2" t="s">
        <v>41</v>
      </c>
      <c r="K778" s="2" t="s">
        <v>46</v>
      </c>
      <c r="L778" s="2" t="s">
        <v>47</v>
      </c>
      <c r="M778" s="2" t="s">
        <v>94</v>
      </c>
      <c r="N778" s="2" t="s">
        <v>100</v>
      </c>
      <c r="O778" s="2" t="s">
        <v>2430</v>
      </c>
      <c r="P778" s="2" t="s">
        <v>51</v>
      </c>
      <c r="Q778" s="2" t="s">
        <v>41</v>
      </c>
      <c r="R778" s="2" t="n">
        <v>7</v>
      </c>
      <c r="S778" s="2" t="n">
        <v>3857.13</v>
      </c>
      <c r="T778" s="2" t="n">
        <v>0</v>
      </c>
      <c r="U778" s="2" t="str">
        <f aca="false">IF(ISBLANK(T778),"Yes","No")</f>
        <v>No</v>
      </c>
      <c r="V778" s="2" t="n">
        <f aca="false">IF(ISBLANK(T778),0,IF(ISNUMBER(T778),T778,VALUE(LEFT(T778,LEN(T778)-1))/100))</f>
        <v>0</v>
      </c>
      <c r="W778" s="2" t="str">
        <f aca="false">IF(AND(V778&gt;=0,V778&lt;=0.25),"Valid","Invalid")</f>
        <v>Valid</v>
      </c>
      <c r="X778" s="2" t="n">
        <v>26999.91</v>
      </c>
      <c r="Y778" s="2" t="n">
        <f aca="false">R778*S778*(1-V778)</f>
        <v>26999.91</v>
      </c>
      <c r="Z778" s="2" t="str">
        <f aca="false">IF(ABS(X778-Y778)&gt;1,"Mismatch","OK")</f>
        <v>OK</v>
      </c>
      <c r="AA778" s="2" t="n">
        <v>17815.98</v>
      </c>
      <c r="AB778" s="2" t="n">
        <v>9183.93</v>
      </c>
      <c r="AC778" s="2" t="n">
        <f aca="false">Y778-AA778</f>
        <v>9183.93</v>
      </c>
      <c r="AD778" s="2" t="str">
        <f aca="false">IF(ABS(AB778-AC778)&gt;1,"Mismatch","OK")</f>
        <v>OK</v>
      </c>
      <c r="AE778" s="4" t="n">
        <f aca="false">IF(Y778=0,0,AC778/Y778)</f>
        <v>0.340146689377854</v>
      </c>
      <c r="AF778" s="2" t="s">
        <v>52</v>
      </c>
      <c r="AG778" s="2" t="s">
        <v>53</v>
      </c>
      <c r="AH778" s="2" t="str">
        <f aca="false">IF(AND(AG778="Completed",AF778&lt;&gt;"Paid"),"Inconsistent","OK")</f>
        <v>OK</v>
      </c>
      <c r="AI778" s="2" t="n">
        <f aca="false">IF(OR(ISBLANK(B778),ISBLANK(C778)),"",C778-B778)</f>
        <v>5</v>
      </c>
      <c r="AJ778" s="2" t="str">
        <f aca="false">IF(AI778="","Unknown",IF(AI778&lt;0,"Invalid","OK"))</f>
        <v>OK</v>
      </c>
      <c r="AK778" s="2" t="str">
        <f aca="false">IF(ISBLANK(B778),"",TEXT(B778,"mmm"))</f>
        <v>Jun</v>
      </c>
      <c r="AL778" s="2" t="n">
        <f aca="false">IF(ISBLANK(B778),"",YEAR(B778))</f>
        <v>2025</v>
      </c>
      <c r="AM778" s="2" t="s">
        <v>41</v>
      </c>
      <c r="AN778" s="2" t="str">
        <f aca="false">IF(OR(W778="Invalid",AJ778="Invalid",AH778="Inconsistent",Z778="Mismatch",AD778="Mismatch",AM778="Yes",D778="Yes",E778="Yes"),"Invalid",IF(OR(J778="Yes",Q778="Yes",U778="Yes"),"Warning","Clean"))</f>
        <v>Clean</v>
      </c>
    </row>
    <row r="779" customFormat="false" ht="15" hidden="false" customHeight="false" outlineLevel="0" collapsed="false">
      <c r="A779" s="2" t="s">
        <v>2431</v>
      </c>
      <c r="B779" s="3" t="n">
        <v>45326</v>
      </c>
      <c r="C779" s="3" t="n">
        <v>45328</v>
      </c>
      <c r="D779" s="2" t="s">
        <v>41</v>
      </c>
      <c r="E779" s="2" t="s">
        <v>41</v>
      </c>
      <c r="F779" s="2" t="s">
        <v>2432</v>
      </c>
      <c r="G779" s="2" t="s">
        <v>286</v>
      </c>
      <c r="H779" s="2" t="s">
        <v>57</v>
      </c>
      <c r="I779" s="2" t="s">
        <v>83</v>
      </c>
      <c r="J779" s="2" t="s">
        <v>41</v>
      </c>
      <c r="K779" s="2" t="s">
        <v>92</v>
      </c>
      <c r="L779" s="2" t="s">
        <v>93</v>
      </c>
      <c r="M779" s="2" t="s">
        <v>94</v>
      </c>
      <c r="N779" s="2" t="s">
        <v>95</v>
      </c>
      <c r="O779" s="2" t="s">
        <v>2433</v>
      </c>
      <c r="P779" s="2" t="s">
        <v>51</v>
      </c>
      <c r="Q779" s="2" t="s">
        <v>41</v>
      </c>
      <c r="R779" s="2" t="n">
        <v>4</v>
      </c>
      <c r="S779" s="2" t="n">
        <v>1489.74</v>
      </c>
      <c r="T779" s="2" t="n">
        <v>0.15</v>
      </c>
      <c r="U779" s="2" t="str">
        <f aca="false">IF(ISBLANK(T779),"Yes","No")</f>
        <v>No</v>
      </c>
      <c r="V779" s="2" t="n">
        <f aca="false">IF(ISBLANK(T779),0,IF(ISNUMBER(T779),T779,VALUE(LEFT(T779,LEN(T779)-1))/100))</f>
        <v>0.15</v>
      </c>
      <c r="W779" s="2" t="str">
        <f aca="false">IF(AND(V779&gt;=0,V779&lt;=0.25),"Valid","Invalid")</f>
        <v>Valid</v>
      </c>
      <c r="X779" s="2" t="n">
        <v>5065.12</v>
      </c>
      <c r="Y779" s="2" t="n">
        <f aca="false">R779*S779*(1-V779)</f>
        <v>5065.116</v>
      </c>
      <c r="Z779" s="2" t="str">
        <f aca="false">IF(ABS(X779-Y779)&gt;1,"Mismatch","OK")</f>
        <v>OK</v>
      </c>
      <c r="AA779" s="2" t="n">
        <v>3530.12</v>
      </c>
      <c r="AB779" s="2" t="n">
        <v>1535</v>
      </c>
      <c r="AC779" s="2" t="n">
        <f aca="false">Y779-AA779</f>
        <v>1534.996</v>
      </c>
      <c r="AD779" s="2" t="str">
        <f aca="false">IF(ABS(AB779-AC779)&gt;1,"Mismatch","OK")</f>
        <v>OK</v>
      </c>
      <c r="AE779" s="4" t="n">
        <f aca="false">IF(Y779=0,0,AC779/Y779)</f>
        <v>0.303052486853213</v>
      </c>
      <c r="AF779" s="2" t="s">
        <v>175</v>
      </c>
      <c r="AG779" s="2" t="s">
        <v>88</v>
      </c>
      <c r="AH779" s="2" t="str">
        <f aca="false">IF(AND(AG779="Completed",AF779&lt;&gt;"Paid"),"Inconsistent","OK")</f>
        <v>OK</v>
      </c>
      <c r="AI779" s="2" t="n">
        <f aca="false">IF(OR(ISBLANK(B779),ISBLANK(C779)),"",C779-B779)</f>
        <v>2</v>
      </c>
      <c r="AJ779" s="2" t="str">
        <f aca="false">IF(AI779="","Unknown",IF(AI779&lt;0,"Invalid","OK"))</f>
        <v>OK</v>
      </c>
      <c r="AK779" s="2" t="str">
        <f aca="false">IF(ISBLANK(B779),"",TEXT(B779,"mmm"))</f>
        <v>Feb</v>
      </c>
      <c r="AL779" s="2" t="n">
        <f aca="false">IF(ISBLANK(B779),"",YEAR(B779))</f>
        <v>2024</v>
      </c>
      <c r="AM779" s="2" t="s">
        <v>41</v>
      </c>
      <c r="AN779" s="2" t="str">
        <f aca="false">IF(OR(W779="Invalid",AJ779="Invalid",AH779="Inconsistent",Z779="Mismatch",AD779="Mismatch",AM779="Yes",D779="Yes",E779="Yes"),"Invalid",IF(OR(J779="Yes",Q779="Yes",U779="Yes"),"Warning","Clean"))</f>
        <v>Clean</v>
      </c>
    </row>
    <row r="780" customFormat="false" ht="15" hidden="false" customHeight="false" outlineLevel="0" collapsed="false">
      <c r="A780" s="2" t="s">
        <v>2434</v>
      </c>
      <c r="B780" s="3" t="n">
        <v>45497</v>
      </c>
      <c r="C780" s="3" t="n">
        <v>45497</v>
      </c>
      <c r="D780" s="2" t="s">
        <v>41</v>
      </c>
      <c r="E780" s="2" t="s">
        <v>41</v>
      </c>
      <c r="F780" s="2" t="s">
        <v>2435</v>
      </c>
      <c r="G780" s="2" t="s">
        <v>43</v>
      </c>
      <c r="H780" s="2" t="s">
        <v>57</v>
      </c>
      <c r="I780" s="2" t="s">
        <v>45</v>
      </c>
      <c r="J780" s="2" t="s">
        <v>41</v>
      </c>
      <c r="K780" s="2" t="s">
        <v>258</v>
      </c>
      <c r="L780" s="2" t="s">
        <v>259</v>
      </c>
      <c r="M780" s="2" t="s">
        <v>94</v>
      </c>
      <c r="N780" s="2" t="s">
        <v>100</v>
      </c>
      <c r="O780" s="2" t="s">
        <v>2436</v>
      </c>
      <c r="P780" s="2" t="s">
        <v>51</v>
      </c>
      <c r="Q780" s="2" t="s">
        <v>41</v>
      </c>
      <c r="R780" s="2" t="n">
        <v>4</v>
      </c>
      <c r="S780" s="2" t="n">
        <v>1676.88</v>
      </c>
      <c r="T780" s="2" t="n">
        <v>0</v>
      </c>
      <c r="U780" s="2" t="str">
        <f aca="false">IF(ISBLANK(T780),"Yes","No")</f>
        <v>No</v>
      </c>
      <c r="V780" s="2" t="n">
        <f aca="false">IF(ISBLANK(T780),0,IF(ISNUMBER(T780),T780,VALUE(LEFT(T780,LEN(T780)-1))/100))</f>
        <v>0</v>
      </c>
      <c r="W780" s="2" t="str">
        <f aca="false">IF(AND(V780&gt;=0,V780&lt;=0.25),"Valid","Invalid")</f>
        <v>Valid</v>
      </c>
      <c r="X780" s="2" t="n">
        <v>6707.52</v>
      </c>
      <c r="Y780" s="2" t="n">
        <f aca="false">R780*S780*(1-V780)</f>
        <v>6707.52</v>
      </c>
      <c r="Z780" s="2" t="str">
        <f aca="false">IF(ABS(X780-Y780)&gt;1,"Mismatch","OK")</f>
        <v>OK</v>
      </c>
      <c r="AA780" s="2" t="n">
        <v>5672.57</v>
      </c>
      <c r="AB780" s="2" t="n">
        <v>1034.95</v>
      </c>
      <c r="AC780" s="2" t="n">
        <f aca="false">Y780-AA780</f>
        <v>1034.95</v>
      </c>
      <c r="AD780" s="2" t="str">
        <f aca="false">IF(ABS(AB780-AC780)&gt;1,"Mismatch","OK")</f>
        <v>OK</v>
      </c>
      <c r="AE780" s="4" t="n">
        <f aca="false">IF(Y780=0,0,AC780/Y780)</f>
        <v>0.154296968178999</v>
      </c>
      <c r="AF780" s="2" t="s">
        <v>52</v>
      </c>
      <c r="AG780" s="2" t="s">
        <v>53</v>
      </c>
      <c r="AH780" s="2" t="str">
        <f aca="false">IF(AND(AG780="Completed",AF780&lt;&gt;"Paid"),"Inconsistent","OK")</f>
        <v>OK</v>
      </c>
      <c r="AI780" s="2" t="n">
        <f aca="false">IF(OR(ISBLANK(B780),ISBLANK(C780)),"",C780-B780)</f>
        <v>0</v>
      </c>
      <c r="AJ780" s="2" t="str">
        <f aca="false">IF(AI780="","Unknown",IF(AI780&lt;0,"Invalid","OK"))</f>
        <v>OK</v>
      </c>
      <c r="AK780" s="2" t="str">
        <f aca="false">IF(ISBLANK(B780),"",TEXT(B780,"mmm"))</f>
        <v>Jul</v>
      </c>
      <c r="AL780" s="2" t="n">
        <f aca="false">IF(ISBLANK(B780),"",YEAR(B780))</f>
        <v>2024</v>
      </c>
      <c r="AM780" s="2" t="s">
        <v>41</v>
      </c>
      <c r="AN780" s="2" t="str">
        <f aca="false">IF(OR(W780="Invalid",AJ780="Invalid",AH780="Inconsistent",Z780="Mismatch",AD780="Mismatch",AM780="Yes",D780="Yes",E780="Yes"),"Invalid",IF(OR(J780="Yes",Q780="Yes",U780="Yes"),"Warning","Clean"))</f>
        <v>Clean</v>
      </c>
    </row>
    <row r="781" customFormat="false" ht="15" hidden="false" customHeight="false" outlineLevel="0" collapsed="false">
      <c r="A781" s="2" t="s">
        <v>2437</v>
      </c>
      <c r="B781" s="3" t="n">
        <v>45306</v>
      </c>
      <c r="C781" s="3" t="n">
        <v>45311</v>
      </c>
      <c r="D781" s="2" t="s">
        <v>41</v>
      </c>
      <c r="E781" s="2" t="s">
        <v>41</v>
      </c>
      <c r="F781" s="2" t="s">
        <v>2438</v>
      </c>
      <c r="G781" s="2" t="s">
        <v>134</v>
      </c>
      <c r="H781" s="2" t="s">
        <v>57</v>
      </c>
      <c r="I781" s="2" t="s">
        <v>74</v>
      </c>
      <c r="J781" s="2" t="s">
        <v>41</v>
      </c>
      <c r="K781" s="2" t="s">
        <v>104</v>
      </c>
      <c r="L781" s="2" t="s">
        <v>105</v>
      </c>
      <c r="M781" s="2" t="s">
        <v>61</v>
      </c>
      <c r="N781" s="2" t="s">
        <v>86</v>
      </c>
      <c r="O781" s="2" t="s">
        <v>2439</v>
      </c>
      <c r="P781" s="2" t="s">
        <v>79</v>
      </c>
      <c r="Q781" s="2" t="s">
        <v>41</v>
      </c>
      <c r="R781" s="2" t="n">
        <v>4</v>
      </c>
      <c r="S781" s="2" t="n">
        <v>3153.54</v>
      </c>
      <c r="T781" s="2" t="n">
        <v>0.05</v>
      </c>
      <c r="U781" s="2" t="str">
        <f aca="false">IF(ISBLANK(T781),"Yes","No")</f>
        <v>No</v>
      </c>
      <c r="V781" s="2" t="n">
        <f aca="false">IF(ISBLANK(T781),0,IF(ISNUMBER(T781),T781,VALUE(LEFT(T781,LEN(T781)-1))/100))</f>
        <v>0.05</v>
      </c>
      <c r="W781" s="2" t="str">
        <f aca="false">IF(AND(V781&gt;=0,V781&lt;=0.25),"Valid","Invalid")</f>
        <v>Valid</v>
      </c>
      <c r="X781" s="2" t="n">
        <v>11983.45</v>
      </c>
      <c r="Y781" s="2" t="n">
        <f aca="false">R781*S781*(1-V781)</f>
        <v>11983.452</v>
      </c>
      <c r="Z781" s="2" t="str">
        <f aca="false">IF(ABS(X781-Y781)&gt;1,"Mismatch","OK")</f>
        <v>OK</v>
      </c>
      <c r="AA781" s="2" t="n">
        <v>8572.9</v>
      </c>
      <c r="AB781" s="2" t="n">
        <v>3410.55</v>
      </c>
      <c r="AC781" s="2" t="n">
        <f aca="false">Y781-AA781</f>
        <v>3410.552</v>
      </c>
      <c r="AD781" s="2" t="str">
        <f aca="false">IF(ABS(AB781-AC781)&gt;1,"Mismatch","OK")</f>
        <v>OK</v>
      </c>
      <c r="AE781" s="4" t="n">
        <f aca="false">IF(Y781=0,0,AC781/Y781)</f>
        <v>0.284605137150798</v>
      </c>
      <c r="AF781" s="2" t="s">
        <v>52</v>
      </c>
      <c r="AG781" s="2" t="s">
        <v>53</v>
      </c>
      <c r="AH781" s="2" t="str">
        <f aca="false">IF(AND(AG781="Completed",AF781&lt;&gt;"Paid"),"Inconsistent","OK")</f>
        <v>OK</v>
      </c>
      <c r="AI781" s="2" t="n">
        <f aca="false">IF(OR(ISBLANK(B781),ISBLANK(C781)),"",C781-B781)</f>
        <v>5</v>
      </c>
      <c r="AJ781" s="2" t="str">
        <f aca="false">IF(AI781="","Unknown",IF(AI781&lt;0,"Invalid","OK"))</f>
        <v>OK</v>
      </c>
      <c r="AK781" s="2" t="str">
        <f aca="false">IF(ISBLANK(B781),"",TEXT(B781,"mmm"))</f>
        <v>Jan</v>
      </c>
      <c r="AL781" s="2" t="n">
        <f aca="false">IF(ISBLANK(B781),"",YEAR(B781))</f>
        <v>2024</v>
      </c>
      <c r="AM781" s="2" t="s">
        <v>41</v>
      </c>
      <c r="AN781" s="2" t="str">
        <f aca="false">IF(OR(W781="Invalid",AJ781="Invalid",AH781="Inconsistent",Z781="Mismatch",AD781="Mismatch",AM781="Yes",D781="Yes",E781="Yes"),"Invalid",IF(OR(J781="Yes",Q781="Yes",U781="Yes"),"Warning","Clean"))</f>
        <v>Clean</v>
      </c>
    </row>
    <row r="782" customFormat="false" ht="15" hidden="false" customHeight="false" outlineLevel="0" collapsed="false">
      <c r="A782" s="2" t="s">
        <v>2440</v>
      </c>
      <c r="B782" s="3" t="n">
        <v>45508</v>
      </c>
      <c r="C782" s="3" t="n">
        <v>45514</v>
      </c>
      <c r="D782" s="2" t="s">
        <v>41</v>
      </c>
      <c r="E782" s="2" t="s">
        <v>41</v>
      </c>
      <c r="F782" s="2" t="s">
        <v>2441</v>
      </c>
      <c r="G782" s="2" t="s">
        <v>182</v>
      </c>
      <c r="H782" s="2" t="s">
        <v>57</v>
      </c>
      <c r="I782" s="2" t="s">
        <v>83</v>
      </c>
      <c r="J782" s="2" t="s">
        <v>41</v>
      </c>
      <c r="K782" s="2" t="s">
        <v>46</v>
      </c>
      <c r="L782" s="2" t="s">
        <v>129</v>
      </c>
      <c r="M782" s="2" t="s">
        <v>61</v>
      </c>
      <c r="N782" s="2" t="s">
        <v>86</v>
      </c>
      <c r="O782" s="2" t="s">
        <v>2442</v>
      </c>
      <c r="P782" s="2" t="s">
        <v>64</v>
      </c>
      <c r="Q782" s="2" t="s">
        <v>41</v>
      </c>
      <c r="R782" s="2" t="n">
        <v>4</v>
      </c>
      <c r="S782" s="2" t="n">
        <v>426.43</v>
      </c>
      <c r="T782" s="2" t="n">
        <v>0.2</v>
      </c>
      <c r="U782" s="2" t="str">
        <f aca="false">IF(ISBLANK(T782),"Yes","No")</f>
        <v>No</v>
      </c>
      <c r="V782" s="2" t="n">
        <f aca="false">IF(ISBLANK(T782),0,IF(ISNUMBER(T782),T782,VALUE(LEFT(T782,LEN(T782)-1))/100))</f>
        <v>0.2</v>
      </c>
      <c r="W782" s="2" t="str">
        <f aca="false">IF(AND(V782&gt;=0,V782&lt;=0.25),"Valid","Invalid")</f>
        <v>Valid</v>
      </c>
      <c r="X782" s="2" t="n">
        <v>1364.58</v>
      </c>
      <c r="Y782" s="2" t="n">
        <f aca="false">R782*S782*(1-V782)</f>
        <v>1364.576</v>
      </c>
      <c r="Z782" s="2" t="str">
        <f aca="false">IF(ABS(X782-Y782)&gt;1,"Mismatch","OK")</f>
        <v>OK</v>
      </c>
      <c r="AA782" s="2" t="n">
        <v>978.16</v>
      </c>
      <c r="AB782" s="2" t="n">
        <v>386.42</v>
      </c>
      <c r="AC782" s="2" t="n">
        <f aca="false">Y782-AA782</f>
        <v>386.416</v>
      </c>
      <c r="AD782" s="2" t="str">
        <f aca="false">IF(ABS(AB782-AC782)&gt;1,"Mismatch","OK")</f>
        <v>OK</v>
      </c>
      <c r="AE782" s="4" t="n">
        <f aca="false">IF(Y782=0,0,AC782/Y782)</f>
        <v>0.283176605773515</v>
      </c>
      <c r="AF782" s="2" t="s">
        <v>52</v>
      </c>
      <c r="AG782" s="2" t="s">
        <v>53</v>
      </c>
      <c r="AH782" s="2" t="str">
        <f aca="false">IF(AND(AG782="Completed",AF782&lt;&gt;"Paid"),"Inconsistent","OK")</f>
        <v>OK</v>
      </c>
      <c r="AI782" s="2" t="n">
        <f aca="false">IF(OR(ISBLANK(B782),ISBLANK(C782)),"",C782-B782)</f>
        <v>6</v>
      </c>
      <c r="AJ782" s="2" t="str">
        <f aca="false">IF(AI782="","Unknown",IF(AI782&lt;0,"Invalid","OK"))</f>
        <v>OK</v>
      </c>
      <c r="AK782" s="2" t="str">
        <f aca="false">IF(ISBLANK(B782),"",TEXT(B782,"mmm"))</f>
        <v>Aug</v>
      </c>
      <c r="AL782" s="2" t="n">
        <f aca="false">IF(ISBLANK(B782),"",YEAR(B782))</f>
        <v>2024</v>
      </c>
      <c r="AM782" s="2" t="s">
        <v>41</v>
      </c>
      <c r="AN782" s="2" t="str">
        <f aca="false">IF(OR(W782="Invalid",AJ782="Invalid",AH782="Inconsistent",Z782="Mismatch",AD782="Mismatch",AM782="Yes",D782="Yes",E782="Yes"),"Invalid",IF(OR(J782="Yes",Q782="Yes",U782="Yes"),"Warning","Clean"))</f>
        <v>Clean</v>
      </c>
    </row>
    <row r="783" customFormat="false" ht="15" hidden="false" customHeight="false" outlineLevel="0" collapsed="false">
      <c r="A783" s="2" t="s">
        <v>2443</v>
      </c>
      <c r="B783" s="3" t="n">
        <v>45324</v>
      </c>
      <c r="C783" s="3" t="n">
        <v>45332</v>
      </c>
      <c r="D783" s="2" t="s">
        <v>41</v>
      </c>
      <c r="E783" s="2" t="s">
        <v>41</v>
      </c>
      <c r="F783" s="2" t="s">
        <v>2444</v>
      </c>
      <c r="G783" s="2" t="s">
        <v>43</v>
      </c>
      <c r="H783" s="2" t="s">
        <v>115</v>
      </c>
      <c r="I783" s="2" t="s">
        <v>83</v>
      </c>
      <c r="J783" s="2" t="s">
        <v>41</v>
      </c>
      <c r="K783" s="2" t="s">
        <v>46</v>
      </c>
      <c r="L783" s="2" t="s">
        <v>129</v>
      </c>
      <c r="M783" s="2" t="s">
        <v>48</v>
      </c>
      <c r="N783" s="2" t="s">
        <v>111</v>
      </c>
      <c r="O783" s="2" t="s">
        <v>2445</v>
      </c>
      <c r="P783" s="2" t="s">
        <v>70</v>
      </c>
      <c r="Q783" s="2" t="s">
        <v>41</v>
      </c>
      <c r="R783" s="2" t="n">
        <v>3</v>
      </c>
      <c r="S783" s="2" t="n">
        <v>383.4</v>
      </c>
      <c r="T783" s="2" t="n">
        <v>0.25</v>
      </c>
      <c r="U783" s="2" t="str">
        <f aca="false">IF(ISBLANK(T783),"Yes","No")</f>
        <v>No</v>
      </c>
      <c r="V783" s="2" t="n">
        <f aca="false">IF(ISBLANK(T783),0,IF(ISNUMBER(T783),T783,VALUE(LEFT(T783,LEN(T783)-1))/100))</f>
        <v>0.25</v>
      </c>
      <c r="W783" s="2" t="str">
        <f aca="false">IF(AND(V783&gt;=0,V783&lt;=0.25),"Valid","Invalid")</f>
        <v>Valid</v>
      </c>
      <c r="X783" s="2" t="n">
        <v>862.65</v>
      </c>
      <c r="Y783" s="2" t="n">
        <f aca="false">R783*S783*(1-V783)</f>
        <v>862.65</v>
      </c>
      <c r="Z783" s="2" t="str">
        <f aca="false">IF(ABS(X783-Y783)&gt;1,"Mismatch","OK")</f>
        <v>OK</v>
      </c>
      <c r="AA783" s="2" t="n">
        <v>603.73</v>
      </c>
      <c r="AB783" s="2" t="n">
        <v>258.92</v>
      </c>
      <c r="AC783" s="2" t="n">
        <f aca="false">Y783-AA783</f>
        <v>258.92</v>
      </c>
      <c r="AD783" s="2" t="str">
        <f aca="false">IF(ABS(AB783-AC783)&gt;1,"Mismatch","OK")</f>
        <v>OK</v>
      </c>
      <c r="AE783" s="4" t="n">
        <f aca="false">IF(Y783=0,0,AC783/Y783)</f>
        <v>0.300144902335826</v>
      </c>
      <c r="AF783" s="2" t="s">
        <v>131</v>
      </c>
      <c r="AG783" s="2" t="s">
        <v>123</v>
      </c>
      <c r="AH783" s="2" t="str">
        <f aca="false">IF(AND(AG783="Completed",AF783&lt;&gt;"Paid"),"Inconsistent","OK")</f>
        <v>OK</v>
      </c>
      <c r="AI783" s="2" t="n">
        <f aca="false">IF(OR(ISBLANK(B783),ISBLANK(C783)),"",C783-B783)</f>
        <v>8</v>
      </c>
      <c r="AJ783" s="2" t="str">
        <f aca="false">IF(AI783="","Unknown",IF(AI783&lt;0,"Invalid","OK"))</f>
        <v>OK</v>
      </c>
      <c r="AK783" s="2" t="str">
        <f aca="false">IF(ISBLANK(B783),"",TEXT(B783,"mmm"))</f>
        <v>Feb</v>
      </c>
      <c r="AL783" s="2" t="n">
        <f aca="false">IF(ISBLANK(B783),"",YEAR(B783))</f>
        <v>2024</v>
      </c>
      <c r="AM783" s="2" t="s">
        <v>41</v>
      </c>
      <c r="AN783" s="2" t="str">
        <f aca="false">IF(OR(W783="Invalid",AJ783="Invalid",AH783="Inconsistent",Z783="Mismatch",AD783="Mismatch",AM783="Yes",D783="Yes",E783="Yes"),"Invalid",IF(OR(J783="Yes",Q783="Yes",U783="Yes"),"Warning","Clean"))</f>
        <v>Clean</v>
      </c>
    </row>
    <row r="784" customFormat="false" ht="15" hidden="false" customHeight="false" outlineLevel="0" collapsed="false">
      <c r="A784" s="2" t="s">
        <v>2446</v>
      </c>
      <c r="B784" s="3" t="n">
        <v>45730</v>
      </c>
      <c r="C784" s="3" t="n">
        <v>45738</v>
      </c>
      <c r="D784" s="2" t="s">
        <v>41</v>
      </c>
      <c r="E784" s="2" t="s">
        <v>41</v>
      </c>
      <c r="F784" s="2" t="s">
        <v>2447</v>
      </c>
      <c r="G784" s="2" t="s">
        <v>56</v>
      </c>
      <c r="H784" s="2" t="s">
        <v>110</v>
      </c>
      <c r="I784" s="2" t="s">
        <v>58</v>
      </c>
      <c r="J784" s="2" t="s">
        <v>41</v>
      </c>
      <c r="K784" s="2" t="s">
        <v>119</v>
      </c>
      <c r="L784" s="2" t="s">
        <v>120</v>
      </c>
      <c r="M784" s="2" t="s">
        <v>94</v>
      </c>
      <c r="N784" s="2" t="s">
        <v>100</v>
      </c>
      <c r="O784" s="2" t="s">
        <v>2448</v>
      </c>
      <c r="P784" s="2" t="s">
        <v>79</v>
      </c>
      <c r="Q784" s="2" t="s">
        <v>41</v>
      </c>
      <c r="R784" s="2" t="n">
        <v>2</v>
      </c>
      <c r="S784" s="2" t="n">
        <v>669.63</v>
      </c>
      <c r="T784" s="2" t="n">
        <v>0.15</v>
      </c>
      <c r="U784" s="2" t="str">
        <f aca="false">IF(ISBLANK(T784),"Yes","No")</f>
        <v>No</v>
      </c>
      <c r="V784" s="2" t="n">
        <f aca="false">IF(ISBLANK(T784),0,IF(ISNUMBER(T784),T784,VALUE(LEFT(T784,LEN(T784)-1))/100))</f>
        <v>0.15</v>
      </c>
      <c r="W784" s="2" t="str">
        <f aca="false">IF(AND(V784&gt;=0,V784&lt;=0.25),"Valid","Invalid")</f>
        <v>Valid</v>
      </c>
      <c r="X784" s="2" t="n">
        <v>1138.37</v>
      </c>
      <c r="Y784" s="2" t="n">
        <f aca="false">R784*S784*(1-V784)</f>
        <v>1138.371</v>
      </c>
      <c r="Z784" s="2" t="str">
        <f aca="false">IF(ABS(X784-Y784)&gt;1,"Mismatch","OK")</f>
        <v>OK</v>
      </c>
      <c r="AA784" s="2" t="n">
        <v>797.34</v>
      </c>
      <c r="AB784" s="2" t="n">
        <v>341.03</v>
      </c>
      <c r="AC784" s="2" t="n">
        <f aca="false">Y784-AA784</f>
        <v>341.031</v>
      </c>
      <c r="AD784" s="2" t="str">
        <f aca="false">IF(ABS(AB784-AC784)&gt;1,"Mismatch","OK")</f>
        <v>OK</v>
      </c>
      <c r="AE784" s="4" t="n">
        <f aca="false">IF(Y784=0,0,AC784/Y784)</f>
        <v>0.299578081310926</v>
      </c>
      <c r="AF784" s="2" t="s">
        <v>52</v>
      </c>
      <c r="AG784" s="2" t="s">
        <v>53</v>
      </c>
      <c r="AH784" s="2" t="str">
        <f aca="false">IF(AND(AG784="Completed",AF784&lt;&gt;"Paid"),"Inconsistent","OK")</f>
        <v>OK</v>
      </c>
      <c r="AI784" s="2" t="n">
        <f aca="false">IF(OR(ISBLANK(B784),ISBLANK(C784)),"",C784-B784)</f>
        <v>8</v>
      </c>
      <c r="AJ784" s="2" t="str">
        <f aca="false">IF(AI784="","Unknown",IF(AI784&lt;0,"Invalid","OK"))</f>
        <v>OK</v>
      </c>
      <c r="AK784" s="2" t="str">
        <f aca="false">IF(ISBLANK(B784),"",TEXT(B784,"mmm"))</f>
        <v>Mar</v>
      </c>
      <c r="AL784" s="2" t="n">
        <f aca="false">IF(ISBLANK(B784),"",YEAR(B784))</f>
        <v>2025</v>
      </c>
      <c r="AM784" s="2" t="s">
        <v>41</v>
      </c>
      <c r="AN784" s="2" t="str">
        <f aca="false">IF(OR(W784="Invalid",AJ784="Invalid",AH784="Inconsistent",Z784="Mismatch",AD784="Mismatch",AM784="Yes",D784="Yes",E784="Yes"),"Invalid",IF(OR(J784="Yes",Q784="Yes",U784="Yes"),"Warning","Clean"))</f>
        <v>Clean</v>
      </c>
    </row>
    <row r="785" customFormat="false" ht="15" hidden="false" customHeight="false" outlineLevel="0" collapsed="false">
      <c r="A785" s="2" t="s">
        <v>2449</v>
      </c>
      <c r="B785" s="3" t="n">
        <v>45450</v>
      </c>
      <c r="C785" s="3" t="n">
        <v>45450</v>
      </c>
      <c r="D785" s="2" t="s">
        <v>41</v>
      </c>
      <c r="E785" s="2" t="s">
        <v>41</v>
      </c>
      <c r="F785" s="2" t="s">
        <v>2450</v>
      </c>
      <c r="G785" s="2" t="s">
        <v>148</v>
      </c>
      <c r="H785" s="2" t="s">
        <v>57</v>
      </c>
      <c r="I785" s="2" t="s">
        <v>58</v>
      </c>
      <c r="J785" s="2" t="s">
        <v>41</v>
      </c>
      <c r="K785" s="2" t="s">
        <v>165</v>
      </c>
      <c r="L785" s="2" t="s">
        <v>166</v>
      </c>
      <c r="M785" s="2" t="s">
        <v>48</v>
      </c>
      <c r="N785" s="2" t="s">
        <v>68</v>
      </c>
      <c r="O785" s="2" t="s">
        <v>2451</v>
      </c>
      <c r="P785" s="2" t="s">
        <v>51</v>
      </c>
      <c r="Q785" s="2" t="s">
        <v>41</v>
      </c>
      <c r="R785" s="2" t="n">
        <v>1</v>
      </c>
      <c r="S785" s="2" t="n">
        <v>2581.93</v>
      </c>
      <c r="T785" s="2" t="n">
        <v>0.05</v>
      </c>
      <c r="U785" s="2" t="str">
        <f aca="false">IF(ISBLANK(T785),"Yes","No")</f>
        <v>No</v>
      </c>
      <c r="V785" s="2" t="n">
        <f aca="false">IF(ISBLANK(T785),0,IF(ISNUMBER(T785),T785,VALUE(LEFT(T785,LEN(T785)-1))/100))</f>
        <v>0.05</v>
      </c>
      <c r="W785" s="2" t="str">
        <f aca="false">IF(AND(V785&gt;=0,V785&lt;=0.25),"Valid","Invalid")</f>
        <v>Valid</v>
      </c>
      <c r="X785" s="2" t="n">
        <v>2452.83</v>
      </c>
      <c r="Y785" s="2" t="n">
        <f aca="false">R785*S785*(1-V785)</f>
        <v>2452.8335</v>
      </c>
      <c r="Z785" s="2" t="str">
        <f aca="false">IF(ABS(X785-Y785)&gt;1,"Mismatch","OK")</f>
        <v>OK</v>
      </c>
      <c r="AA785" s="2" t="n">
        <v>1906.7</v>
      </c>
      <c r="AB785" s="2" t="n">
        <v>546.13</v>
      </c>
      <c r="AC785" s="2" t="n">
        <f aca="false">Y785-AA785</f>
        <v>546.1335</v>
      </c>
      <c r="AD785" s="2" t="str">
        <f aca="false">IF(ABS(AB785-AC785)&gt;1,"Mismatch","OK")</f>
        <v>OK</v>
      </c>
      <c r="AE785" s="4" t="n">
        <f aca="false">IF(Y785=0,0,AC785/Y785)</f>
        <v>0.222654126340006</v>
      </c>
      <c r="AF785" s="2" t="s">
        <v>52</v>
      </c>
      <c r="AG785" s="2" t="s">
        <v>53</v>
      </c>
      <c r="AH785" s="2" t="str">
        <f aca="false">IF(AND(AG785="Completed",AF785&lt;&gt;"Paid"),"Inconsistent","OK")</f>
        <v>OK</v>
      </c>
      <c r="AI785" s="2" t="n">
        <f aca="false">IF(OR(ISBLANK(B785),ISBLANK(C785)),"",C785-B785)</f>
        <v>0</v>
      </c>
      <c r="AJ785" s="2" t="str">
        <f aca="false">IF(AI785="","Unknown",IF(AI785&lt;0,"Invalid","OK"))</f>
        <v>OK</v>
      </c>
      <c r="AK785" s="2" t="str">
        <f aca="false">IF(ISBLANK(B785),"",TEXT(B785,"mmm"))</f>
        <v>Jun</v>
      </c>
      <c r="AL785" s="2" t="n">
        <f aca="false">IF(ISBLANK(B785),"",YEAR(B785))</f>
        <v>2024</v>
      </c>
      <c r="AM785" s="2" t="s">
        <v>41</v>
      </c>
      <c r="AN785" s="2" t="str">
        <f aca="false">IF(OR(W785="Invalid",AJ785="Invalid",AH785="Inconsistent",Z785="Mismatch",AD785="Mismatch",AM785="Yes",D785="Yes",E785="Yes"),"Invalid",IF(OR(J785="Yes",Q785="Yes",U785="Yes"),"Warning","Clean"))</f>
        <v>Clean</v>
      </c>
    </row>
    <row r="786" customFormat="false" ht="15" hidden="false" customHeight="false" outlineLevel="0" collapsed="false">
      <c r="A786" s="2" t="s">
        <v>2452</v>
      </c>
      <c r="B786" s="3" t="n">
        <v>45934</v>
      </c>
      <c r="C786" s="3" t="n">
        <v>45935</v>
      </c>
      <c r="D786" s="2" t="s">
        <v>41</v>
      </c>
      <c r="E786" s="2" t="s">
        <v>41</v>
      </c>
      <c r="F786" s="2" t="s">
        <v>2453</v>
      </c>
      <c r="G786" s="2" t="s">
        <v>134</v>
      </c>
      <c r="H786" s="2" t="s">
        <v>110</v>
      </c>
      <c r="I786" s="2" t="s">
        <v>45</v>
      </c>
      <c r="J786" s="2" t="s">
        <v>41</v>
      </c>
      <c r="K786" s="2" t="s">
        <v>142</v>
      </c>
      <c r="L786" s="2" t="s">
        <v>143</v>
      </c>
      <c r="M786" s="2" t="s">
        <v>94</v>
      </c>
      <c r="N786" s="2" t="s">
        <v>100</v>
      </c>
      <c r="O786" s="2" t="s">
        <v>2454</v>
      </c>
      <c r="P786" s="2" t="s">
        <v>70</v>
      </c>
      <c r="Q786" s="2" t="s">
        <v>41</v>
      </c>
      <c r="R786" s="2" t="n">
        <v>4</v>
      </c>
      <c r="S786" s="2" t="n">
        <v>418.18</v>
      </c>
      <c r="T786" s="2" t="n">
        <v>0.05</v>
      </c>
      <c r="U786" s="2" t="str">
        <f aca="false">IF(ISBLANK(T786),"Yes","No")</f>
        <v>No</v>
      </c>
      <c r="V786" s="2" t="n">
        <f aca="false">IF(ISBLANK(T786),0,IF(ISNUMBER(T786),T786,VALUE(LEFT(T786,LEN(T786)-1))/100))</f>
        <v>0.05</v>
      </c>
      <c r="W786" s="2" t="str">
        <f aca="false">IF(AND(V786&gt;=0,V786&lt;=0.25),"Valid","Invalid")</f>
        <v>Valid</v>
      </c>
      <c r="X786" s="2" t="n">
        <v>1589.08</v>
      </c>
      <c r="Y786" s="2" t="n">
        <f aca="false">R786*S786*(1-V786)</f>
        <v>1589.084</v>
      </c>
      <c r="Z786" s="2" t="str">
        <f aca="false">IF(ABS(X786-Y786)&gt;1,"Mismatch","OK")</f>
        <v>OK</v>
      </c>
      <c r="AA786" s="2" t="n">
        <v>1084.66</v>
      </c>
      <c r="AB786" s="2" t="n">
        <v>504.42</v>
      </c>
      <c r="AC786" s="2" t="n">
        <f aca="false">Y786-AA786</f>
        <v>504.424</v>
      </c>
      <c r="AD786" s="2" t="str">
        <f aca="false">IF(ABS(AB786-AC786)&gt;1,"Mismatch","OK")</f>
        <v>OK</v>
      </c>
      <c r="AE786" s="4" t="n">
        <f aca="false">IF(Y786=0,0,AC786/Y786)</f>
        <v>0.3174306707512</v>
      </c>
      <c r="AF786" s="2" t="s">
        <v>52</v>
      </c>
      <c r="AG786" s="2" t="s">
        <v>53</v>
      </c>
      <c r="AH786" s="2" t="str">
        <f aca="false">IF(AND(AG786="Completed",AF786&lt;&gt;"Paid"),"Inconsistent","OK")</f>
        <v>OK</v>
      </c>
      <c r="AI786" s="2" t="n">
        <f aca="false">IF(OR(ISBLANK(B786),ISBLANK(C786)),"",C786-B786)</f>
        <v>1</v>
      </c>
      <c r="AJ786" s="2" t="str">
        <f aca="false">IF(AI786="","Unknown",IF(AI786&lt;0,"Invalid","OK"))</f>
        <v>OK</v>
      </c>
      <c r="AK786" s="2" t="str">
        <f aca="false">IF(ISBLANK(B786),"",TEXT(B786,"mmm"))</f>
        <v>Oct</v>
      </c>
      <c r="AL786" s="2" t="n">
        <f aca="false">IF(ISBLANK(B786),"",YEAR(B786))</f>
        <v>2025</v>
      </c>
      <c r="AM786" s="2" t="s">
        <v>41</v>
      </c>
      <c r="AN786" s="2" t="str">
        <f aca="false">IF(OR(W786="Invalid",AJ786="Invalid",AH786="Inconsistent",Z786="Mismatch",AD786="Mismatch",AM786="Yes",D786="Yes",E786="Yes"),"Invalid",IF(OR(J786="Yes",Q786="Yes",U786="Yes"),"Warning","Clean"))</f>
        <v>Clean</v>
      </c>
    </row>
    <row r="787" customFormat="false" ht="15" hidden="false" customHeight="false" outlineLevel="0" collapsed="false">
      <c r="A787" s="2" t="s">
        <v>2455</v>
      </c>
      <c r="B787" s="3" t="n">
        <v>45435</v>
      </c>
      <c r="C787" s="3" t="n">
        <v>45441</v>
      </c>
      <c r="D787" s="2" t="s">
        <v>41</v>
      </c>
      <c r="E787" s="2" t="s">
        <v>41</v>
      </c>
      <c r="F787" s="2" t="s">
        <v>2456</v>
      </c>
      <c r="G787" s="2" t="s">
        <v>182</v>
      </c>
      <c r="H787" s="2" t="s">
        <v>57</v>
      </c>
      <c r="I787" s="2" t="s">
        <v>45</v>
      </c>
      <c r="J787" s="2" t="s">
        <v>41</v>
      </c>
      <c r="K787" s="2" t="s">
        <v>258</v>
      </c>
      <c r="L787" s="2" t="s">
        <v>259</v>
      </c>
      <c r="M787" s="2" t="s">
        <v>48</v>
      </c>
      <c r="N787" s="2" t="s">
        <v>144</v>
      </c>
      <c r="O787" s="2" t="s">
        <v>2457</v>
      </c>
      <c r="P787" s="2" t="s">
        <v>64</v>
      </c>
      <c r="Q787" s="2" t="s">
        <v>41</v>
      </c>
      <c r="R787" s="2" t="n">
        <v>2</v>
      </c>
      <c r="S787" s="2" t="n">
        <v>3012.94</v>
      </c>
      <c r="T787" s="2" t="n">
        <v>0.25</v>
      </c>
      <c r="U787" s="2" t="str">
        <f aca="false">IF(ISBLANK(T787),"Yes","No")</f>
        <v>No</v>
      </c>
      <c r="V787" s="2" t="n">
        <f aca="false">IF(ISBLANK(T787),0,IF(ISNUMBER(T787),T787,VALUE(LEFT(T787,LEN(T787)-1))/100))</f>
        <v>0.25</v>
      </c>
      <c r="W787" s="2" t="str">
        <f aca="false">IF(AND(V787&gt;=0,V787&lt;=0.25),"Valid","Invalid")</f>
        <v>Valid</v>
      </c>
      <c r="X787" s="2" t="n">
        <v>4519.41</v>
      </c>
      <c r="Y787" s="2" t="n">
        <f aca="false">R787*S787*(1-V787)</f>
        <v>4519.41</v>
      </c>
      <c r="Z787" s="2" t="str">
        <f aca="false">IF(ABS(X787-Y787)&gt;1,"Mismatch","OK")</f>
        <v>OK</v>
      </c>
      <c r="AA787" s="2" t="n">
        <v>3504.16</v>
      </c>
      <c r="AB787" s="2" t="n">
        <v>1275.55</v>
      </c>
      <c r="AC787" s="2" t="n">
        <f aca="false">Y787-AA787</f>
        <v>1015.25</v>
      </c>
      <c r="AD787" s="2" t="str">
        <f aca="false">IF(ABS(AB787-AC787)&gt;1,"Mismatch","OK")</f>
        <v>Mismatch</v>
      </c>
      <c r="AE787" s="4" t="n">
        <f aca="false">IF(Y787=0,0,AC787/Y787)</f>
        <v>0.224642154617528</v>
      </c>
      <c r="AF787" s="2" t="s">
        <v>175</v>
      </c>
      <c r="AG787" s="2" t="s">
        <v>88</v>
      </c>
      <c r="AH787" s="2" t="str">
        <f aca="false">IF(AND(AG787="Completed",AF787&lt;&gt;"Paid"),"Inconsistent","OK")</f>
        <v>OK</v>
      </c>
      <c r="AI787" s="2" t="n">
        <f aca="false">IF(OR(ISBLANK(B787),ISBLANK(C787)),"",C787-B787)</f>
        <v>6</v>
      </c>
      <c r="AJ787" s="2" t="str">
        <f aca="false">IF(AI787="","Unknown",IF(AI787&lt;0,"Invalid","OK"))</f>
        <v>OK</v>
      </c>
      <c r="AK787" s="2" t="str">
        <f aca="false">IF(ISBLANK(B787),"",TEXT(B787,"mmm"))</f>
        <v>May</v>
      </c>
      <c r="AL787" s="2" t="n">
        <f aca="false">IF(ISBLANK(B787),"",YEAR(B787))</f>
        <v>2024</v>
      </c>
      <c r="AM787" s="2" t="s">
        <v>41</v>
      </c>
      <c r="AN787" s="2" t="str">
        <f aca="false">IF(OR(W787="Invalid",AJ787="Invalid",AH787="Inconsistent",Z787="Mismatch",AD787="Mismatch",AM787="Yes",D787="Yes",E787="Yes"),"Invalid",IF(OR(J787="Yes",Q787="Yes",U787="Yes"),"Warning","Clean"))</f>
        <v>Invalid</v>
      </c>
    </row>
    <row r="788" customFormat="false" ht="15" hidden="false" customHeight="false" outlineLevel="0" collapsed="false">
      <c r="A788" s="2" t="s">
        <v>2458</v>
      </c>
      <c r="B788" s="3" t="n">
        <v>45844</v>
      </c>
      <c r="C788" s="3" t="n">
        <v>45846</v>
      </c>
      <c r="D788" s="2" t="s">
        <v>41</v>
      </c>
      <c r="E788" s="2" t="s">
        <v>41</v>
      </c>
      <c r="F788" s="2" t="s">
        <v>2459</v>
      </c>
      <c r="G788" s="2" t="s">
        <v>82</v>
      </c>
      <c r="H788" s="2" t="s">
        <v>110</v>
      </c>
      <c r="I788" s="2" t="s">
        <v>45</v>
      </c>
      <c r="J788" s="2" t="s">
        <v>41</v>
      </c>
      <c r="K788" s="2" t="s">
        <v>46</v>
      </c>
      <c r="L788" s="2" t="s">
        <v>47</v>
      </c>
      <c r="M788" s="2" t="s">
        <v>61</v>
      </c>
      <c r="N788" s="2" t="s">
        <v>77</v>
      </c>
      <c r="O788" s="2" t="s">
        <v>2460</v>
      </c>
      <c r="P788" s="2" t="s">
        <v>225</v>
      </c>
      <c r="Q788" s="2" t="s">
        <v>226</v>
      </c>
      <c r="R788" s="2" t="n">
        <v>4</v>
      </c>
      <c r="S788" s="2" t="n">
        <v>715.45</v>
      </c>
      <c r="T788" s="2" t="n">
        <v>0.05</v>
      </c>
      <c r="U788" s="2" t="str">
        <f aca="false">IF(ISBLANK(T788),"Yes","No")</f>
        <v>No</v>
      </c>
      <c r="V788" s="2" t="n">
        <f aca="false">IF(ISBLANK(T788),0,IF(ISNUMBER(T788),T788,VALUE(LEFT(T788,LEN(T788)-1))/100))</f>
        <v>0.05</v>
      </c>
      <c r="W788" s="2" t="str">
        <f aca="false">IF(AND(V788&gt;=0,V788&lt;=0.25),"Valid","Invalid")</f>
        <v>Valid</v>
      </c>
      <c r="X788" s="2" t="n">
        <v>2718.71</v>
      </c>
      <c r="Y788" s="2" t="n">
        <f aca="false">R788*S788*(1-V788)</f>
        <v>2718.71</v>
      </c>
      <c r="Z788" s="2" t="str">
        <f aca="false">IF(ABS(X788-Y788)&gt;1,"Mismatch","OK")</f>
        <v>OK</v>
      </c>
      <c r="AA788" s="2" t="n">
        <v>2065.05</v>
      </c>
      <c r="AB788" s="2" t="n">
        <v>653.66</v>
      </c>
      <c r="AC788" s="2" t="n">
        <f aca="false">Y788-AA788</f>
        <v>653.66</v>
      </c>
      <c r="AD788" s="2" t="str">
        <f aca="false">IF(ABS(AB788-AC788)&gt;1,"Mismatch","OK")</f>
        <v>OK</v>
      </c>
      <c r="AE788" s="4" t="n">
        <f aca="false">IF(Y788=0,0,AC788/Y788)</f>
        <v>0.240430204030588</v>
      </c>
      <c r="AF788" s="2" t="s">
        <v>122</v>
      </c>
      <c r="AG788" s="2" t="s">
        <v>123</v>
      </c>
      <c r="AH788" s="2" t="str">
        <f aca="false">IF(AND(AG788="Completed",AF788&lt;&gt;"Paid"),"Inconsistent","OK")</f>
        <v>OK</v>
      </c>
      <c r="AI788" s="2" t="n">
        <f aca="false">IF(OR(ISBLANK(B788),ISBLANK(C788)),"",C788-B788)</f>
        <v>2</v>
      </c>
      <c r="AJ788" s="2" t="str">
        <f aca="false">IF(AI788="","Unknown",IF(AI788&lt;0,"Invalid","OK"))</f>
        <v>OK</v>
      </c>
      <c r="AK788" s="2" t="str">
        <f aca="false">IF(ISBLANK(B788),"",TEXT(B788,"mmm"))</f>
        <v>Jul</v>
      </c>
      <c r="AL788" s="2" t="n">
        <f aca="false">IF(ISBLANK(B788),"",YEAR(B788))</f>
        <v>2025</v>
      </c>
      <c r="AM788" s="2" t="s">
        <v>41</v>
      </c>
      <c r="AN788" s="2" t="str">
        <f aca="false">IF(OR(W788="Invalid",AJ788="Invalid",AH788="Inconsistent",Z788="Mismatch",AD788="Mismatch",AM788="Yes",D788="Yes",E788="Yes"),"Invalid",IF(OR(J788="Yes",Q788="Yes",U788="Yes"),"Warning","Clean"))</f>
        <v>Warning</v>
      </c>
    </row>
    <row r="789" customFormat="false" ht="15" hidden="false" customHeight="false" outlineLevel="0" collapsed="false">
      <c r="A789" s="2" t="s">
        <v>2461</v>
      </c>
      <c r="B789" s="3" t="n">
        <v>45547</v>
      </c>
      <c r="C789" s="3" t="n">
        <v>45553</v>
      </c>
      <c r="D789" s="2" t="s">
        <v>41</v>
      </c>
      <c r="E789" s="2" t="s">
        <v>41</v>
      </c>
      <c r="F789" s="2" t="s">
        <v>2462</v>
      </c>
      <c r="G789" s="2" t="s">
        <v>82</v>
      </c>
      <c r="H789" s="2" t="s">
        <v>115</v>
      </c>
      <c r="I789" s="2" t="s">
        <v>58</v>
      </c>
      <c r="J789" s="2" t="s">
        <v>41</v>
      </c>
      <c r="K789" s="2" t="s">
        <v>165</v>
      </c>
      <c r="L789" s="2" t="s">
        <v>166</v>
      </c>
      <c r="M789" s="2" t="s">
        <v>48</v>
      </c>
      <c r="N789" s="2" t="s">
        <v>49</v>
      </c>
      <c r="O789" s="2" t="s">
        <v>2463</v>
      </c>
      <c r="P789" s="2" t="s">
        <v>51</v>
      </c>
      <c r="Q789" s="2" t="s">
        <v>41</v>
      </c>
      <c r="R789" s="2" t="n">
        <v>2</v>
      </c>
      <c r="S789" s="2" t="n">
        <v>3718.77</v>
      </c>
      <c r="T789" s="2" t="n">
        <v>0.05</v>
      </c>
      <c r="U789" s="2" t="str">
        <f aca="false">IF(ISBLANK(T789),"Yes","No")</f>
        <v>No</v>
      </c>
      <c r="V789" s="2" t="n">
        <f aca="false">IF(ISBLANK(T789),0,IF(ISNUMBER(T789),T789,VALUE(LEFT(T789,LEN(T789)-1))/100))</f>
        <v>0.05</v>
      </c>
      <c r="W789" s="2" t="str">
        <f aca="false">IF(AND(V789&gt;=0,V789&lt;=0.25),"Valid","Invalid")</f>
        <v>Valid</v>
      </c>
      <c r="X789" s="2" t="n">
        <v>7065.66</v>
      </c>
      <c r="Y789" s="2" t="n">
        <f aca="false">R789*S789*(1-V789)</f>
        <v>7065.663</v>
      </c>
      <c r="Z789" s="2" t="str">
        <f aca="false">IF(ABS(X789-Y789)&gt;1,"Mismatch","OK")</f>
        <v>OK</v>
      </c>
      <c r="AA789" s="2" t="n">
        <v>4915.27</v>
      </c>
      <c r="AB789" s="2" t="n">
        <v>2150.39</v>
      </c>
      <c r="AC789" s="2" t="n">
        <f aca="false">Y789-AA789</f>
        <v>2150.393</v>
      </c>
      <c r="AD789" s="2" t="str">
        <f aca="false">IF(ABS(AB789-AC789)&gt;1,"Mismatch","OK")</f>
        <v>OK</v>
      </c>
      <c r="AE789" s="4" t="n">
        <f aca="false">IF(Y789=0,0,AC789/Y789)</f>
        <v>0.30434412170521</v>
      </c>
      <c r="AF789" s="2" t="s">
        <v>52</v>
      </c>
      <c r="AG789" s="2" t="s">
        <v>53</v>
      </c>
      <c r="AH789" s="2" t="str">
        <f aca="false">IF(AND(AG789="Completed",AF789&lt;&gt;"Paid"),"Inconsistent","OK")</f>
        <v>OK</v>
      </c>
      <c r="AI789" s="2" t="n">
        <f aca="false">IF(OR(ISBLANK(B789),ISBLANK(C789)),"",C789-B789)</f>
        <v>6</v>
      </c>
      <c r="AJ789" s="2" t="str">
        <f aca="false">IF(AI789="","Unknown",IF(AI789&lt;0,"Invalid","OK"))</f>
        <v>OK</v>
      </c>
      <c r="AK789" s="2" t="str">
        <f aca="false">IF(ISBLANK(B789),"",TEXT(B789,"mmm"))</f>
        <v>Sep</v>
      </c>
      <c r="AL789" s="2" t="n">
        <f aca="false">IF(ISBLANK(B789),"",YEAR(B789))</f>
        <v>2024</v>
      </c>
      <c r="AM789" s="2" t="s">
        <v>41</v>
      </c>
      <c r="AN789" s="2" t="str">
        <f aca="false">IF(OR(W789="Invalid",AJ789="Invalid",AH789="Inconsistent",Z789="Mismatch",AD789="Mismatch",AM789="Yes",D789="Yes",E789="Yes"),"Invalid",IF(OR(J789="Yes",Q789="Yes",U789="Yes"),"Warning","Clean"))</f>
        <v>Clean</v>
      </c>
    </row>
    <row r="790" customFormat="false" ht="15" hidden="false" customHeight="false" outlineLevel="0" collapsed="false">
      <c r="A790" s="2" t="s">
        <v>2464</v>
      </c>
      <c r="B790" s="3" t="n">
        <v>45505</v>
      </c>
      <c r="C790" s="3" t="n">
        <v>45506</v>
      </c>
      <c r="D790" s="2" t="s">
        <v>41</v>
      </c>
      <c r="E790" s="2" t="s">
        <v>41</v>
      </c>
      <c r="F790" s="2" t="s">
        <v>2465</v>
      </c>
      <c r="G790" s="2" t="s">
        <v>67</v>
      </c>
      <c r="H790" s="2" t="s">
        <v>110</v>
      </c>
      <c r="I790" s="2" t="s">
        <v>45</v>
      </c>
      <c r="J790" s="2" t="s">
        <v>41</v>
      </c>
      <c r="K790" s="2" t="s">
        <v>156</v>
      </c>
      <c r="L790" s="2" t="s">
        <v>157</v>
      </c>
      <c r="M790" s="2" t="s">
        <v>61</v>
      </c>
      <c r="N790" s="2" t="s">
        <v>86</v>
      </c>
      <c r="O790" s="2" t="s">
        <v>2466</v>
      </c>
      <c r="P790" s="2" t="s">
        <v>79</v>
      </c>
      <c r="Q790" s="2" t="s">
        <v>41</v>
      </c>
      <c r="R790" s="2" t="n">
        <v>8</v>
      </c>
      <c r="S790" s="2" t="n">
        <v>2487.64</v>
      </c>
      <c r="T790" s="2" t="n">
        <v>0.1</v>
      </c>
      <c r="U790" s="2" t="str">
        <f aca="false">IF(ISBLANK(T790),"Yes","No")</f>
        <v>No</v>
      </c>
      <c r="V790" s="2" t="n">
        <f aca="false">IF(ISBLANK(T790),0,IF(ISNUMBER(T790),T790,VALUE(LEFT(T790,LEN(T790)-1))/100))</f>
        <v>0.1</v>
      </c>
      <c r="W790" s="2" t="str">
        <f aca="false">IF(AND(V790&gt;=0,V790&lt;=0.25),"Valid","Invalid")</f>
        <v>Valid</v>
      </c>
      <c r="X790" s="2" t="n">
        <v>17911.01</v>
      </c>
      <c r="Y790" s="2" t="n">
        <f aca="false">R790*S790*(1-V790)</f>
        <v>17911.008</v>
      </c>
      <c r="Z790" s="2" t="str">
        <f aca="false">IF(ABS(X790-Y790)&gt;1,"Mismatch","OK")</f>
        <v>OK</v>
      </c>
      <c r="AA790" s="2" t="n">
        <v>11546.05</v>
      </c>
      <c r="AB790" s="2" t="n">
        <v>6364.96</v>
      </c>
      <c r="AC790" s="2" t="n">
        <f aca="false">Y790-AA790</f>
        <v>6364.958</v>
      </c>
      <c r="AD790" s="2" t="str">
        <f aca="false">IF(ABS(AB790-AC790)&gt;1,"Mismatch","OK")</f>
        <v>OK</v>
      </c>
      <c r="AE790" s="4" t="n">
        <f aca="false">IF(Y790=0,0,AC790/Y790)</f>
        <v>0.355365705827388</v>
      </c>
      <c r="AF790" s="2" t="s">
        <v>175</v>
      </c>
      <c r="AG790" s="2" t="s">
        <v>123</v>
      </c>
      <c r="AH790" s="2" t="str">
        <f aca="false">IF(AND(AG790="Completed",AF790&lt;&gt;"Paid"),"Inconsistent","OK")</f>
        <v>OK</v>
      </c>
      <c r="AI790" s="2" t="n">
        <f aca="false">IF(OR(ISBLANK(B790),ISBLANK(C790)),"",C790-B790)</f>
        <v>1</v>
      </c>
      <c r="AJ790" s="2" t="str">
        <f aca="false">IF(AI790="","Unknown",IF(AI790&lt;0,"Invalid","OK"))</f>
        <v>OK</v>
      </c>
      <c r="AK790" s="2" t="str">
        <f aca="false">IF(ISBLANK(B790),"",TEXT(B790,"mmm"))</f>
        <v>Aug</v>
      </c>
      <c r="AL790" s="2" t="n">
        <f aca="false">IF(ISBLANK(B790),"",YEAR(B790))</f>
        <v>2024</v>
      </c>
      <c r="AM790" s="2" t="s">
        <v>41</v>
      </c>
      <c r="AN790" s="2" t="str">
        <f aca="false">IF(OR(W790="Invalid",AJ790="Invalid",AH790="Inconsistent",Z790="Mismatch",AD790="Mismatch",AM790="Yes",D790="Yes",E790="Yes"),"Invalid",IF(OR(J790="Yes",Q790="Yes",U790="Yes"),"Warning","Clean"))</f>
        <v>Clean</v>
      </c>
    </row>
    <row r="791" customFormat="false" ht="15" hidden="false" customHeight="false" outlineLevel="0" collapsed="false">
      <c r="A791" s="2" t="s">
        <v>2467</v>
      </c>
      <c r="B791" s="3" t="n">
        <v>45723</v>
      </c>
      <c r="C791" s="3" t="n">
        <v>45724</v>
      </c>
      <c r="D791" s="2" t="s">
        <v>41</v>
      </c>
      <c r="E791" s="2" t="s">
        <v>41</v>
      </c>
      <c r="F791" s="2" t="s">
        <v>2468</v>
      </c>
      <c r="G791" s="2" t="s">
        <v>134</v>
      </c>
      <c r="H791" s="2" t="s">
        <v>115</v>
      </c>
      <c r="I791" s="2" t="s">
        <v>225</v>
      </c>
      <c r="J791" s="2" t="s">
        <v>226</v>
      </c>
      <c r="K791" s="2" t="s">
        <v>46</v>
      </c>
      <c r="L791" s="2" t="s">
        <v>129</v>
      </c>
      <c r="M791" s="2" t="s">
        <v>94</v>
      </c>
      <c r="N791" s="2" t="s">
        <v>100</v>
      </c>
      <c r="O791" s="2" t="s">
        <v>2469</v>
      </c>
      <c r="P791" s="2" t="s">
        <v>64</v>
      </c>
      <c r="Q791" s="2" t="s">
        <v>41</v>
      </c>
      <c r="R791" s="2" t="n">
        <v>4</v>
      </c>
      <c r="S791" s="2" t="n">
        <v>3537.48</v>
      </c>
      <c r="T791" s="2" t="n">
        <v>0</v>
      </c>
      <c r="U791" s="2" t="str">
        <f aca="false">IF(ISBLANK(T791),"Yes","No")</f>
        <v>No</v>
      </c>
      <c r="V791" s="2" t="n">
        <f aca="false">IF(ISBLANK(T791),0,IF(ISNUMBER(T791),T791,VALUE(LEFT(T791,LEN(T791)-1))/100))</f>
        <v>0</v>
      </c>
      <c r="W791" s="2" t="str">
        <f aca="false">IF(AND(V791&gt;=0,V791&lt;=0.25),"Valid","Invalid")</f>
        <v>Valid</v>
      </c>
      <c r="X791" s="2" t="n">
        <v>14149.92</v>
      </c>
      <c r="Y791" s="2" t="n">
        <f aca="false">R791*S791*(1-V791)</f>
        <v>14149.92</v>
      </c>
      <c r="Z791" s="2" t="str">
        <f aca="false">IF(ABS(X791-Y791)&gt;1,"Mismatch","OK")</f>
        <v>OK</v>
      </c>
      <c r="AA791" s="2" t="n">
        <v>9466.51</v>
      </c>
      <c r="AB791" s="2" t="n">
        <v>4683.41</v>
      </c>
      <c r="AC791" s="2" t="n">
        <f aca="false">Y791-AA791</f>
        <v>4683.41</v>
      </c>
      <c r="AD791" s="2" t="str">
        <f aca="false">IF(ABS(AB791-AC791)&gt;1,"Mismatch","OK")</f>
        <v>OK</v>
      </c>
      <c r="AE791" s="4" t="n">
        <f aca="false">IF(Y791=0,0,AC791/Y791)</f>
        <v>0.330984910162036</v>
      </c>
      <c r="AF791" s="2" t="s">
        <v>52</v>
      </c>
      <c r="AG791" s="2" t="s">
        <v>53</v>
      </c>
      <c r="AH791" s="2" t="str">
        <f aca="false">IF(AND(AG791="Completed",AF791&lt;&gt;"Paid"),"Inconsistent","OK")</f>
        <v>OK</v>
      </c>
      <c r="AI791" s="2" t="n">
        <f aca="false">IF(OR(ISBLANK(B791),ISBLANK(C791)),"",C791-B791)</f>
        <v>1</v>
      </c>
      <c r="AJ791" s="2" t="str">
        <f aca="false">IF(AI791="","Unknown",IF(AI791&lt;0,"Invalid","OK"))</f>
        <v>OK</v>
      </c>
      <c r="AK791" s="2" t="str">
        <f aca="false">IF(ISBLANK(B791),"",TEXT(B791,"mmm"))</f>
        <v>Mar</v>
      </c>
      <c r="AL791" s="2" t="n">
        <f aca="false">IF(ISBLANK(B791),"",YEAR(B791))</f>
        <v>2025</v>
      </c>
      <c r="AM791" s="2" t="s">
        <v>41</v>
      </c>
      <c r="AN791" s="2" t="str">
        <f aca="false">IF(OR(W791="Invalid",AJ791="Invalid",AH791="Inconsistent",Z791="Mismatch",AD791="Mismatch",AM791="Yes",D791="Yes",E791="Yes"),"Invalid",IF(OR(J791="Yes",Q791="Yes",U791="Yes"),"Warning","Clean"))</f>
        <v>Warning</v>
      </c>
    </row>
    <row r="792" customFormat="false" ht="15" hidden="false" customHeight="false" outlineLevel="0" collapsed="false">
      <c r="A792" s="2" t="s">
        <v>2470</v>
      </c>
      <c r="B792" s="3" t="n">
        <v>45443</v>
      </c>
      <c r="C792" s="3" t="n">
        <v>45445</v>
      </c>
      <c r="D792" s="2" t="s">
        <v>41</v>
      </c>
      <c r="E792" s="2" t="s">
        <v>41</v>
      </c>
      <c r="F792" s="2" t="s">
        <v>2471</v>
      </c>
      <c r="G792" s="2" t="s">
        <v>138</v>
      </c>
      <c r="H792" s="2" t="s">
        <v>110</v>
      </c>
      <c r="I792" s="2" t="s">
        <v>74</v>
      </c>
      <c r="J792" s="2" t="s">
        <v>41</v>
      </c>
      <c r="K792" s="2" t="s">
        <v>104</v>
      </c>
      <c r="L792" s="2" t="s">
        <v>105</v>
      </c>
      <c r="M792" s="2" t="s">
        <v>48</v>
      </c>
      <c r="N792" s="2" t="s">
        <v>68</v>
      </c>
      <c r="O792" s="2" t="s">
        <v>2472</v>
      </c>
      <c r="P792" s="2" t="s">
        <v>79</v>
      </c>
      <c r="Q792" s="2" t="s">
        <v>41</v>
      </c>
      <c r="R792" s="2" t="n">
        <v>8</v>
      </c>
      <c r="S792" s="2" t="n">
        <v>667.59</v>
      </c>
      <c r="T792" s="2" t="n">
        <v>0.2</v>
      </c>
      <c r="U792" s="2" t="str">
        <f aca="false">IF(ISBLANK(T792),"Yes","No")</f>
        <v>No</v>
      </c>
      <c r="V792" s="2" t="n">
        <f aca="false">IF(ISBLANK(T792),0,IF(ISNUMBER(T792),T792,VALUE(LEFT(T792,LEN(T792)-1))/100))</f>
        <v>0.2</v>
      </c>
      <c r="W792" s="2" t="str">
        <f aca="false">IF(AND(V792&gt;=0,V792&lt;=0.25),"Valid","Invalid")</f>
        <v>Valid</v>
      </c>
      <c r="X792" s="2" t="n">
        <v>4272.58</v>
      </c>
      <c r="Y792" s="2" t="n">
        <f aca="false">R792*S792*(1-V792)</f>
        <v>4272.576</v>
      </c>
      <c r="Z792" s="2" t="str">
        <f aca="false">IF(ABS(X792-Y792)&gt;1,"Mismatch","OK")</f>
        <v>OK</v>
      </c>
      <c r="AA792" s="2" t="n">
        <v>3328.92</v>
      </c>
      <c r="AB792" s="2" t="n">
        <v>943.66</v>
      </c>
      <c r="AC792" s="2" t="n">
        <f aca="false">Y792-AA792</f>
        <v>943.656</v>
      </c>
      <c r="AD792" s="2" t="str">
        <f aca="false">IF(ABS(AB792-AC792)&gt;1,"Mismatch","OK")</f>
        <v>OK</v>
      </c>
      <c r="AE792" s="4" t="n">
        <f aca="false">IF(Y792=0,0,AC792/Y792)</f>
        <v>0.220863479081472</v>
      </c>
      <c r="AF792" s="2" t="s">
        <v>52</v>
      </c>
      <c r="AG792" s="2" t="s">
        <v>53</v>
      </c>
      <c r="AH792" s="2" t="str">
        <f aca="false">IF(AND(AG792="Completed",AF792&lt;&gt;"Paid"),"Inconsistent","OK")</f>
        <v>OK</v>
      </c>
      <c r="AI792" s="2" t="n">
        <f aca="false">IF(OR(ISBLANK(B792),ISBLANK(C792)),"",C792-B792)</f>
        <v>2</v>
      </c>
      <c r="AJ792" s="2" t="str">
        <f aca="false">IF(AI792="","Unknown",IF(AI792&lt;0,"Invalid","OK"))</f>
        <v>OK</v>
      </c>
      <c r="AK792" s="2" t="str">
        <f aca="false">IF(ISBLANK(B792),"",TEXT(B792,"mmm"))</f>
        <v>May</v>
      </c>
      <c r="AL792" s="2" t="n">
        <f aca="false">IF(ISBLANK(B792),"",YEAR(B792))</f>
        <v>2024</v>
      </c>
      <c r="AM792" s="2" t="s">
        <v>41</v>
      </c>
      <c r="AN792" s="2" t="str">
        <f aca="false">IF(OR(W792="Invalid",AJ792="Invalid",AH792="Inconsistent",Z792="Mismatch",AD792="Mismatch",AM792="Yes",D792="Yes",E792="Yes"),"Invalid",IF(OR(J792="Yes",Q792="Yes",U792="Yes"),"Warning","Clean"))</f>
        <v>Clean</v>
      </c>
    </row>
    <row r="793" customFormat="false" ht="15" hidden="false" customHeight="false" outlineLevel="0" collapsed="false">
      <c r="A793" s="2" t="s">
        <v>2473</v>
      </c>
      <c r="B793" s="3" t="n">
        <v>45567</v>
      </c>
      <c r="C793" s="3" t="n">
        <v>45571</v>
      </c>
      <c r="D793" s="2" t="s">
        <v>41</v>
      </c>
      <c r="E793" s="2" t="s">
        <v>41</v>
      </c>
      <c r="F793" s="2" t="s">
        <v>2474</v>
      </c>
      <c r="G793" s="2" t="s">
        <v>138</v>
      </c>
      <c r="H793" s="2" t="s">
        <v>115</v>
      </c>
      <c r="I793" s="2" t="s">
        <v>74</v>
      </c>
      <c r="J793" s="2" t="s">
        <v>41</v>
      </c>
      <c r="K793" s="2" t="s">
        <v>195</v>
      </c>
      <c r="L793" s="2" t="s">
        <v>196</v>
      </c>
      <c r="M793" s="2" t="s">
        <v>61</v>
      </c>
      <c r="N793" s="2" t="s">
        <v>178</v>
      </c>
      <c r="O793" s="2" t="s">
        <v>2475</v>
      </c>
      <c r="P793" s="2" t="s">
        <v>64</v>
      </c>
      <c r="Q793" s="2" t="s">
        <v>41</v>
      </c>
      <c r="R793" s="2" t="n">
        <v>8</v>
      </c>
      <c r="S793" s="2" t="n">
        <v>1558.77</v>
      </c>
      <c r="T793" s="2" t="n">
        <v>0.25</v>
      </c>
      <c r="U793" s="2" t="str">
        <f aca="false">IF(ISBLANK(T793),"Yes","No")</f>
        <v>No</v>
      </c>
      <c r="V793" s="2" t="n">
        <f aca="false">IF(ISBLANK(T793),0,IF(ISNUMBER(T793),T793,VALUE(LEFT(T793,LEN(T793)-1))/100))</f>
        <v>0.25</v>
      </c>
      <c r="W793" s="2" t="str">
        <f aca="false">IF(AND(V793&gt;=0,V793&lt;=0.25),"Valid","Invalid")</f>
        <v>Valid</v>
      </c>
      <c r="X793" s="2" t="n">
        <v>9352.62</v>
      </c>
      <c r="Y793" s="2" t="n">
        <f aca="false">R793*S793*(1-V793)</f>
        <v>9352.62</v>
      </c>
      <c r="Z793" s="2" t="str">
        <f aca="false">IF(ABS(X793-Y793)&gt;1,"Mismatch","OK")</f>
        <v>OK</v>
      </c>
      <c r="AA793" s="2" t="n">
        <v>5269.41</v>
      </c>
      <c r="AB793" s="2" t="n">
        <v>4083.21</v>
      </c>
      <c r="AC793" s="2" t="n">
        <f aca="false">Y793-AA793</f>
        <v>4083.21</v>
      </c>
      <c r="AD793" s="2" t="str">
        <f aca="false">IF(ABS(AB793-AC793)&gt;1,"Mismatch","OK")</f>
        <v>OK</v>
      </c>
      <c r="AE793" s="4" t="n">
        <f aca="false">IF(Y793=0,0,AC793/Y793)</f>
        <v>0.436584614792432</v>
      </c>
      <c r="AF793" s="2" t="s">
        <v>52</v>
      </c>
      <c r="AG793" s="2" t="s">
        <v>53</v>
      </c>
      <c r="AH793" s="2" t="str">
        <f aca="false">IF(AND(AG793="Completed",AF793&lt;&gt;"Paid"),"Inconsistent","OK")</f>
        <v>OK</v>
      </c>
      <c r="AI793" s="2" t="n">
        <f aca="false">IF(OR(ISBLANK(B793),ISBLANK(C793)),"",C793-B793)</f>
        <v>4</v>
      </c>
      <c r="AJ793" s="2" t="str">
        <f aca="false">IF(AI793="","Unknown",IF(AI793&lt;0,"Invalid","OK"))</f>
        <v>OK</v>
      </c>
      <c r="AK793" s="2" t="str">
        <f aca="false">IF(ISBLANK(B793),"",TEXT(B793,"mmm"))</f>
        <v>Oct</v>
      </c>
      <c r="AL793" s="2" t="n">
        <f aca="false">IF(ISBLANK(B793),"",YEAR(B793))</f>
        <v>2024</v>
      </c>
      <c r="AM793" s="2" t="s">
        <v>41</v>
      </c>
      <c r="AN793" s="2" t="str">
        <f aca="false">IF(OR(W793="Invalid",AJ793="Invalid",AH793="Inconsistent",Z793="Mismatch",AD793="Mismatch",AM793="Yes",D793="Yes",E793="Yes"),"Invalid",IF(OR(J793="Yes",Q793="Yes",U793="Yes"),"Warning","Clean"))</f>
        <v>Clean</v>
      </c>
    </row>
    <row r="794" customFormat="false" ht="15" hidden="false" customHeight="false" outlineLevel="0" collapsed="false">
      <c r="A794" s="2" t="s">
        <v>2476</v>
      </c>
      <c r="B794" s="3" t="n">
        <v>45812</v>
      </c>
      <c r="C794" s="3" t="n">
        <v>45816</v>
      </c>
      <c r="D794" s="2" t="s">
        <v>41</v>
      </c>
      <c r="E794" s="2" t="s">
        <v>41</v>
      </c>
      <c r="F794" s="2" t="s">
        <v>2477</v>
      </c>
      <c r="G794" s="2" t="s">
        <v>73</v>
      </c>
      <c r="H794" s="2" t="s">
        <v>57</v>
      </c>
      <c r="I794" s="2" t="s">
        <v>58</v>
      </c>
      <c r="J794" s="2" t="s">
        <v>41</v>
      </c>
      <c r="K794" s="2" t="s">
        <v>186</v>
      </c>
      <c r="L794" s="2" t="s">
        <v>187</v>
      </c>
      <c r="M794" s="2" t="s">
        <v>61</v>
      </c>
      <c r="N794" s="2" t="s">
        <v>77</v>
      </c>
      <c r="O794" s="2" t="s">
        <v>2478</v>
      </c>
      <c r="P794" s="2" t="s">
        <v>51</v>
      </c>
      <c r="Q794" s="2" t="s">
        <v>41</v>
      </c>
      <c r="R794" s="2" t="n">
        <v>1</v>
      </c>
      <c r="S794" s="2" t="n">
        <v>3501.12</v>
      </c>
      <c r="T794" s="2" t="n">
        <v>0.2</v>
      </c>
      <c r="U794" s="2" t="str">
        <f aca="false">IF(ISBLANK(T794),"Yes","No")</f>
        <v>No</v>
      </c>
      <c r="V794" s="2" t="n">
        <f aca="false">IF(ISBLANK(T794),0,IF(ISNUMBER(T794),T794,VALUE(LEFT(T794,LEN(T794)-1))/100))</f>
        <v>0.2</v>
      </c>
      <c r="W794" s="2" t="str">
        <f aca="false">IF(AND(V794&gt;=0,V794&lt;=0.25),"Valid","Invalid")</f>
        <v>Valid</v>
      </c>
      <c r="X794" s="2" t="n">
        <v>2800.9</v>
      </c>
      <c r="Y794" s="2" t="n">
        <f aca="false">R794*S794*(1-V794)</f>
        <v>2800.896</v>
      </c>
      <c r="Z794" s="2" t="str">
        <f aca="false">IF(ABS(X794-Y794)&gt;1,"Mismatch","OK")</f>
        <v>OK</v>
      </c>
      <c r="AA794" s="2" t="n">
        <v>1735.98</v>
      </c>
      <c r="AB794" s="2" t="n">
        <v>1064.92</v>
      </c>
      <c r="AC794" s="2" t="n">
        <f aca="false">Y794-AA794</f>
        <v>1064.916</v>
      </c>
      <c r="AD794" s="2" t="str">
        <f aca="false">IF(ABS(AB794-AC794)&gt;1,"Mismatch","OK")</f>
        <v>OK</v>
      </c>
      <c r="AE794" s="4" t="n">
        <f aca="false">IF(Y794=0,0,AC794/Y794)</f>
        <v>0.380205477104469</v>
      </c>
      <c r="AF794" s="2" t="s">
        <v>52</v>
      </c>
      <c r="AG794" s="2" t="s">
        <v>123</v>
      </c>
      <c r="AH794" s="2" t="str">
        <f aca="false">IF(AND(AG794="Completed",AF794&lt;&gt;"Paid"),"Inconsistent","OK")</f>
        <v>OK</v>
      </c>
      <c r="AI794" s="2" t="n">
        <f aca="false">IF(OR(ISBLANK(B794),ISBLANK(C794)),"",C794-B794)</f>
        <v>4</v>
      </c>
      <c r="AJ794" s="2" t="str">
        <f aca="false">IF(AI794="","Unknown",IF(AI794&lt;0,"Invalid","OK"))</f>
        <v>OK</v>
      </c>
      <c r="AK794" s="2" t="str">
        <f aca="false">IF(ISBLANK(B794),"",TEXT(B794,"mmm"))</f>
        <v>Jun</v>
      </c>
      <c r="AL794" s="2" t="n">
        <f aca="false">IF(ISBLANK(B794),"",YEAR(B794))</f>
        <v>2025</v>
      </c>
      <c r="AM794" s="2" t="s">
        <v>41</v>
      </c>
      <c r="AN794" s="2" t="str">
        <f aca="false">IF(OR(W794="Invalid",AJ794="Invalid",AH794="Inconsistent",Z794="Mismatch",AD794="Mismatch",AM794="Yes",D794="Yes",E794="Yes"),"Invalid",IF(OR(J794="Yes",Q794="Yes",U794="Yes"),"Warning","Clean"))</f>
        <v>Clean</v>
      </c>
    </row>
    <row r="795" customFormat="false" ht="15" hidden="false" customHeight="false" outlineLevel="0" collapsed="false">
      <c r="A795" s="2" t="s">
        <v>2479</v>
      </c>
      <c r="B795" s="3" t="n">
        <v>45440</v>
      </c>
      <c r="C795" s="3" t="n">
        <v>45446</v>
      </c>
      <c r="D795" s="2" t="s">
        <v>41</v>
      </c>
      <c r="E795" s="2" t="s">
        <v>41</v>
      </c>
      <c r="F795" s="2" t="s">
        <v>2480</v>
      </c>
      <c r="G795" s="2" t="s">
        <v>91</v>
      </c>
      <c r="H795" s="2" t="s">
        <v>110</v>
      </c>
      <c r="I795" s="2" t="s">
        <v>45</v>
      </c>
      <c r="J795" s="2" t="s">
        <v>41</v>
      </c>
      <c r="K795" s="2" t="s">
        <v>46</v>
      </c>
      <c r="L795" s="2" t="s">
        <v>47</v>
      </c>
      <c r="M795" s="2" t="s">
        <v>94</v>
      </c>
      <c r="N795" s="2" t="s">
        <v>100</v>
      </c>
      <c r="O795" s="2" t="s">
        <v>2481</v>
      </c>
      <c r="P795" s="2" t="s">
        <v>51</v>
      </c>
      <c r="Q795" s="2" t="s">
        <v>41</v>
      </c>
      <c r="R795" s="2" t="n">
        <v>5</v>
      </c>
      <c r="S795" s="2" t="n">
        <v>4302.32</v>
      </c>
      <c r="T795" s="2" t="n">
        <v>0</v>
      </c>
      <c r="U795" s="2" t="str">
        <f aca="false">IF(ISBLANK(T795),"Yes","No")</f>
        <v>No</v>
      </c>
      <c r="V795" s="2" t="n">
        <f aca="false">IF(ISBLANK(T795),0,IF(ISNUMBER(T795),T795,VALUE(LEFT(T795,LEN(T795)-1))/100))</f>
        <v>0</v>
      </c>
      <c r="W795" s="2" t="str">
        <f aca="false">IF(AND(V795&gt;=0,V795&lt;=0.25),"Valid","Invalid")</f>
        <v>Valid</v>
      </c>
      <c r="X795" s="2" t="n">
        <v>21511.6</v>
      </c>
      <c r="Y795" s="2" t="n">
        <f aca="false">R795*S795*(1-V795)</f>
        <v>21511.6</v>
      </c>
      <c r="Z795" s="2" t="str">
        <f aca="false">IF(ABS(X795-Y795)&gt;1,"Mismatch","OK")</f>
        <v>OK</v>
      </c>
      <c r="AA795" s="2" t="n">
        <v>15408.47</v>
      </c>
      <c r="AB795" s="2" t="n">
        <v>6103.13</v>
      </c>
      <c r="AC795" s="2" t="n">
        <f aca="false">Y795-AA795</f>
        <v>6103.13</v>
      </c>
      <c r="AD795" s="2" t="str">
        <f aca="false">IF(ABS(AB795-AC795)&gt;1,"Mismatch","OK")</f>
        <v>OK</v>
      </c>
      <c r="AE795" s="4" t="n">
        <f aca="false">IF(Y795=0,0,AC795/Y795)</f>
        <v>0.283713438330947</v>
      </c>
      <c r="AF795" s="2" t="s">
        <v>52</v>
      </c>
      <c r="AG795" s="2" t="s">
        <v>53</v>
      </c>
      <c r="AH795" s="2" t="str">
        <f aca="false">IF(AND(AG795="Completed",AF795&lt;&gt;"Paid"),"Inconsistent","OK")</f>
        <v>OK</v>
      </c>
      <c r="AI795" s="2" t="n">
        <f aca="false">IF(OR(ISBLANK(B795),ISBLANK(C795)),"",C795-B795)</f>
        <v>6</v>
      </c>
      <c r="AJ795" s="2" t="str">
        <f aca="false">IF(AI795="","Unknown",IF(AI795&lt;0,"Invalid","OK"))</f>
        <v>OK</v>
      </c>
      <c r="AK795" s="2" t="str">
        <f aca="false">IF(ISBLANK(B795),"",TEXT(B795,"mmm"))</f>
        <v>May</v>
      </c>
      <c r="AL795" s="2" t="n">
        <f aca="false">IF(ISBLANK(B795),"",YEAR(B795))</f>
        <v>2024</v>
      </c>
      <c r="AM795" s="2" t="s">
        <v>41</v>
      </c>
      <c r="AN795" s="2" t="str">
        <f aca="false">IF(OR(W795="Invalid",AJ795="Invalid",AH795="Inconsistent",Z795="Mismatch",AD795="Mismatch",AM795="Yes",D795="Yes",E795="Yes"),"Invalid",IF(OR(J795="Yes",Q795="Yes",U795="Yes"),"Warning","Clean"))</f>
        <v>Clean</v>
      </c>
    </row>
    <row r="796" customFormat="false" ht="15" hidden="false" customHeight="false" outlineLevel="0" collapsed="false">
      <c r="A796" s="2" t="s">
        <v>2482</v>
      </c>
      <c r="B796" s="3" t="n">
        <v>45830</v>
      </c>
      <c r="C796" s="3" t="n">
        <v>45832</v>
      </c>
      <c r="D796" s="2" t="s">
        <v>41</v>
      </c>
      <c r="E796" s="2" t="s">
        <v>41</v>
      </c>
      <c r="F796" s="2" t="s">
        <v>2483</v>
      </c>
      <c r="G796" s="2" t="s">
        <v>152</v>
      </c>
      <c r="H796" s="2" t="s">
        <v>110</v>
      </c>
      <c r="I796" s="2" t="s">
        <v>58</v>
      </c>
      <c r="J796" s="2" t="s">
        <v>41</v>
      </c>
      <c r="K796" s="2" t="s">
        <v>186</v>
      </c>
      <c r="L796" s="2" t="s">
        <v>187</v>
      </c>
      <c r="M796" s="2" t="s">
        <v>48</v>
      </c>
      <c r="N796" s="2" t="s">
        <v>49</v>
      </c>
      <c r="O796" s="2" t="s">
        <v>2484</v>
      </c>
      <c r="P796" s="2" t="s">
        <v>79</v>
      </c>
      <c r="Q796" s="2" t="s">
        <v>41</v>
      </c>
      <c r="R796" s="2" t="n">
        <v>9</v>
      </c>
      <c r="S796" s="2" t="n">
        <v>951.55</v>
      </c>
      <c r="T796" s="2" t="n">
        <v>0.15</v>
      </c>
      <c r="U796" s="2" t="str">
        <f aca="false">IF(ISBLANK(T796),"Yes","No")</f>
        <v>No</v>
      </c>
      <c r="V796" s="2" t="n">
        <f aca="false">IF(ISBLANK(T796),0,IF(ISNUMBER(T796),T796,VALUE(LEFT(T796,LEN(T796)-1))/100))</f>
        <v>0.15</v>
      </c>
      <c r="W796" s="2" t="str">
        <f aca="false">IF(AND(V796&gt;=0,V796&lt;=0.25),"Valid","Invalid")</f>
        <v>Valid</v>
      </c>
      <c r="X796" s="2" t="n">
        <v>7279.36</v>
      </c>
      <c r="Y796" s="2" t="n">
        <f aca="false">R796*S796*(1-V796)</f>
        <v>7279.3575</v>
      </c>
      <c r="Z796" s="2" t="str">
        <f aca="false">IF(ABS(X796-Y796)&gt;1,"Mismatch","OK")</f>
        <v>OK</v>
      </c>
      <c r="AA796" s="2" t="n">
        <v>4870.39</v>
      </c>
      <c r="AB796" s="2" t="n">
        <v>2408.97</v>
      </c>
      <c r="AC796" s="2" t="n">
        <f aca="false">Y796-AA796</f>
        <v>2408.9675</v>
      </c>
      <c r="AD796" s="2" t="str">
        <f aca="false">IF(ABS(AB796-AC796)&gt;1,"Mismatch","OK")</f>
        <v>OK</v>
      </c>
      <c r="AE796" s="4" t="n">
        <f aca="false">IF(Y796=0,0,AC796/Y796)</f>
        <v>0.330931335629552</v>
      </c>
      <c r="AF796" s="2" t="s">
        <v>52</v>
      </c>
      <c r="AG796" s="2" t="s">
        <v>53</v>
      </c>
      <c r="AH796" s="2" t="str">
        <f aca="false">IF(AND(AG796="Completed",AF796&lt;&gt;"Paid"),"Inconsistent","OK")</f>
        <v>OK</v>
      </c>
      <c r="AI796" s="2" t="n">
        <f aca="false">IF(OR(ISBLANK(B796),ISBLANK(C796)),"",C796-B796)</f>
        <v>2</v>
      </c>
      <c r="AJ796" s="2" t="str">
        <f aca="false">IF(AI796="","Unknown",IF(AI796&lt;0,"Invalid","OK"))</f>
        <v>OK</v>
      </c>
      <c r="AK796" s="2" t="str">
        <f aca="false">IF(ISBLANK(B796),"",TEXT(B796,"mmm"))</f>
        <v>Jun</v>
      </c>
      <c r="AL796" s="2" t="n">
        <f aca="false">IF(ISBLANK(B796),"",YEAR(B796))</f>
        <v>2025</v>
      </c>
      <c r="AM796" s="2" t="s">
        <v>41</v>
      </c>
      <c r="AN796" s="2" t="str">
        <f aca="false">IF(OR(W796="Invalid",AJ796="Invalid",AH796="Inconsistent",Z796="Mismatch",AD796="Mismatch",AM796="Yes",D796="Yes",E796="Yes"),"Invalid",IF(OR(J796="Yes",Q796="Yes",U796="Yes"),"Warning","Clean"))</f>
        <v>Clean</v>
      </c>
    </row>
    <row r="797" customFormat="false" ht="15" hidden="false" customHeight="false" outlineLevel="0" collapsed="false">
      <c r="A797" s="2" t="s">
        <v>2485</v>
      </c>
      <c r="B797" s="3" t="n">
        <v>45503</v>
      </c>
      <c r="C797" s="3" t="n">
        <v>45503</v>
      </c>
      <c r="D797" s="2" t="s">
        <v>41</v>
      </c>
      <c r="E797" s="2" t="s">
        <v>41</v>
      </c>
      <c r="F797" s="2" t="s">
        <v>2486</v>
      </c>
      <c r="G797" s="2" t="s">
        <v>182</v>
      </c>
      <c r="H797" s="2" t="s">
        <v>115</v>
      </c>
      <c r="I797" s="2" t="s">
        <v>58</v>
      </c>
      <c r="J797" s="2" t="s">
        <v>41</v>
      </c>
      <c r="K797" s="2" t="s">
        <v>59</v>
      </c>
      <c r="L797" s="2" t="s">
        <v>60</v>
      </c>
      <c r="M797" s="2" t="s">
        <v>94</v>
      </c>
      <c r="N797" s="2" t="s">
        <v>100</v>
      </c>
      <c r="O797" s="2" t="s">
        <v>2487</v>
      </c>
      <c r="P797" s="2" t="s">
        <v>64</v>
      </c>
      <c r="Q797" s="2" t="s">
        <v>41</v>
      </c>
      <c r="R797" s="2" t="n">
        <v>9</v>
      </c>
      <c r="S797" s="2" t="n">
        <v>2894.66</v>
      </c>
      <c r="T797" s="2" t="n">
        <v>0</v>
      </c>
      <c r="U797" s="2" t="str">
        <f aca="false">IF(ISBLANK(T797),"Yes","No")</f>
        <v>No</v>
      </c>
      <c r="V797" s="2" t="n">
        <f aca="false">IF(ISBLANK(T797),0,IF(ISNUMBER(T797),T797,VALUE(LEFT(T797,LEN(T797)-1))/100))</f>
        <v>0</v>
      </c>
      <c r="W797" s="2" t="str">
        <f aca="false">IF(AND(V797&gt;=0,V797&lt;=0.25),"Valid","Invalid")</f>
        <v>Valid</v>
      </c>
      <c r="X797" s="2" t="n">
        <v>26051.94</v>
      </c>
      <c r="Y797" s="2" t="n">
        <f aca="false">R797*S797*(1-V797)</f>
        <v>26051.94</v>
      </c>
      <c r="Z797" s="2" t="str">
        <f aca="false">IF(ABS(X797-Y797)&gt;1,"Mismatch","OK")</f>
        <v>OK</v>
      </c>
      <c r="AA797" s="2" t="n">
        <v>16883.59</v>
      </c>
      <c r="AB797" s="2" t="n">
        <v>9168.35</v>
      </c>
      <c r="AC797" s="2" t="n">
        <f aca="false">Y797-AA797</f>
        <v>9168.35</v>
      </c>
      <c r="AD797" s="2" t="str">
        <f aca="false">IF(ABS(AB797-AC797)&gt;1,"Mismatch","OK")</f>
        <v>OK</v>
      </c>
      <c r="AE797" s="4" t="n">
        <f aca="false">IF(Y797=0,0,AC797/Y797)</f>
        <v>0.351925806676969</v>
      </c>
      <c r="AF797" s="2" t="s">
        <v>122</v>
      </c>
      <c r="AG797" s="2" t="s">
        <v>88</v>
      </c>
      <c r="AH797" s="2" t="str">
        <f aca="false">IF(AND(AG797="Completed",AF797&lt;&gt;"Paid"),"Inconsistent","OK")</f>
        <v>OK</v>
      </c>
      <c r="AI797" s="2" t="n">
        <f aca="false">IF(OR(ISBLANK(B797),ISBLANK(C797)),"",C797-B797)</f>
        <v>0</v>
      </c>
      <c r="AJ797" s="2" t="str">
        <f aca="false">IF(AI797="","Unknown",IF(AI797&lt;0,"Invalid","OK"))</f>
        <v>OK</v>
      </c>
      <c r="AK797" s="2" t="str">
        <f aca="false">IF(ISBLANK(B797),"",TEXT(B797,"mmm"))</f>
        <v>Jul</v>
      </c>
      <c r="AL797" s="2" t="n">
        <f aca="false">IF(ISBLANK(B797),"",YEAR(B797))</f>
        <v>2024</v>
      </c>
      <c r="AM797" s="2" t="s">
        <v>41</v>
      </c>
      <c r="AN797" s="2" t="str">
        <f aca="false">IF(OR(W797="Invalid",AJ797="Invalid",AH797="Inconsistent",Z797="Mismatch",AD797="Mismatch",AM797="Yes",D797="Yes",E797="Yes"),"Invalid",IF(OR(J797="Yes",Q797="Yes",U797="Yes"),"Warning","Clean"))</f>
        <v>Clean</v>
      </c>
    </row>
    <row r="798" customFormat="false" ht="15" hidden="false" customHeight="false" outlineLevel="0" collapsed="false">
      <c r="A798" s="2" t="s">
        <v>2488</v>
      </c>
      <c r="B798" s="3" t="n">
        <v>45374</v>
      </c>
      <c r="C798" s="3" t="n">
        <v>45381</v>
      </c>
      <c r="D798" s="2" t="s">
        <v>41</v>
      </c>
      <c r="E798" s="2" t="s">
        <v>41</v>
      </c>
      <c r="F798" s="2" t="s">
        <v>2489</v>
      </c>
      <c r="G798" s="2" t="s">
        <v>161</v>
      </c>
      <c r="H798" s="2" t="s">
        <v>57</v>
      </c>
      <c r="I798" s="2" t="s">
        <v>74</v>
      </c>
      <c r="J798" s="2" t="s">
        <v>41</v>
      </c>
      <c r="K798" s="2" t="s">
        <v>104</v>
      </c>
      <c r="L798" s="2" t="s">
        <v>105</v>
      </c>
      <c r="M798" s="2" t="s">
        <v>94</v>
      </c>
      <c r="N798" s="2" t="s">
        <v>296</v>
      </c>
      <c r="O798" s="2" t="s">
        <v>2490</v>
      </c>
      <c r="P798" s="2" t="s">
        <v>70</v>
      </c>
      <c r="Q798" s="2" t="s">
        <v>41</v>
      </c>
      <c r="R798" s="2" t="n">
        <v>6</v>
      </c>
      <c r="S798" s="2" t="n">
        <v>1894.44</v>
      </c>
      <c r="T798" s="2" t="n">
        <v>0.15</v>
      </c>
      <c r="U798" s="2" t="str">
        <f aca="false">IF(ISBLANK(T798),"Yes","No")</f>
        <v>No</v>
      </c>
      <c r="V798" s="2" t="n">
        <f aca="false">IF(ISBLANK(T798),0,IF(ISNUMBER(T798),T798,VALUE(LEFT(T798,LEN(T798)-1))/100))</f>
        <v>0.15</v>
      </c>
      <c r="W798" s="2" t="str">
        <f aca="false">IF(AND(V798&gt;=0,V798&lt;=0.25),"Valid","Invalid")</f>
        <v>Valid</v>
      </c>
      <c r="X798" s="2" t="n">
        <v>9661.64</v>
      </c>
      <c r="Y798" s="2" t="n">
        <f aca="false">R798*S798*(1-V798)</f>
        <v>9661.644</v>
      </c>
      <c r="Z798" s="2" t="str">
        <f aca="false">IF(ABS(X798-Y798)&gt;1,"Mismatch","OK")</f>
        <v>OK</v>
      </c>
      <c r="AA798" s="2" t="n">
        <v>6303.77</v>
      </c>
      <c r="AB798" s="2" t="n">
        <v>3357.87</v>
      </c>
      <c r="AC798" s="2" t="n">
        <f aca="false">Y798-AA798</f>
        <v>3357.874</v>
      </c>
      <c r="AD798" s="2" t="str">
        <f aca="false">IF(ABS(AB798-AC798)&gt;1,"Mismatch","OK")</f>
        <v>OK</v>
      </c>
      <c r="AE798" s="4" t="n">
        <f aca="false">IF(Y798=0,0,AC798/Y798)</f>
        <v>0.347546856414912</v>
      </c>
      <c r="AF798" s="2" t="s">
        <v>52</v>
      </c>
      <c r="AG798" s="2" t="s">
        <v>53</v>
      </c>
      <c r="AH798" s="2" t="str">
        <f aca="false">IF(AND(AG798="Completed",AF798&lt;&gt;"Paid"),"Inconsistent","OK")</f>
        <v>OK</v>
      </c>
      <c r="AI798" s="2" t="n">
        <f aca="false">IF(OR(ISBLANK(B798),ISBLANK(C798)),"",C798-B798)</f>
        <v>7</v>
      </c>
      <c r="AJ798" s="2" t="str">
        <f aca="false">IF(AI798="","Unknown",IF(AI798&lt;0,"Invalid","OK"))</f>
        <v>OK</v>
      </c>
      <c r="AK798" s="2" t="str">
        <f aca="false">IF(ISBLANK(B798),"",TEXT(B798,"mmm"))</f>
        <v>Mar</v>
      </c>
      <c r="AL798" s="2" t="n">
        <f aca="false">IF(ISBLANK(B798),"",YEAR(B798))</f>
        <v>2024</v>
      </c>
      <c r="AM798" s="2" t="s">
        <v>41</v>
      </c>
      <c r="AN798" s="2" t="str">
        <f aca="false">IF(OR(W798="Invalid",AJ798="Invalid",AH798="Inconsistent",Z798="Mismatch",AD798="Mismatch",AM798="Yes",D798="Yes",E798="Yes"),"Invalid",IF(OR(J798="Yes",Q798="Yes",U798="Yes"),"Warning","Clean"))</f>
        <v>Clean</v>
      </c>
    </row>
    <row r="799" customFormat="false" ht="15" hidden="false" customHeight="false" outlineLevel="0" collapsed="false">
      <c r="A799" s="2" t="s">
        <v>2491</v>
      </c>
      <c r="B799" s="3" t="n">
        <v>45400</v>
      </c>
      <c r="C799" s="3" t="n">
        <v>45404</v>
      </c>
      <c r="D799" s="2" t="s">
        <v>41</v>
      </c>
      <c r="E799" s="2" t="s">
        <v>41</v>
      </c>
      <c r="F799" s="2" t="s">
        <v>2492</v>
      </c>
      <c r="G799" s="2" t="s">
        <v>148</v>
      </c>
      <c r="H799" s="2" t="s">
        <v>44</v>
      </c>
      <c r="I799" s="2" t="s">
        <v>58</v>
      </c>
      <c r="J799" s="2" t="s">
        <v>41</v>
      </c>
      <c r="K799" s="2" t="s">
        <v>59</v>
      </c>
      <c r="L799" s="2" t="s">
        <v>60</v>
      </c>
      <c r="M799" s="2" t="s">
        <v>48</v>
      </c>
      <c r="N799" s="2" t="s">
        <v>173</v>
      </c>
      <c r="O799" s="2" t="s">
        <v>2493</v>
      </c>
      <c r="P799" s="2" t="s">
        <v>70</v>
      </c>
      <c r="Q799" s="2" t="s">
        <v>41</v>
      </c>
      <c r="R799" s="2" t="n">
        <v>8</v>
      </c>
      <c r="S799" s="2" t="n">
        <v>1714.37</v>
      </c>
      <c r="T799" s="2" t="n">
        <v>0</v>
      </c>
      <c r="U799" s="2" t="str">
        <f aca="false">IF(ISBLANK(T799),"Yes","No")</f>
        <v>No</v>
      </c>
      <c r="V799" s="2" t="n">
        <f aca="false">IF(ISBLANK(T799),0,IF(ISNUMBER(T799),T799,VALUE(LEFT(T799,LEN(T799)-1))/100))</f>
        <v>0</v>
      </c>
      <c r="W799" s="2" t="str">
        <f aca="false">IF(AND(V799&gt;=0,V799&lt;=0.25),"Valid","Invalid")</f>
        <v>Valid</v>
      </c>
      <c r="X799" s="2" t="n">
        <v>13714.96</v>
      </c>
      <c r="Y799" s="2" t="n">
        <f aca="false">R799*S799*(1-V799)</f>
        <v>13714.96</v>
      </c>
      <c r="Z799" s="2" t="str">
        <f aca="false">IF(ABS(X799-Y799)&gt;1,"Mismatch","OK")</f>
        <v>OK</v>
      </c>
      <c r="AA799" s="2" t="n">
        <v>10550.47</v>
      </c>
      <c r="AB799" s="2" t="n">
        <v>3164.49</v>
      </c>
      <c r="AC799" s="2" t="n">
        <f aca="false">Y799-AA799</f>
        <v>3164.49</v>
      </c>
      <c r="AD799" s="2" t="str">
        <f aca="false">IF(ABS(AB799-AC799)&gt;1,"Mismatch","OK")</f>
        <v>OK</v>
      </c>
      <c r="AE799" s="4" t="n">
        <f aca="false">IF(Y799=0,0,AC799/Y799)</f>
        <v>0.230732718141358</v>
      </c>
      <c r="AF799" s="2" t="s">
        <v>175</v>
      </c>
      <c r="AG799" s="2" t="s">
        <v>88</v>
      </c>
      <c r="AH799" s="2" t="str">
        <f aca="false">IF(AND(AG799="Completed",AF799&lt;&gt;"Paid"),"Inconsistent","OK")</f>
        <v>OK</v>
      </c>
      <c r="AI799" s="2" t="n">
        <f aca="false">IF(OR(ISBLANK(B799),ISBLANK(C799)),"",C799-B799)</f>
        <v>4</v>
      </c>
      <c r="AJ799" s="2" t="str">
        <f aca="false">IF(AI799="","Unknown",IF(AI799&lt;0,"Invalid","OK"))</f>
        <v>OK</v>
      </c>
      <c r="AK799" s="2" t="str">
        <f aca="false">IF(ISBLANK(B799),"",TEXT(B799,"mmm"))</f>
        <v>Apr</v>
      </c>
      <c r="AL799" s="2" t="n">
        <f aca="false">IF(ISBLANK(B799),"",YEAR(B799))</f>
        <v>2024</v>
      </c>
      <c r="AM799" s="2" t="s">
        <v>41</v>
      </c>
      <c r="AN799" s="2" t="str">
        <f aca="false">IF(OR(W799="Invalid",AJ799="Invalid",AH799="Inconsistent",Z799="Mismatch",AD799="Mismatch",AM799="Yes",D799="Yes",E799="Yes"),"Invalid",IF(OR(J799="Yes",Q799="Yes",U799="Yes"),"Warning","Clean"))</f>
        <v>Clean</v>
      </c>
    </row>
    <row r="800" customFormat="false" ht="15" hidden="false" customHeight="false" outlineLevel="0" collapsed="false">
      <c r="A800" s="2" t="s">
        <v>2494</v>
      </c>
      <c r="B800" s="3" t="n">
        <v>45849</v>
      </c>
      <c r="C800" s="3" t="n">
        <v>45847</v>
      </c>
      <c r="D800" s="2" t="s">
        <v>41</v>
      </c>
      <c r="E800" s="2" t="s">
        <v>41</v>
      </c>
      <c r="F800" s="2" t="s">
        <v>2495</v>
      </c>
      <c r="G800" s="2" t="s">
        <v>109</v>
      </c>
      <c r="H800" s="2" t="s">
        <v>110</v>
      </c>
      <c r="I800" s="2" t="s">
        <v>45</v>
      </c>
      <c r="J800" s="2" t="s">
        <v>41</v>
      </c>
      <c r="K800" s="2" t="s">
        <v>372</v>
      </c>
      <c r="L800" s="2" t="s">
        <v>373</v>
      </c>
      <c r="M800" s="2" t="s">
        <v>61</v>
      </c>
      <c r="N800" s="2" t="s">
        <v>77</v>
      </c>
      <c r="O800" s="2" t="s">
        <v>2496</v>
      </c>
      <c r="P800" s="2" t="s">
        <v>79</v>
      </c>
      <c r="Q800" s="2" t="s">
        <v>41</v>
      </c>
      <c r="R800" s="2" t="n">
        <v>9</v>
      </c>
      <c r="S800" s="2" t="n">
        <v>1706.05</v>
      </c>
      <c r="T800" s="2" t="n">
        <v>0</v>
      </c>
      <c r="U800" s="2" t="str">
        <f aca="false">IF(ISBLANK(T800),"Yes","No")</f>
        <v>No</v>
      </c>
      <c r="V800" s="2" t="n">
        <f aca="false">IF(ISBLANK(T800),0,IF(ISNUMBER(T800),T800,VALUE(LEFT(T800,LEN(T800)-1))/100))</f>
        <v>0</v>
      </c>
      <c r="W800" s="2" t="str">
        <f aca="false">IF(AND(V800&gt;=0,V800&lt;=0.25),"Valid","Invalid")</f>
        <v>Valid</v>
      </c>
      <c r="X800" s="2" t="n">
        <v>15354.45</v>
      </c>
      <c r="Y800" s="2" t="n">
        <f aca="false">R800*S800*(1-V800)</f>
        <v>15354.45</v>
      </c>
      <c r="Z800" s="2" t="str">
        <f aca="false">IF(ABS(X800-Y800)&gt;1,"Mismatch","OK")</f>
        <v>OK</v>
      </c>
      <c r="AA800" s="2" t="n">
        <v>9656.5</v>
      </c>
      <c r="AB800" s="2" t="n">
        <v>5697.95</v>
      </c>
      <c r="AC800" s="2" t="n">
        <f aca="false">Y800-AA800</f>
        <v>5697.95</v>
      </c>
      <c r="AD800" s="2" t="str">
        <f aca="false">IF(ABS(AB800-AC800)&gt;1,"Mismatch","OK")</f>
        <v>OK</v>
      </c>
      <c r="AE800" s="4" t="n">
        <f aca="false">IF(Y800=0,0,AC800/Y800)</f>
        <v>0.371094373292433</v>
      </c>
      <c r="AF800" s="2" t="s">
        <v>52</v>
      </c>
      <c r="AG800" s="2" t="s">
        <v>53</v>
      </c>
      <c r="AH800" s="2" t="str">
        <f aca="false">IF(AND(AG800="Completed",AF800&lt;&gt;"Paid"),"Inconsistent","OK")</f>
        <v>OK</v>
      </c>
      <c r="AI800" s="2" t="n">
        <f aca="false">IF(OR(ISBLANK(B800),ISBLANK(C800)),"",C800-B800)</f>
        <v>-2</v>
      </c>
      <c r="AJ800" s="2" t="str">
        <f aca="false">IF(AI800="","Unknown",IF(AI800&lt;0,"Invalid","OK"))</f>
        <v>Invalid</v>
      </c>
      <c r="AK800" s="2" t="str">
        <f aca="false">IF(ISBLANK(B800),"",TEXT(B800,"mmm"))</f>
        <v>Jul</v>
      </c>
      <c r="AL800" s="2" t="n">
        <f aca="false">IF(ISBLANK(B800),"",YEAR(B800))</f>
        <v>2025</v>
      </c>
      <c r="AM800" s="2" t="s">
        <v>41</v>
      </c>
      <c r="AN800" s="2" t="str">
        <f aca="false">IF(OR(W800="Invalid",AJ800="Invalid",AH800="Inconsistent",Z800="Mismatch",AD800="Mismatch",AM800="Yes",D800="Yes",E800="Yes"),"Invalid",IF(OR(J800="Yes",Q800="Yes",U800="Yes"),"Warning","Clean"))</f>
        <v>Invalid</v>
      </c>
    </row>
    <row r="801" customFormat="false" ht="15" hidden="false" customHeight="false" outlineLevel="0" collapsed="false">
      <c r="A801" s="2" t="s">
        <v>2497</v>
      </c>
      <c r="B801" s="3" t="n">
        <v>45575</v>
      </c>
      <c r="C801" s="3" t="n">
        <v>45582</v>
      </c>
      <c r="D801" s="2" t="s">
        <v>41</v>
      </c>
      <c r="E801" s="2" t="s">
        <v>41</v>
      </c>
      <c r="F801" s="2" t="s">
        <v>2498</v>
      </c>
      <c r="G801" s="2" t="s">
        <v>67</v>
      </c>
      <c r="H801" s="2" t="s">
        <v>115</v>
      </c>
      <c r="I801" s="2" t="s">
        <v>45</v>
      </c>
      <c r="J801" s="2" t="s">
        <v>41</v>
      </c>
      <c r="K801" s="2" t="s">
        <v>258</v>
      </c>
      <c r="L801" s="2" t="s">
        <v>259</v>
      </c>
      <c r="M801" s="2" t="s">
        <v>94</v>
      </c>
      <c r="N801" s="2" t="s">
        <v>95</v>
      </c>
      <c r="O801" s="2" t="s">
        <v>2499</v>
      </c>
      <c r="P801" s="2" t="s">
        <v>225</v>
      </c>
      <c r="Q801" s="2" t="s">
        <v>226</v>
      </c>
      <c r="R801" s="2" t="n">
        <v>5</v>
      </c>
      <c r="S801" s="2" t="n">
        <v>967.41</v>
      </c>
      <c r="T801" s="2" t="n">
        <v>0.05</v>
      </c>
      <c r="U801" s="2" t="str">
        <f aca="false">IF(ISBLANK(T801),"Yes","No")</f>
        <v>No</v>
      </c>
      <c r="V801" s="2" t="n">
        <f aca="false">IF(ISBLANK(T801),0,IF(ISNUMBER(T801),T801,VALUE(LEFT(T801,LEN(T801)-1))/100))</f>
        <v>0.05</v>
      </c>
      <c r="W801" s="2" t="str">
        <f aca="false">IF(AND(V801&gt;=0,V801&lt;=0.25),"Valid","Invalid")</f>
        <v>Valid</v>
      </c>
      <c r="X801" s="2" t="n">
        <v>4595.2</v>
      </c>
      <c r="Y801" s="2" t="n">
        <f aca="false">R801*S801*(1-V801)</f>
        <v>4595.1975</v>
      </c>
      <c r="Z801" s="2" t="str">
        <f aca="false">IF(ABS(X801-Y801)&gt;1,"Mismatch","OK")</f>
        <v>OK</v>
      </c>
      <c r="AA801" s="2" t="n">
        <v>3887.41</v>
      </c>
      <c r="AB801" s="2" t="n">
        <v>707.79</v>
      </c>
      <c r="AC801" s="2" t="n">
        <f aca="false">Y801-AA801</f>
        <v>707.7875</v>
      </c>
      <c r="AD801" s="2" t="str">
        <f aca="false">IF(ABS(AB801-AC801)&gt;1,"Mismatch","OK")</f>
        <v>OK</v>
      </c>
      <c r="AE801" s="4" t="n">
        <f aca="false">IF(Y801=0,0,AC801/Y801)</f>
        <v>0.154027656047428</v>
      </c>
      <c r="AF801" s="2" t="s">
        <v>52</v>
      </c>
      <c r="AG801" s="2" t="s">
        <v>123</v>
      </c>
      <c r="AH801" s="2" t="str">
        <f aca="false">IF(AND(AG801="Completed",AF801&lt;&gt;"Paid"),"Inconsistent","OK")</f>
        <v>OK</v>
      </c>
      <c r="AI801" s="2" t="n">
        <f aca="false">IF(OR(ISBLANK(B801),ISBLANK(C801)),"",C801-B801)</f>
        <v>7</v>
      </c>
      <c r="AJ801" s="2" t="str">
        <f aca="false">IF(AI801="","Unknown",IF(AI801&lt;0,"Invalid","OK"))</f>
        <v>OK</v>
      </c>
      <c r="AK801" s="2" t="str">
        <f aca="false">IF(ISBLANK(B801),"",TEXT(B801,"mmm"))</f>
        <v>Oct</v>
      </c>
      <c r="AL801" s="2" t="n">
        <f aca="false">IF(ISBLANK(B801),"",YEAR(B801))</f>
        <v>2024</v>
      </c>
      <c r="AM801" s="2" t="s">
        <v>41</v>
      </c>
      <c r="AN801" s="2" t="str">
        <f aca="false">IF(OR(W801="Invalid",AJ801="Invalid",AH801="Inconsistent",Z801="Mismatch",AD801="Mismatch",AM801="Yes",D801="Yes",E801="Yes"),"Invalid",IF(OR(J801="Yes",Q801="Yes",U801="Yes"),"Warning","Clean"))</f>
        <v>Warning</v>
      </c>
    </row>
    <row r="802" customFormat="false" ht="15" hidden="false" customHeight="false" outlineLevel="0" collapsed="false">
      <c r="A802" s="2" t="s">
        <v>2500</v>
      </c>
      <c r="B802" s="3" t="n">
        <v>45352</v>
      </c>
      <c r="C802" s="3" t="n">
        <v>45358</v>
      </c>
      <c r="D802" s="2" t="s">
        <v>41</v>
      </c>
      <c r="E802" s="2" t="s">
        <v>41</v>
      </c>
      <c r="F802" s="2" t="s">
        <v>2501</v>
      </c>
      <c r="G802" s="2" t="s">
        <v>91</v>
      </c>
      <c r="H802" s="2" t="s">
        <v>57</v>
      </c>
      <c r="I802" s="2" t="s">
        <v>83</v>
      </c>
      <c r="J802" s="2" t="s">
        <v>41</v>
      </c>
      <c r="K802" s="2" t="s">
        <v>84</v>
      </c>
      <c r="L802" s="2" t="s">
        <v>85</v>
      </c>
      <c r="M802" s="2" t="s">
        <v>48</v>
      </c>
      <c r="N802" s="2" t="s">
        <v>144</v>
      </c>
      <c r="O802" s="2" t="s">
        <v>2502</v>
      </c>
      <c r="P802" s="2" t="s">
        <v>51</v>
      </c>
      <c r="Q802" s="2" t="s">
        <v>41</v>
      </c>
      <c r="R802" s="2" t="n">
        <v>6</v>
      </c>
      <c r="S802" s="2" t="n">
        <v>4163.72</v>
      </c>
      <c r="T802" s="2" t="n">
        <v>0.15</v>
      </c>
      <c r="U802" s="2" t="str">
        <f aca="false">IF(ISBLANK(T802),"Yes","No")</f>
        <v>No</v>
      </c>
      <c r="V802" s="2" t="n">
        <f aca="false">IF(ISBLANK(T802),0,IF(ISNUMBER(T802),T802,VALUE(LEFT(T802,LEN(T802)-1))/100))</f>
        <v>0.15</v>
      </c>
      <c r="W802" s="2" t="str">
        <f aca="false">IF(AND(V802&gt;=0,V802&lt;=0.25),"Valid","Invalid")</f>
        <v>Valid</v>
      </c>
      <c r="X802" s="2" t="n">
        <v>21234.97</v>
      </c>
      <c r="Y802" s="2" t="n">
        <f aca="false">R802*S802*(1-V802)</f>
        <v>21234.972</v>
      </c>
      <c r="Z802" s="2" t="str">
        <f aca="false">IF(ABS(X802-Y802)&gt;1,"Mismatch","OK")</f>
        <v>OK</v>
      </c>
      <c r="AA802" s="2" t="n">
        <v>16736.09</v>
      </c>
      <c r="AB802" s="2" t="n">
        <v>4498.88</v>
      </c>
      <c r="AC802" s="2" t="n">
        <f aca="false">Y802-AA802</f>
        <v>4498.882</v>
      </c>
      <c r="AD802" s="2" t="str">
        <f aca="false">IF(ABS(AB802-AC802)&gt;1,"Mismatch","OK")</f>
        <v>OK</v>
      </c>
      <c r="AE802" s="4" t="n">
        <f aca="false">IF(Y802=0,0,AC802/Y802)</f>
        <v>0.2118619228695</v>
      </c>
      <c r="AF802" s="2" t="s">
        <v>52</v>
      </c>
      <c r="AG802" s="2" t="s">
        <v>53</v>
      </c>
      <c r="AH802" s="2" t="str">
        <f aca="false">IF(AND(AG802="Completed",AF802&lt;&gt;"Paid"),"Inconsistent","OK")</f>
        <v>OK</v>
      </c>
      <c r="AI802" s="2" t="n">
        <f aca="false">IF(OR(ISBLANK(B802),ISBLANK(C802)),"",C802-B802)</f>
        <v>6</v>
      </c>
      <c r="AJ802" s="2" t="str">
        <f aca="false">IF(AI802="","Unknown",IF(AI802&lt;0,"Invalid","OK"))</f>
        <v>OK</v>
      </c>
      <c r="AK802" s="2" t="str">
        <f aca="false">IF(ISBLANK(B802),"",TEXT(B802,"mmm"))</f>
        <v>Mar</v>
      </c>
      <c r="AL802" s="2" t="n">
        <f aca="false">IF(ISBLANK(B802),"",YEAR(B802))</f>
        <v>2024</v>
      </c>
      <c r="AM802" s="2" t="s">
        <v>41</v>
      </c>
      <c r="AN802" s="2" t="str">
        <f aca="false">IF(OR(W802="Invalid",AJ802="Invalid",AH802="Inconsistent",Z802="Mismatch",AD802="Mismatch",AM802="Yes",D802="Yes",E802="Yes"),"Invalid",IF(OR(J802="Yes",Q802="Yes",U802="Yes"),"Warning","Clean"))</f>
        <v>Clean</v>
      </c>
    </row>
    <row r="803" customFormat="false" ht="15" hidden="false" customHeight="false" outlineLevel="0" collapsed="false">
      <c r="A803" s="2" t="s">
        <v>2503</v>
      </c>
      <c r="B803" s="3" t="n">
        <v>45938</v>
      </c>
      <c r="C803" s="3" t="n">
        <v>45945</v>
      </c>
      <c r="D803" s="2" t="s">
        <v>41</v>
      </c>
      <c r="E803" s="2" t="s">
        <v>41</v>
      </c>
      <c r="F803" s="2" t="s">
        <v>2504</v>
      </c>
      <c r="G803" s="2" t="s">
        <v>148</v>
      </c>
      <c r="H803" s="2" t="s">
        <v>115</v>
      </c>
      <c r="I803" s="2" t="s">
        <v>58</v>
      </c>
      <c r="J803" s="2" t="s">
        <v>41</v>
      </c>
      <c r="K803" s="2" t="s">
        <v>59</v>
      </c>
      <c r="L803" s="2" t="s">
        <v>60</v>
      </c>
      <c r="M803" s="2" t="s">
        <v>94</v>
      </c>
      <c r="N803" s="2" t="s">
        <v>95</v>
      </c>
      <c r="O803" s="2" t="s">
        <v>2505</v>
      </c>
      <c r="P803" s="2" t="s">
        <v>51</v>
      </c>
      <c r="Q803" s="2" t="s">
        <v>41</v>
      </c>
      <c r="R803" s="2" t="n">
        <v>3</v>
      </c>
      <c r="S803" s="2" t="n">
        <v>3372.21</v>
      </c>
      <c r="T803" s="2" t="n">
        <v>0.2</v>
      </c>
      <c r="U803" s="2" t="str">
        <f aca="false">IF(ISBLANK(T803),"Yes","No")</f>
        <v>No</v>
      </c>
      <c r="V803" s="2" t="n">
        <f aca="false">IF(ISBLANK(T803),0,IF(ISNUMBER(T803),T803,VALUE(LEFT(T803,LEN(T803)-1))/100))</f>
        <v>0.2</v>
      </c>
      <c r="W803" s="2" t="str">
        <f aca="false">IF(AND(V803&gt;=0,V803&lt;=0.25),"Valid","Invalid")</f>
        <v>Valid</v>
      </c>
      <c r="X803" s="2" t="n">
        <v>8093.3</v>
      </c>
      <c r="Y803" s="2" t="n">
        <f aca="false">R803*S803*(1-V803)</f>
        <v>8093.304</v>
      </c>
      <c r="Z803" s="2" t="str">
        <f aca="false">IF(ABS(X803-Y803)&gt;1,"Mismatch","OK")</f>
        <v>OK</v>
      </c>
      <c r="AA803" s="2" t="n">
        <v>6052.43</v>
      </c>
      <c r="AB803" s="2" t="n">
        <v>2040.87</v>
      </c>
      <c r="AC803" s="2" t="n">
        <f aca="false">Y803-AA803</f>
        <v>2040.874</v>
      </c>
      <c r="AD803" s="2" t="str">
        <f aca="false">IF(ABS(AB803-AC803)&gt;1,"Mismatch","OK")</f>
        <v>OK</v>
      </c>
      <c r="AE803" s="4" t="n">
        <f aca="false">IF(Y803=0,0,AC803/Y803)</f>
        <v>0.25216821214179</v>
      </c>
      <c r="AF803" s="2" t="s">
        <v>131</v>
      </c>
      <c r="AG803" s="2" t="s">
        <v>88</v>
      </c>
      <c r="AH803" s="2" t="str">
        <f aca="false">IF(AND(AG803="Completed",AF803&lt;&gt;"Paid"),"Inconsistent","OK")</f>
        <v>OK</v>
      </c>
      <c r="AI803" s="2" t="n">
        <f aca="false">IF(OR(ISBLANK(B803),ISBLANK(C803)),"",C803-B803)</f>
        <v>7</v>
      </c>
      <c r="AJ803" s="2" t="str">
        <f aca="false">IF(AI803="","Unknown",IF(AI803&lt;0,"Invalid","OK"))</f>
        <v>OK</v>
      </c>
      <c r="AK803" s="2" t="str">
        <f aca="false">IF(ISBLANK(B803),"",TEXT(B803,"mmm"))</f>
        <v>Oct</v>
      </c>
      <c r="AL803" s="2" t="n">
        <f aca="false">IF(ISBLANK(B803),"",YEAR(B803))</f>
        <v>2025</v>
      </c>
      <c r="AM803" s="2" t="s">
        <v>41</v>
      </c>
      <c r="AN803" s="2" t="str">
        <f aca="false">IF(OR(W803="Invalid",AJ803="Invalid",AH803="Inconsistent",Z803="Mismatch",AD803="Mismatch",AM803="Yes",D803="Yes",E803="Yes"),"Invalid",IF(OR(J803="Yes",Q803="Yes",U803="Yes"),"Warning","Clean"))</f>
        <v>Clean</v>
      </c>
    </row>
    <row r="804" customFormat="false" ht="15" hidden="false" customHeight="false" outlineLevel="0" collapsed="false">
      <c r="A804" s="2" t="s">
        <v>2506</v>
      </c>
      <c r="B804" s="3" t="n">
        <v>45704</v>
      </c>
      <c r="C804" s="3" t="n">
        <v>45704</v>
      </c>
      <c r="D804" s="2" t="s">
        <v>41</v>
      </c>
      <c r="E804" s="2" t="s">
        <v>41</v>
      </c>
      <c r="F804" s="2" t="s">
        <v>2507</v>
      </c>
      <c r="G804" s="2" t="s">
        <v>161</v>
      </c>
      <c r="H804" s="2" t="s">
        <v>57</v>
      </c>
      <c r="I804" s="2" t="s">
        <v>58</v>
      </c>
      <c r="J804" s="2" t="s">
        <v>41</v>
      </c>
      <c r="K804" s="2" t="s">
        <v>186</v>
      </c>
      <c r="L804" s="2" t="s">
        <v>187</v>
      </c>
      <c r="M804" s="2" t="s">
        <v>61</v>
      </c>
      <c r="N804" s="2" t="s">
        <v>77</v>
      </c>
      <c r="O804" s="2" t="s">
        <v>2508</v>
      </c>
      <c r="P804" s="2" t="s">
        <v>51</v>
      </c>
      <c r="Q804" s="2" t="s">
        <v>41</v>
      </c>
      <c r="R804" s="2" t="n">
        <v>6</v>
      </c>
      <c r="S804" s="2" t="n">
        <v>1441.91</v>
      </c>
      <c r="T804" s="2" t="n">
        <v>0</v>
      </c>
      <c r="U804" s="2" t="str">
        <f aca="false">IF(ISBLANK(T804),"Yes","No")</f>
        <v>No</v>
      </c>
      <c r="V804" s="2" t="n">
        <f aca="false">IF(ISBLANK(T804),0,IF(ISNUMBER(T804),T804,VALUE(LEFT(T804,LEN(T804)-1))/100))</f>
        <v>0</v>
      </c>
      <c r="W804" s="2" t="str">
        <f aca="false">IF(AND(V804&gt;=0,V804&lt;=0.25),"Valid","Invalid")</f>
        <v>Valid</v>
      </c>
      <c r="X804" s="2" t="n">
        <v>8651.46</v>
      </c>
      <c r="Y804" s="2" t="n">
        <f aca="false">R804*S804*(1-V804)</f>
        <v>8651.46</v>
      </c>
      <c r="Z804" s="2" t="str">
        <f aca="false">IF(ABS(X804-Y804)&gt;1,"Mismatch","OK")</f>
        <v>OK</v>
      </c>
      <c r="AA804" s="2" t="n">
        <v>5254.62</v>
      </c>
      <c r="AB804" s="2" t="n">
        <v>3396.84</v>
      </c>
      <c r="AC804" s="2" t="n">
        <f aca="false">Y804-AA804</f>
        <v>3396.84</v>
      </c>
      <c r="AD804" s="2" t="str">
        <f aca="false">IF(ABS(AB804-AC804)&gt;1,"Mismatch","OK")</f>
        <v>OK</v>
      </c>
      <c r="AE804" s="4" t="n">
        <f aca="false">IF(Y804=0,0,AC804/Y804)</f>
        <v>0.392631995062105</v>
      </c>
      <c r="AF804" s="2" t="s">
        <v>175</v>
      </c>
      <c r="AG804" s="2" t="s">
        <v>123</v>
      </c>
      <c r="AH804" s="2" t="str">
        <f aca="false">IF(AND(AG804="Completed",AF804&lt;&gt;"Paid"),"Inconsistent","OK")</f>
        <v>OK</v>
      </c>
      <c r="AI804" s="2" t="n">
        <f aca="false">IF(OR(ISBLANK(B804),ISBLANK(C804)),"",C804-B804)</f>
        <v>0</v>
      </c>
      <c r="AJ804" s="2" t="str">
        <f aca="false">IF(AI804="","Unknown",IF(AI804&lt;0,"Invalid","OK"))</f>
        <v>OK</v>
      </c>
      <c r="AK804" s="2" t="str">
        <f aca="false">IF(ISBLANK(B804),"",TEXT(B804,"mmm"))</f>
        <v>Feb</v>
      </c>
      <c r="AL804" s="2" t="n">
        <f aca="false">IF(ISBLANK(B804),"",YEAR(B804))</f>
        <v>2025</v>
      </c>
      <c r="AM804" s="2" t="s">
        <v>41</v>
      </c>
      <c r="AN804" s="2" t="str">
        <f aca="false">IF(OR(W804="Invalid",AJ804="Invalid",AH804="Inconsistent",Z804="Mismatch",AD804="Mismatch",AM804="Yes",D804="Yes",E804="Yes"),"Invalid",IF(OR(J804="Yes",Q804="Yes",U804="Yes"),"Warning","Clean"))</f>
        <v>Clean</v>
      </c>
    </row>
    <row r="805" customFormat="false" ht="15" hidden="false" customHeight="false" outlineLevel="0" collapsed="false">
      <c r="A805" s="2" t="s">
        <v>2509</v>
      </c>
      <c r="B805" s="3" t="n">
        <v>45635</v>
      </c>
      <c r="C805" s="3" t="n">
        <v>45639</v>
      </c>
      <c r="D805" s="2" t="s">
        <v>41</v>
      </c>
      <c r="E805" s="2" t="s">
        <v>41</v>
      </c>
      <c r="F805" s="2" t="s">
        <v>2510</v>
      </c>
      <c r="G805" s="2" t="s">
        <v>161</v>
      </c>
      <c r="H805" s="2" t="s">
        <v>44</v>
      </c>
      <c r="I805" s="2" t="s">
        <v>225</v>
      </c>
      <c r="J805" s="2" t="s">
        <v>226</v>
      </c>
      <c r="K805" s="2" t="s">
        <v>250</v>
      </c>
      <c r="L805" s="2" t="s">
        <v>251</v>
      </c>
      <c r="M805" s="2" t="s">
        <v>48</v>
      </c>
      <c r="N805" s="2" t="s">
        <v>111</v>
      </c>
      <c r="O805" s="2" t="s">
        <v>2511</v>
      </c>
      <c r="P805" s="2" t="s">
        <v>70</v>
      </c>
      <c r="Q805" s="2" t="s">
        <v>41</v>
      </c>
      <c r="R805" s="2" t="n">
        <v>1</v>
      </c>
      <c r="S805" s="2" t="n">
        <v>4306.65</v>
      </c>
      <c r="T805" s="2" t="n">
        <v>0</v>
      </c>
      <c r="U805" s="2" t="str">
        <f aca="false">IF(ISBLANK(T805),"Yes","No")</f>
        <v>No</v>
      </c>
      <c r="V805" s="2" t="n">
        <f aca="false">IF(ISBLANK(T805),0,IF(ISNUMBER(T805),T805,VALUE(LEFT(T805,LEN(T805)-1))/100))</f>
        <v>0</v>
      </c>
      <c r="W805" s="2" t="str">
        <f aca="false">IF(AND(V805&gt;=0,V805&lt;=0.25),"Valid","Invalid")</f>
        <v>Valid</v>
      </c>
      <c r="X805" s="2" t="n">
        <v>4306.65</v>
      </c>
      <c r="Y805" s="2" t="n">
        <f aca="false">R805*S805*(1-V805)</f>
        <v>4306.65</v>
      </c>
      <c r="Z805" s="2" t="str">
        <f aca="false">IF(ABS(X805-Y805)&gt;1,"Mismatch","OK")</f>
        <v>OK</v>
      </c>
      <c r="AA805" s="2" t="n">
        <v>2568.82</v>
      </c>
      <c r="AB805" s="2" t="n">
        <v>1737.83</v>
      </c>
      <c r="AC805" s="2" t="n">
        <f aca="false">Y805-AA805</f>
        <v>1737.83</v>
      </c>
      <c r="AD805" s="2" t="str">
        <f aca="false">IF(ABS(AB805-AC805)&gt;1,"Mismatch","OK")</f>
        <v>OK</v>
      </c>
      <c r="AE805" s="4" t="n">
        <f aca="false">IF(Y805=0,0,AC805/Y805)</f>
        <v>0.403522459452242</v>
      </c>
      <c r="AF805" s="2" t="s">
        <v>52</v>
      </c>
      <c r="AG805" s="2" t="s">
        <v>53</v>
      </c>
      <c r="AH805" s="2" t="str">
        <f aca="false">IF(AND(AG805="Completed",AF805&lt;&gt;"Paid"),"Inconsistent","OK")</f>
        <v>OK</v>
      </c>
      <c r="AI805" s="2" t="n">
        <f aca="false">IF(OR(ISBLANK(B805),ISBLANK(C805)),"",C805-B805)</f>
        <v>4</v>
      </c>
      <c r="AJ805" s="2" t="str">
        <f aca="false">IF(AI805="","Unknown",IF(AI805&lt;0,"Invalid","OK"))</f>
        <v>OK</v>
      </c>
      <c r="AK805" s="2" t="str">
        <f aca="false">IF(ISBLANK(B805),"",TEXT(B805,"mmm"))</f>
        <v>Dec</v>
      </c>
      <c r="AL805" s="2" t="n">
        <f aca="false">IF(ISBLANK(B805),"",YEAR(B805))</f>
        <v>2024</v>
      </c>
      <c r="AM805" s="2" t="s">
        <v>41</v>
      </c>
      <c r="AN805" s="2" t="str">
        <f aca="false">IF(OR(W805="Invalid",AJ805="Invalid",AH805="Inconsistent",Z805="Mismatch",AD805="Mismatch",AM805="Yes",D805="Yes",E805="Yes"),"Invalid",IF(OR(J805="Yes",Q805="Yes",U805="Yes"),"Warning","Clean"))</f>
        <v>Warning</v>
      </c>
    </row>
    <row r="806" customFormat="false" ht="15" hidden="false" customHeight="false" outlineLevel="0" collapsed="false">
      <c r="A806" s="2" t="s">
        <v>2512</v>
      </c>
      <c r="B806" s="3" t="n">
        <v>45910</v>
      </c>
      <c r="C806" s="3" t="n">
        <v>45918</v>
      </c>
      <c r="D806" s="2" t="s">
        <v>41</v>
      </c>
      <c r="E806" s="2" t="s">
        <v>41</v>
      </c>
      <c r="F806" s="2" t="s">
        <v>2513</v>
      </c>
      <c r="G806" s="2" t="s">
        <v>138</v>
      </c>
      <c r="H806" s="2" t="s">
        <v>115</v>
      </c>
      <c r="I806" s="2" t="s">
        <v>74</v>
      </c>
      <c r="J806" s="2" t="s">
        <v>41</v>
      </c>
      <c r="K806" s="2" t="s">
        <v>75</v>
      </c>
      <c r="L806" s="2" t="s">
        <v>76</v>
      </c>
      <c r="M806" s="2" t="s">
        <v>61</v>
      </c>
      <c r="N806" s="2" t="s">
        <v>77</v>
      </c>
      <c r="O806" s="2" t="s">
        <v>2514</v>
      </c>
      <c r="P806" s="2" t="s">
        <v>79</v>
      </c>
      <c r="Q806" s="2" t="s">
        <v>41</v>
      </c>
      <c r="R806" s="2" t="n">
        <v>1</v>
      </c>
      <c r="S806" s="2" t="n">
        <v>2050.62</v>
      </c>
      <c r="T806" s="2" t="n">
        <v>0.05</v>
      </c>
      <c r="U806" s="2" t="str">
        <f aca="false">IF(ISBLANK(T806),"Yes","No")</f>
        <v>No</v>
      </c>
      <c r="V806" s="2" t="n">
        <f aca="false">IF(ISBLANK(T806),0,IF(ISNUMBER(T806),T806,VALUE(LEFT(T806,LEN(T806)-1))/100))</f>
        <v>0.05</v>
      </c>
      <c r="W806" s="2" t="str">
        <f aca="false">IF(AND(V806&gt;=0,V806&lt;=0.25),"Valid","Invalid")</f>
        <v>Valid</v>
      </c>
      <c r="X806" s="2" t="n">
        <v>1948.09</v>
      </c>
      <c r="Y806" s="2" t="n">
        <f aca="false">R806*S806*(1-V806)</f>
        <v>1948.089</v>
      </c>
      <c r="Z806" s="2" t="str">
        <f aca="false">IF(ABS(X806-Y806)&gt;1,"Mismatch","OK")</f>
        <v>OK</v>
      </c>
      <c r="AA806" s="2" t="n">
        <v>1507.08</v>
      </c>
      <c r="AB806" s="2" t="n">
        <v>441.01</v>
      </c>
      <c r="AC806" s="2" t="n">
        <f aca="false">Y806-AA806</f>
        <v>441.009</v>
      </c>
      <c r="AD806" s="2" t="str">
        <f aca="false">IF(ABS(AB806-AC806)&gt;1,"Mismatch","OK")</f>
        <v>OK</v>
      </c>
      <c r="AE806" s="4" t="n">
        <f aca="false">IF(Y806=0,0,AC806/Y806)</f>
        <v>0.226380314246423</v>
      </c>
      <c r="AF806" s="2" t="s">
        <v>52</v>
      </c>
      <c r="AG806" s="2" t="s">
        <v>53</v>
      </c>
      <c r="AH806" s="2" t="str">
        <f aca="false">IF(AND(AG806="Completed",AF806&lt;&gt;"Paid"),"Inconsistent","OK")</f>
        <v>OK</v>
      </c>
      <c r="AI806" s="2" t="n">
        <f aca="false">IF(OR(ISBLANK(B806),ISBLANK(C806)),"",C806-B806)</f>
        <v>8</v>
      </c>
      <c r="AJ806" s="2" t="str">
        <f aca="false">IF(AI806="","Unknown",IF(AI806&lt;0,"Invalid","OK"))</f>
        <v>OK</v>
      </c>
      <c r="AK806" s="2" t="str">
        <f aca="false">IF(ISBLANK(B806),"",TEXT(B806,"mmm"))</f>
        <v>Sep</v>
      </c>
      <c r="AL806" s="2" t="n">
        <f aca="false">IF(ISBLANK(B806),"",YEAR(B806))</f>
        <v>2025</v>
      </c>
      <c r="AM806" s="2" t="s">
        <v>41</v>
      </c>
      <c r="AN806" s="2" t="str">
        <f aca="false">IF(OR(W806="Invalid",AJ806="Invalid",AH806="Inconsistent",Z806="Mismatch",AD806="Mismatch",AM806="Yes",D806="Yes",E806="Yes"),"Invalid",IF(OR(J806="Yes",Q806="Yes",U806="Yes"),"Warning","Clean"))</f>
        <v>Clean</v>
      </c>
    </row>
    <row r="807" customFormat="false" ht="15" hidden="false" customHeight="false" outlineLevel="0" collapsed="false">
      <c r="A807" s="2" t="s">
        <v>2515</v>
      </c>
      <c r="B807" s="3" t="n">
        <v>45753</v>
      </c>
      <c r="C807" s="3" t="n">
        <v>45754</v>
      </c>
      <c r="D807" s="2" t="s">
        <v>41</v>
      </c>
      <c r="E807" s="2" t="s">
        <v>41</v>
      </c>
      <c r="F807" s="2" t="s">
        <v>2380</v>
      </c>
      <c r="G807" s="2" t="s">
        <v>134</v>
      </c>
      <c r="H807" s="2" t="s">
        <v>115</v>
      </c>
      <c r="I807" s="2" t="s">
        <v>58</v>
      </c>
      <c r="J807" s="2" t="s">
        <v>41</v>
      </c>
      <c r="K807" s="2" t="s">
        <v>186</v>
      </c>
      <c r="L807" s="2" t="s">
        <v>187</v>
      </c>
      <c r="M807" s="2" t="s">
        <v>48</v>
      </c>
      <c r="N807" s="2" t="s">
        <v>173</v>
      </c>
      <c r="O807" s="2" t="s">
        <v>2516</v>
      </c>
      <c r="P807" s="2" t="s">
        <v>51</v>
      </c>
      <c r="Q807" s="2" t="s">
        <v>41</v>
      </c>
      <c r="R807" s="2" t="n">
        <v>2</v>
      </c>
      <c r="S807" s="2" t="n">
        <v>2030.06</v>
      </c>
      <c r="T807" s="2" t="n">
        <v>0.25</v>
      </c>
      <c r="U807" s="2" t="str">
        <f aca="false">IF(ISBLANK(T807),"Yes","No")</f>
        <v>No</v>
      </c>
      <c r="V807" s="2" t="n">
        <f aca="false">IF(ISBLANK(T807),0,IF(ISNUMBER(T807),T807,VALUE(LEFT(T807,LEN(T807)-1))/100))</f>
        <v>0.25</v>
      </c>
      <c r="W807" s="2" t="str">
        <f aca="false">IF(AND(V807&gt;=0,V807&lt;=0.25),"Valid","Invalid")</f>
        <v>Valid</v>
      </c>
      <c r="X807" s="2" t="n">
        <v>3045.09</v>
      </c>
      <c r="Y807" s="2" t="n">
        <f aca="false">R807*S807*(1-V807)</f>
        <v>3045.09</v>
      </c>
      <c r="Z807" s="2" t="str">
        <f aca="false">IF(ABS(X807-Y807)&gt;1,"Mismatch","OK")</f>
        <v>OK</v>
      </c>
      <c r="AA807" s="2" t="n">
        <v>2601.09</v>
      </c>
      <c r="AB807" s="2" t="n">
        <v>444</v>
      </c>
      <c r="AC807" s="2" t="n">
        <f aca="false">Y807-AA807</f>
        <v>444</v>
      </c>
      <c r="AD807" s="2" t="str">
        <f aca="false">IF(ABS(AB807-AC807)&gt;1,"Mismatch","OK")</f>
        <v>OK</v>
      </c>
      <c r="AE807" s="4" t="n">
        <f aca="false">IF(Y807=0,0,AC807/Y807)</f>
        <v>0.145808498270987</v>
      </c>
      <c r="AF807" s="2" t="s">
        <v>52</v>
      </c>
      <c r="AG807" s="2" t="s">
        <v>53</v>
      </c>
      <c r="AH807" s="2" t="str">
        <f aca="false">IF(AND(AG807="Completed",AF807&lt;&gt;"Paid"),"Inconsistent","OK")</f>
        <v>OK</v>
      </c>
      <c r="AI807" s="2" t="n">
        <f aca="false">IF(OR(ISBLANK(B807),ISBLANK(C807)),"",C807-B807)</f>
        <v>1</v>
      </c>
      <c r="AJ807" s="2" t="str">
        <f aca="false">IF(AI807="","Unknown",IF(AI807&lt;0,"Invalid","OK"))</f>
        <v>OK</v>
      </c>
      <c r="AK807" s="2" t="str">
        <f aca="false">IF(ISBLANK(B807),"",TEXT(B807,"mmm"))</f>
        <v>Apr</v>
      </c>
      <c r="AL807" s="2" t="n">
        <f aca="false">IF(ISBLANK(B807),"",YEAR(B807))</f>
        <v>2025</v>
      </c>
      <c r="AM807" s="2" t="s">
        <v>41</v>
      </c>
      <c r="AN807" s="2" t="str">
        <f aca="false">IF(OR(W807="Invalid",AJ807="Invalid",AH807="Inconsistent",Z807="Mismatch",AD807="Mismatch",AM807="Yes",D807="Yes",E807="Yes"),"Invalid",IF(OR(J807="Yes",Q807="Yes",U807="Yes"),"Warning","Clean"))</f>
        <v>Clean</v>
      </c>
    </row>
    <row r="808" customFormat="false" ht="15" hidden="false" customHeight="false" outlineLevel="0" collapsed="false">
      <c r="A808" s="2" t="s">
        <v>2517</v>
      </c>
      <c r="B808" s="3" t="n">
        <v>45605</v>
      </c>
      <c r="C808" s="3" t="n">
        <v>45611</v>
      </c>
      <c r="D808" s="2" t="s">
        <v>41</v>
      </c>
      <c r="E808" s="2" t="s">
        <v>41</v>
      </c>
      <c r="F808" s="2" t="s">
        <v>2518</v>
      </c>
      <c r="G808" s="2" t="s">
        <v>67</v>
      </c>
      <c r="H808" s="2" t="s">
        <v>115</v>
      </c>
      <c r="I808" s="2" t="s">
        <v>45</v>
      </c>
      <c r="J808" s="2" t="s">
        <v>41</v>
      </c>
      <c r="K808" s="2" t="s">
        <v>46</v>
      </c>
      <c r="L808" s="2" t="s">
        <v>47</v>
      </c>
      <c r="M808" s="2" t="s">
        <v>94</v>
      </c>
      <c r="N808" s="2" t="s">
        <v>100</v>
      </c>
      <c r="O808" s="2" t="s">
        <v>2519</v>
      </c>
      <c r="P808" s="2" t="s">
        <v>79</v>
      </c>
      <c r="Q808" s="2" t="s">
        <v>41</v>
      </c>
      <c r="R808" s="2" t="n">
        <v>1</v>
      </c>
      <c r="S808" s="2" t="n">
        <v>3665.97</v>
      </c>
      <c r="T808" s="2" t="n">
        <v>0.2</v>
      </c>
      <c r="U808" s="2" t="str">
        <f aca="false">IF(ISBLANK(T808),"Yes","No")</f>
        <v>No</v>
      </c>
      <c r="V808" s="2" t="n">
        <f aca="false">IF(ISBLANK(T808),0,IF(ISNUMBER(T808),T808,VALUE(LEFT(T808,LEN(T808)-1))/100))</f>
        <v>0.2</v>
      </c>
      <c r="W808" s="2" t="str">
        <f aca="false">IF(AND(V808&gt;=0,V808&lt;=0.25),"Valid","Invalid")</f>
        <v>Valid</v>
      </c>
      <c r="X808" s="2" t="n">
        <v>2932.78</v>
      </c>
      <c r="Y808" s="2" t="n">
        <f aca="false">R808*S808*(1-V808)</f>
        <v>2932.776</v>
      </c>
      <c r="Z808" s="2" t="str">
        <f aca="false">IF(ABS(X808-Y808)&gt;1,"Mismatch","OK")</f>
        <v>OK</v>
      </c>
      <c r="AA808" s="2" t="n">
        <v>1900.35</v>
      </c>
      <c r="AB808" s="2" t="n">
        <v>1032.43</v>
      </c>
      <c r="AC808" s="2" t="n">
        <f aca="false">Y808-AA808</f>
        <v>1032.426</v>
      </c>
      <c r="AD808" s="2" t="str">
        <f aca="false">IF(ABS(AB808-AC808)&gt;1,"Mismatch","OK")</f>
        <v>OK</v>
      </c>
      <c r="AE808" s="4" t="n">
        <f aca="false">IF(Y808=0,0,AC808/Y808)</f>
        <v>0.35203029484693</v>
      </c>
      <c r="AF808" s="2" t="s">
        <v>175</v>
      </c>
      <c r="AG808" s="2" t="s">
        <v>88</v>
      </c>
      <c r="AH808" s="2" t="str">
        <f aca="false">IF(AND(AG808="Completed",AF808&lt;&gt;"Paid"),"Inconsistent","OK")</f>
        <v>OK</v>
      </c>
      <c r="AI808" s="2" t="n">
        <f aca="false">IF(OR(ISBLANK(B808),ISBLANK(C808)),"",C808-B808)</f>
        <v>6</v>
      </c>
      <c r="AJ808" s="2" t="str">
        <f aca="false">IF(AI808="","Unknown",IF(AI808&lt;0,"Invalid","OK"))</f>
        <v>OK</v>
      </c>
      <c r="AK808" s="2" t="str">
        <f aca="false">IF(ISBLANK(B808),"",TEXT(B808,"mmm"))</f>
        <v>Nov</v>
      </c>
      <c r="AL808" s="2" t="n">
        <f aca="false">IF(ISBLANK(B808),"",YEAR(B808))</f>
        <v>2024</v>
      </c>
      <c r="AM808" s="2" t="s">
        <v>41</v>
      </c>
      <c r="AN808" s="2" t="str">
        <f aca="false">IF(OR(W808="Invalid",AJ808="Invalid",AH808="Inconsistent",Z808="Mismatch",AD808="Mismatch",AM808="Yes",D808="Yes",E808="Yes"),"Invalid",IF(OR(J808="Yes",Q808="Yes",U808="Yes"),"Warning","Clean"))</f>
        <v>Clean</v>
      </c>
    </row>
    <row r="809" customFormat="false" ht="15" hidden="false" customHeight="false" outlineLevel="0" collapsed="false">
      <c r="A809" s="2" t="s">
        <v>2520</v>
      </c>
      <c r="B809" s="3" t="n">
        <v>45695</v>
      </c>
      <c r="C809" s="3" t="n">
        <v>45696</v>
      </c>
      <c r="D809" s="2" t="s">
        <v>41</v>
      </c>
      <c r="E809" s="2" t="s">
        <v>41</v>
      </c>
      <c r="F809" s="2" t="s">
        <v>2521</v>
      </c>
      <c r="G809" s="2" t="s">
        <v>43</v>
      </c>
      <c r="H809" s="2" t="s">
        <v>57</v>
      </c>
      <c r="I809" s="2" t="s">
        <v>74</v>
      </c>
      <c r="J809" s="2" t="s">
        <v>41</v>
      </c>
      <c r="K809" s="2" t="s">
        <v>75</v>
      </c>
      <c r="L809" s="2" t="s">
        <v>76</v>
      </c>
      <c r="M809" s="2" t="s">
        <v>48</v>
      </c>
      <c r="N809" s="2" t="s">
        <v>111</v>
      </c>
      <c r="O809" s="2" t="s">
        <v>2522</v>
      </c>
      <c r="P809" s="2" t="s">
        <v>79</v>
      </c>
      <c r="Q809" s="2" t="s">
        <v>41</v>
      </c>
      <c r="R809" s="2" t="n">
        <v>2</v>
      </c>
      <c r="S809" s="2" t="n">
        <v>2432.98</v>
      </c>
      <c r="T809" s="2" t="n">
        <v>0.1</v>
      </c>
      <c r="U809" s="2" t="str">
        <f aca="false">IF(ISBLANK(T809),"Yes","No")</f>
        <v>No</v>
      </c>
      <c r="V809" s="2" t="n">
        <f aca="false">IF(ISBLANK(T809),0,IF(ISNUMBER(T809),T809,VALUE(LEFT(T809,LEN(T809)-1))/100))</f>
        <v>0.1</v>
      </c>
      <c r="W809" s="2" t="str">
        <f aca="false">IF(AND(V809&gt;=0,V809&lt;=0.25),"Valid","Invalid")</f>
        <v>Valid</v>
      </c>
      <c r="X809" s="2" t="n">
        <v>4379.36</v>
      </c>
      <c r="Y809" s="2" t="n">
        <f aca="false">R809*S809*(1-V809)</f>
        <v>4379.364</v>
      </c>
      <c r="Z809" s="2" t="str">
        <f aca="false">IF(ABS(X809-Y809)&gt;1,"Mismatch","OK")</f>
        <v>OK</v>
      </c>
      <c r="AA809" s="2" t="n">
        <v>3723.93</v>
      </c>
      <c r="AB809" s="2" t="n">
        <v>655.43</v>
      </c>
      <c r="AC809" s="2" t="n">
        <f aca="false">Y809-AA809</f>
        <v>655.434000000001</v>
      </c>
      <c r="AD809" s="2" t="str">
        <f aca="false">IF(ABS(AB809-AC809)&gt;1,"Mismatch","OK")</f>
        <v>OK</v>
      </c>
      <c r="AE809" s="4" t="n">
        <f aca="false">IF(Y809=0,0,AC809/Y809)</f>
        <v>0.149664197815025</v>
      </c>
      <c r="AF809" s="2" t="s">
        <v>52</v>
      </c>
      <c r="AG809" s="2" t="s">
        <v>53</v>
      </c>
      <c r="AH809" s="2" t="str">
        <f aca="false">IF(AND(AG809="Completed",AF809&lt;&gt;"Paid"),"Inconsistent","OK")</f>
        <v>OK</v>
      </c>
      <c r="AI809" s="2" t="n">
        <f aca="false">IF(OR(ISBLANK(B809),ISBLANK(C809)),"",C809-B809)</f>
        <v>1</v>
      </c>
      <c r="AJ809" s="2" t="str">
        <f aca="false">IF(AI809="","Unknown",IF(AI809&lt;0,"Invalid","OK"))</f>
        <v>OK</v>
      </c>
      <c r="AK809" s="2" t="str">
        <f aca="false">IF(ISBLANK(B809),"",TEXT(B809,"mmm"))</f>
        <v>Feb</v>
      </c>
      <c r="AL809" s="2" t="n">
        <f aca="false">IF(ISBLANK(B809),"",YEAR(B809))</f>
        <v>2025</v>
      </c>
      <c r="AM809" s="2" t="s">
        <v>41</v>
      </c>
      <c r="AN809" s="2" t="str">
        <f aca="false">IF(OR(W809="Invalid",AJ809="Invalid",AH809="Inconsistent",Z809="Mismatch",AD809="Mismatch",AM809="Yes",D809="Yes",E809="Yes"),"Invalid",IF(OR(J809="Yes",Q809="Yes",U809="Yes"),"Warning","Clean"))</f>
        <v>Clean</v>
      </c>
    </row>
    <row r="810" customFormat="false" ht="15" hidden="false" customHeight="false" outlineLevel="0" collapsed="false">
      <c r="A810" s="2" t="s">
        <v>2523</v>
      </c>
      <c r="B810" s="3" t="n">
        <v>45900</v>
      </c>
      <c r="C810" s="3" t="n">
        <v>45897</v>
      </c>
      <c r="D810" s="2" t="s">
        <v>41</v>
      </c>
      <c r="E810" s="2" t="s">
        <v>41</v>
      </c>
      <c r="F810" s="2" t="s">
        <v>2524</v>
      </c>
      <c r="G810" s="2" t="s">
        <v>148</v>
      </c>
      <c r="H810" s="2" t="s">
        <v>57</v>
      </c>
      <c r="I810" s="2" t="s">
        <v>74</v>
      </c>
      <c r="J810" s="2" t="s">
        <v>41</v>
      </c>
      <c r="K810" s="2" t="s">
        <v>269</v>
      </c>
      <c r="L810" s="2" t="s">
        <v>270</v>
      </c>
      <c r="M810" s="2" t="s">
        <v>61</v>
      </c>
      <c r="N810" s="2" t="s">
        <v>77</v>
      </c>
      <c r="O810" s="2" t="s">
        <v>2525</v>
      </c>
      <c r="P810" s="2" t="s">
        <v>70</v>
      </c>
      <c r="Q810" s="2" t="s">
        <v>41</v>
      </c>
      <c r="R810" s="2" t="n">
        <v>7</v>
      </c>
      <c r="S810" s="2" t="n">
        <v>977.28</v>
      </c>
      <c r="T810" s="2" t="n">
        <v>0.2</v>
      </c>
      <c r="U810" s="2" t="str">
        <f aca="false">IF(ISBLANK(T810),"Yes","No")</f>
        <v>No</v>
      </c>
      <c r="V810" s="2" t="n">
        <f aca="false">IF(ISBLANK(T810),0,IF(ISNUMBER(T810),T810,VALUE(LEFT(T810,LEN(T810)-1))/100))</f>
        <v>0.2</v>
      </c>
      <c r="W810" s="2" t="str">
        <f aca="false">IF(AND(V810&gt;=0,V810&lt;=0.25),"Valid","Invalid")</f>
        <v>Valid</v>
      </c>
      <c r="X810" s="2" t="n">
        <v>5472.77</v>
      </c>
      <c r="Y810" s="2" t="n">
        <f aca="false">R810*S810*(1-V810)</f>
        <v>5472.768</v>
      </c>
      <c r="Z810" s="2" t="str">
        <f aca="false">IF(ABS(X810-Y810)&gt;1,"Mismatch","OK")</f>
        <v>OK</v>
      </c>
      <c r="AA810" s="2" t="n">
        <v>4477.33</v>
      </c>
      <c r="AB810" s="2" t="n">
        <v>995.44</v>
      </c>
      <c r="AC810" s="2" t="n">
        <f aca="false">Y810-AA810</f>
        <v>995.438</v>
      </c>
      <c r="AD810" s="2" t="str">
        <f aca="false">IF(ABS(AB810-AC810)&gt;1,"Mismatch","OK")</f>
        <v>OK</v>
      </c>
      <c r="AE810" s="4" t="n">
        <f aca="false">IF(Y810=0,0,AC810/Y810)</f>
        <v>0.181889310856956</v>
      </c>
      <c r="AF810" s="2" t="s">
        <v>52</v>
      </c>
      <c r="AG810" s="2" t="s">
        <v>53</v>
      </c>
      <c r="AH810" s="2" t="str">
        <f aca="false">IF(AND(AG810="Completed",AF810&lt;&gt;"Paid"),"Inconsistent","OK")</f>
        <v>OK</v>
      </c>
      <c r="AI810" s="2" t="n">
        <f aca="false">IF(OR(ISBLANK(B810),ISBLANK(C810)),"",C810-B810)</f>
        <v>-3</v>
      </c>
      <c r="AJ810" s="2" t="str">
        <f aca="false">IF(AI810="","Unknown",IF(AI810&lt;0,"Invalid","OK"))</f>
        <v>Invalid</v>
      </c>
      <c r="AK810" s="2" t="str">
        <f aca="false">IF(ISBLANK(B810),"",TEXT(B810,"mmm"))</f>
        <v>Aug</v>
      </c>
      <c r="AL810" s="2" t="n">
        <f aca="false">IF(ISBLANK(B810),"",YEAR(B810))</f>
        <v>2025</v>
      </c>
      <c r="AM810" s="2" t="s">
        <v>41</v>
      </c>
      <c r="AN810" s="2" t="str">
        <f aca="false">IF(OR(W810="Invalid",AJ810="Invalid",AH810="Inconsistent",Z810="Mismatch",AD810="Mismatch",AM810="Yes",D810="Yes",E810="Yes"),"Invalid",IF(OR(J810="Yes",Q810="Yes",U810="Yes"),"Warning","Clean"))</f>
        <v>Invalid</v>
      </c>
    </row>
    <row r="811" customFormat="false" ht="15" hidden="false" customHeight="false" outlineLevel="0" collapsed="false">
      <c r="A811" s="2" t="s">
        <v>2526</v>
      </c>
      <c r="B811" s="3" t="n">
        <v>45833</v>
      </c>
      <c r="C811" s="3" t="n">
        <v>45833</v>
      </c>
      <c r="D811" s="2" t="s">
        <v>41</v>
      </c>
      <c r="E811" s="2" t="s">
        <v>41</v>
      </c>
      <c r="F811" s="2" t="s">
        <v>2527</v>
      </c>
      <c r="G811" s="2" t="s">
        <v>73</v>
      </c>
      <c r="H811" s="2" t="s">
        <v>57</v>
      </c>
      <c r="I811" s="2" t="s">
        <v>225</v>
      </c>
      <c r="J811" s="2" t="s">
        <v>226</v>
      </c>
      <c r="K811" s="2" t="s">
        <v>142</v>
      </c>
      <c r="L811" s="2" t="s">
        <v>143</v>
      </c>
      <c r="M811" s="2" t="s">
        <v>48</v>
      </c>
      <c r="N811" s="2" t="s">
        <v>173</v>
      </c>
      <c r="O811" s="2" t="s">
        <v>2528</v>
      </c>
      <c r="P811" s="2" t="s">
        <v>51</v>
      </c>
      <c r="Q811" s="2" t="s">
        <v>41</v>
      </c>
      <c r="R811" s="2" t="n">
        <v>6</v>
      </c>
      <c r="S811" s="2" t="n">
        <v>1366.13</v>
      </c>
      <c r="T811" s="2" t="n">
        <v>0.1</v>
      </c>
      <c r="U811" s="2" t="str">
        <f aca="false">IF(ISBLANK(T811),"Yes","No")</f>
        <v>No</v>
      </c>
      <c r="V811" s="2" t="n">
        <f aca="false">IF(ISBLANK(T811),0,IF(ISNUMBER(T811),T811,VALUE(LEFT(T811,LEN(T811)-1))/100))</f>
        <v>0.1</v>
      </c>
      <c r="W811" s="2" t="str">
        <f aca="false">IF(AND(V811&gt;=0,V811&lt;=0.25),"Valid","Invalid")</f>
        <v>Valid</v>
      </c>
      <c r="X811" s="2" t="n">
        <v>7377.1</v>
      </c>
      <c r="Y811" s="2" t="n">
        <f aca="false">R811*S811*(1-V811)</f>
        <v>7377.102</v>
      </c>
      <c r="Z811" s="2" t="str">
        <f aca="false">IF(ABS(X811-Y811)&gt;1,"Mismatch","OK")</f>
        <v>OK</v>
      </c>
      <c r="AA811" s="2" t="n">
        <v>5085.21</v>
      </c>
      <c r="AB811" s="2" t="n">
        <v>2291.89</v>
      </c>
      <c r="AC811" s="2" t="n">
        <f aca="false">Y811-AA811</f>
        <v>2291.892</v>
      </c>
      <c r="AD811" s="2" t="str">
        <f aca="false">IF(ABS(AB811-AC811)&gt;1,"Mismatch","OK")</f>
        <v>OK</v>
      </c>
      <c r="AE811" s="4" t="n">
        <f aca="false">IF(Y811=0,0,AC811/Y811)</f>
        <v>0.310676468889816</v>
      </c>
      <c r="AF811" s="2" t="s">
        <v>52</v>
      </c>
      <c r="AG811" s="2" t="s">
        <v>53</v>
      </c>
      <c r="AH811" s="2" t="str">
        <f aca="false">IF(AND(AG811="Completed",AF811&lt;&gt;"Paid"),"Inconsistent","OK")</f>
        <v>OK</v>
      </c>
      <c r="AI811" s="2" t="n">
        <f aca="false">IF(OR(ISBLANK(B811),ISBLANK(C811)),"",C811-B811)</f>
        <v>0</v>
      </c>
      <c r="AJ811" s="2" t="str">
        <f aca="false">IF(AI811="","Unknown",IF(AI811&lt;0,"Invalid","OK"))</f>
        <v>OK</v>
      </c>
      <c r="AK811" s="2" t="str">
        <f aca="false">IF(ISBLANK(B811),"",TEXT(B811,"mmm"))</f>
        <v>Jun</v>
      </c>
      <c r="AL811" s="2" t="n">
        <f aca="false">IF(ISBLANK(B811),"",YEAR(B811))</f>
        <v>2025</v>
      </c>
      <c r="AM811" s="2" t="s">
        <v>41</v>
      </c>
      <c r="AN811" s="2" t="str">
        <f aca="false">IF(OR(W811="Invalid",AJ811="Invalid",AH811="Inconsistent",Z811="Mismatch",AD811="Mismatch",AM811="Yes",D811="Yes",E811="Yes"),"Invalid",IF(OR(J811="Yes",Q811="Yes",U811="Yes"),"Warning","Clean"))</f>
        <v>Warning</v>
      </c>
    </row>
    <row r="812" customFormat="false" ht="15" hidden="false" customHeight="false" outlineLevel="0" collapsed="false">
      <c r="A812" s="2" t="s">
        <v>2529</v>
      </c>
      <c r="B812" s="3" t="n">
        <v>45385</v>
      </c>
      <c r="C812" s="3" t="n">
        <v>45390</v>
      </c>
      <c r="D812" s="2" t="s">
        <v>41</v>
      </c>
      <c r="E812" s="2" t="s">
        <v>41</v>
      </c>
      <c r="F812" s="2" t="s">
        <v>1691</v>
      </c>
      <c r="G812" s="2" t="s">
        <v>286</v>
      </c>
      <c r="H812" s="2" t="s">
        <v>115</v>
      </c>
      <c r="I812" s="2" t="s">
        <v>83</v>
      </c>
      <c r="J812" s="2" t="s">
        <v>41</v>
      </c>
      <c r="K812" s="2" t="s">
        <v>200</v>
      </c>
      <c r="L812" s="2" t="s">
        <v>201</v>
      </c>
      <c r="M812" s="2" t="s">
        <v>94</v>
      </c>
      <c r="N812" s="2" t="s">
        <v>100</v>
      </c>
      <c r="O812" s="2" t="s">
        <v>2530</v>
      </c>
      <c r="P812" s="2" t="s">
        <v>70</v>
      </c>
      <c r="Q812" s="2" t="s">
        <v>41</v>
      </c>
      <c r="R812" s="2" t="n">
        <v>1</v>
      </c>
      <c r="S812" s="2" t="n">
        <v>3151.85</v>
      </c>
      <c r="T812" s="2" t="n">
        <v>0.25</v>
      </c>
      <c r="U812" s="2" t="str">
        <f aca="false">IF(ISBLANK(T812),"Yes","No")</f>
        <v>No</v>
      </c>
      <c r="V812" s="2" t="n">
        <f aca="false">IF(ISBLANK(T812),0,IF(ISNUMBER(T812),T812,VALUE(LEFT(T812,LEN(T812)-1))/100))</f>
        <v>0.25</v>
      </c>
      <c r="W812" s="2" t="str">
        <f aca="false">IF(AND(V812&gt;=0,V812&lt;=0.25),"Valid","Invalid")</f>
        <v>Valid</v>
      </c>
      <c r="X812" s="2" t="n">
        <v>2363.89</v>
      </c>
      <c r="Y812" s="2" t="n">
        <f aca="false">R812*S812*(1-V812)</f>
        <v>2363.8875</v>
      </c>
      <c r="Z812" s="2" t="str">
        <f aca="false">IF(ABS(X812-Y812)&gt;1,"Mismatch","OK")</f>
        <v>OK</v>
      </c>
      <c r="AA812" s="2" t="n">
        <v>1471.51</v>
      </c>
      <c r="AB812" s="2" t="n">
        <v>892.38</v>
      </c>
      <c r="AC812" s="2" t="n">
        <f aca="false">Y812-AA812</f>
        <v>892.3775</v>
      </c>
      <c r="AD812" s="2" t="str">
        <f aca="false">IF(ABS(AB812-AC812)&gt;1,"Mismatch","OK")</f>
        <v>OK</v>
      </c>
      <c r="AE812" s="4" t="n">
        <f aca="false">IF(Y812=0,0,AC812/Y812)</f>
        <v>0.37750421710001</v>
      </c>
      <c r="AF812" s="2" t="s">
        <v>52</v>
      </c>
      <c r="AG812" s="2" t="s">
        <v>53</v>
      </c>
      <c r="AH812" s="2" t="str">
        <f aca="false">IF(AND(AG812="Completed",AF812&lt;&gt;"Paid"),"Inconsistent","OK")</f>
        <v>OK</v>
      </c>
      <c r="AI812" s="2" t="n">
        <f aca="false">IF(OR(ISBLANK(B812),ISBLANK(C812)),"",C812-B812)</f>
        <v>5</v>
      </c>
      <c r="AJ812" s="2" t="str">
        <f aca="false">IF(AI812="","Unknown",IF(AI812&lt;0,"Invalid","OK"))</f>
        <v>OK</v>
      </c>
      <c r="AK812" s="2" t="str">
        <f aca="false">IF(ISBLANK(B812),"",TEXT(B812,"mmm"))</f>
        <v>Apr</v>
      </c>
      <c r="AL812" s="2" t="n">
        <f aca="false">IF(ISBLANK(B812),"",YEAR(B812))</f>
        <v>2024</v>
      </c>
      <c r="AM812" s="2" t="s">
        <v>41</v>
      </c>
      <c r="AN812" s="2" t="str">
        <f aca="false">IF(OR(W812="Invalid",AJ812="Invalid",AH812="Inconsistent",Z812="Mismatch",AD812="Mismatch",AM812="Yes",D812="Yes",E812="Yes"),"Invalid",IF(OR(J812="Yes",Q812="Yes",U812="Yes"),"Warning","Clean"))</f>
        <v>Clean</v>
      </c>
    </row>
    <row r="813" customFormat="false" ht="15" hidden="false" customHeight="false" outlineLevel="0" collapsed="false">
      <c r="A813" s="2" t="s">
        <v>2531</v>
      </c>
      <c r="B813" s="3" t="n">
        <v>45638</v>
      </c>
      <c r="C813" s="3" t="n">
        <v>45645</v>
      </c>
      <c r="D813" s="2" t="s">
        <v>41</v>
      </c>
      <c r="E813" s="2" t="s">
        <v>41</v>
      </c>
      <c r="F813" s="2" t="s">
        <v>2532</v>
      </c>
      <c r="G813" s="2" t="s">
        <v>161</v>
      </c>
      <c r="H813" s="2" t="s">
        <v>115</v>
      </c>
      <c r="I813" s="2" t="s">
        <v>45</v>
      </c>
      <c r="J813" s="2" t="s">
        <v>41</v>
      </c>
      <c r="K813" s="2" t="s">
        <v>258</v>
      </c>
      <c r="L813" s="2" t="s">
        <v>259</v>
      </c>
      <c r="M813" s="2" t="s">
        <v>94</v>
      </c>
      <c r="N813" s="2" t="s">
        <v>95</v>
      </c>
      <c r="O813" s="2" t="s">
        <v>2533</v>
      </c>
      <c r="P813" s="2" t="s">
        <v>70</v>
      </c>
      <c r="Q813" s="2" t="s">
        <v>41</v>
      </c>
      <c r="R813" s="2" t="n">
        <v>2</v>
      </c>
      <c r="S813" s="2" t="n">
        <v>1610.75</v>
      </c>
      <c r="T813" s="2" t="n">
        <v>0.2</v>
      </c>
      <c r="U813" s="2" t="str">
        <f aca="false">IF(ISBLANK(T813),"Yes","No")</f>
        <v>No</v>
      </c>
      <c r="V813" s="2" t="n">
        <f aca="false">IF(ISBLANK(T813),0,IF(ISNUMBER(T813),T813,VALUE(LEFT(T813,LEN(T813)-1))/100))</f>
        <v>0.2</v>
      </c>
      <c r="W813" s="2" t="str">
        <f aca="false">IF(AND(V813&gt;=0,V813&lt;=0.25),"Valid","Invalid")</f>
        <v>Valid</v>
      </c>
      <c r="X813" s="2" t="n">
        <v>2577.2</v>
      </c>
      <c r="Y813" s="2" t="n">
        <f aca="false">R813*S813*(1-V813)</f>
        <v>2577.2</v>
      </c>
      <c r="Z813" s="2" t="str">
        <f aca="false">IF(ABS(X813-Y813)&gt;1,"Mismatch","OK")</f>
        <v>OK</v>
      </c>
      <c r="AA813" s="2" t="n">
        <v>1475.87</v>
      </c>
      <c r="AB813" s="2" t="n">
        <v>1101.33</v>
      </c>
      <c r="AC813" s="2" t="n">
        <f aca="false">Y813-AA813</f>
        <v>1101.33</v>
      </c>
      <c r="AD813" s="2" t="str">
        <f aca="false">IF(ABS(AB813-AC813)&gt;1,"Mismatch","OK")</f>
        <v>OK</v>
      </c>
      <c r="AE813" s="4" t="n">
        <f aca="false">IF(Y813=0,0,AC813/Y813)</f>
        <v>0.427335868384293</v>
      </c>
      <c r="AF813" s="2" t="s">
        <v>52</v>
      </c>
      <c r="AG813" s="2" t="s">
        <v>53</v>
      </c>
      <c r="AH813" s="2" t="str">
        <f aca="false">IF(AND(AG813="Completed",AF813&lt;&gt;"Paid"),"Inconsistent","OK")</f>
        <v>OK</v>
      </c>
      <c r="AI813" s="2" t="n">
        <f aca="false">IF(OR(ISBLANK(B813),ISBLANK(C813)),"",C813-B813)</f>
        <v>7</v>
      </c>
      <c r="AJ813" s="2" t="str">
        <f aca="false">IF(AI813="","Unknown",IF(AI813&lt;0,"Invalid","OK"))</f>
        <v>OK</v>
      </c>
      <c r="AK813" s="2" t="str">
        <f aca="false">IF(ISBLANK(B813),"",TEXT(B813,"mmm"))</f>
        <v>Dec</v>
      </c>
      <c r="AL813" s="2" t="n">
        <f aca="false">IF(ISBLANK(B813),"",YEAR(B813))</f>
        <v>2024</v>
      </c>
      <c r="AM813" s="2" t="s">
        <v>41</v>
      </c>
      <c r="AN813" s="2" t="str">
        <f aca="false">IF(OR(W813="Invalid",AJ813="Invalid",AH813="Inconsistent",Z813="Mismatch",AD813="Mismatch",AM813="Yes",D813="Yes",E813="Yes"),"Invalid",IF(OR(J813="Yes",Q813="Yes",U813="Yes"),"Warning","Clean"))</f>
        <v>Clean</v>
      </c>
    </row>
    <row r="814" customFormat="false" ht="15" hidden="false" customHeight="false" outlineLevel="0" collapsed="false">
      <c r="A814" s="2" t="s">
        <v>2534</v>
      </c>
      <c r="B814" s="3" t="n">
        <v>45458</v>
      </c>
      <c r="C814" s="3" t="n">
        <v>45463</v>
      </c>
      <c r="D814" s="2" t="s">
        <v>41</v>
      </c>
      <c r="E814" s="2" t="s">
        <v>41</v>
      </c>
      <c r="F814" s="2" t="s">
        <v>2535</v>
      </c>
      <c r="G814" s="2" t="s">
        <v>152</v>
      </c>
      <c r="H814" s="2" t="s">
        <v>57</v>
      </c>
      <c r="I814" s="2" t="s">
        <v>58</v>
      </c>
      <c r="J814" s="2" t="s">
        <v>41</v>
      </c>
      <c r="K814" s="2" t="s">
        <v>250</v>
      </c>
      <c r="L814" s="2" t="s">
        <v>251</v>
      </c>
      <c r="M814" s="2" t="s">
        <v>61</v>
      </c>
      <c r="N814" s="2" t="s">
        <v>62</v>
      </c>
      <c r="O814" s="2" t="s">
        <v>2536</v>
      </c>
      <c r="P814" s="2" t="s">
        <v>70</v>
      </c>
      <c r="Q814" s="2" t="s">
        <v>41</v>
      </c>
      <c r="R814" s="2" t="n">
        <v>8</v>
      </c>
      <c r="S814" s="2" t="n">
        <v>2228.47</v>
      </c>
      <c r="T814" s="2" t="n">
        <v>0</v>
      </c>
      <c r="U814" s="2" t="str">
        <f aca="false">IF(ISBLANK(T814),"Yes","No")</f>
        <v>No</v>
      </c>
      <c r="V814" s="2" t="n">
        <f aca="false">IF(ISBLANK(T814),0,IF(ISNUMBER(T814),T814,VALUE(LEFT(T814,LEN(T814)-1))/100))</f>
        <v>0</v>
      </c>
      <c r="W814" s="2" t="str">
        <f aca="false">IF(AND(V814&gt;=0,V814&lt;=0.25),"Valid","Invalid")</f>
        <v>Valid</v>
      </c>
      <c r="X814" s="2" t="n">
        <v>17827.76</v>
      </c>
      <c r="Y814" s="2" t="n">
        <f aca="false">R814*S814*(1-V814)</f>
        <v>17827.76</v>
      </c>
      <c r="Z814" s="2" t="str">
        <f aca="false">IF(ABS(X814-Y814)&gt;1,"Mismatch","OK")</f>
        <v>OK</v>
      </c>
      <c r="AA814" s="2" t="n">
        <v>14122.13</v>
      </c>
      <c r="AB814" s="2" t="n">
        <v>3705.63</v>
      </c>
      <c r="AC814" s="2" t="n">
        <f aca="false">Y814-AA814</f>
        <v>3705.63</v>
      </c>
      <c r="AD814" s="2" t="str">
        <f aca="false">IF(ABS(AB814-AC814)&gt;1,"Mismatch","OK")</f>
        <v>OK</v>
      </c>
      <c r="AE814" s="4" t="n">
        <f aca="false">IF(Y814=0,0,AC814/Y814)</f>
        <v>0.207857296710299</v>
      </c>
      <c r="AF814" s="2" t="s">
        <v>52</v>
      </c>
      <c r="AG814" s="2" t="s">
        <v>53</v>
      </c>
      <c r="AH814" s="2" t="str">
        <f aca="false">IF(AND(AG814="Completed",AF814&lt;&gt;"Paid"),"Inconsistent","OK")</f>
        <v>OK</v>
      </c>
      <c r="AI814" s="2" t="n">
        <f aca="false">IF(OR(ISBLANK(B814),ISBLANK(C814)),"",C814-B814)</f>
        <v>5</v>
      </c>
      <c r="AJ814" s="2" t="str">
        <f aca="false">IF(AI814="","Unknown",IF(AI814&lt;0,"Invalid","OK"))</f>
        <v>OK</v>
      </c>
      <c r="AK814" s="2" t="str">
        <f aca="false">IF(ISBLANK(B814),"",TEXT(B814,"mmm"))</f>
        <v>Jun</v>
      </c>
      <c r="AL814" s="2" t="n">
        <f aca="false">IF(ISBLANK(B814),"",YEAR(B814))</f>
        <v>2024</v>
      </c>
      <c r="AM814" s="2" t="s">
        <v>41</v>
      </c>
      <c r="AN814" s="2" t="str">
        <f aca="false">IF(OR(W814="Invalid",AJ814="Invalid",AH814="Inconsistent",Z814="Mismatch",AD814="Mismatch",AM814="Yes",D814="Yes",E814="Yes"),"Invalid",IF(OR(J814="Yes",Q814="Yes",U814="Yes"),"Warning","Clean"))</f>
        <v>Clean</v>
      </c>
    </row>
    <row r="815" customFormat="false" ht="15" hidden="false" customHeight="false" outlineLevel="0" collapsed="false">
      <c r="A815" s="2" t="s">
        <v>2537</v>
      </c>
      <c r="B815" s="3" t="n">
        <v>45753</v>
      </c>
      <c r="C815" s="3" t="n">
        <v>45757</v>
      </c>
      <c r="D815" s="2" t="s">
        <v>41</v>
      </c>
      <c r="E815" s="2" t="s">
        <v>41</v>
      </c>
      <c r="F815" s="2" t="s">
        <v>2538</v>
      </c>
      <c r="G815" s="2" t="s">
        <v>161</v>
      </c>
      <c r="H815" s="2" t="s">
        <v>44</v>
      </c>
      <c r="I815" s="2" t="s">
        <v>58</v>
      </c>
      <c r="J815" s="2" t="s">
        <v>41</v>
      </c>
      <c r="K815" s="2" t="s">
        <v>59</v>
      </c>
      <c r="L815" s="2" t="s">
        <v>60</v>
      </c>
      <c r="M815" s="2" t="s">
        <v>61</v>
      </c>
      <c r="N815" s="2" t="s">
        <v>178</v>
      </c>
      <c r="O815" s="2" t="s">
        <v>1146</v>
      </c>
      <c r="P815" s="2" t="s">
        <v>79</v>
      </c>
      <c r="Q815" s="2" t="s">
        <v>41</v>
      </c>
      <c r="R815" s="2" t="n">
        <v>2</v>
      </c>
      <c r="S815" s="2" t="n">
        <v>1337.67</v>
      </c>
      <c r="T815" s="2" t="n">
        <v>0</v>
      </c>
      <c r="U815" s="2" t="str">
        <f aca="false">IF(ISBLANK(T815),"Yes","No")</f>
        <v>No</v>
      </c>
      <c r="V815" s="2" t="n">
        <f aca="false">IF(ISBLANK(T815),0,IF(ISNUMBER(T815),T815,VALUE(LEFT(T815,LEN(T815)-1))/100))</f>
        <v>0</v>
      </c>
      <c r="W815" s="2" t="str">
        <f aca="false">IF(AND(V815&gt;=0,V815&lt;=0.25),"Valid","Invalid")</f>
        <v>Valid</v>
      </c>
      <c r="X815" s="2" t="n">
        <v>2675.34</v>
      </c>
      <c r="Y815" s="2" t="n">
        <f aca="false">R815*S815*(1-V815)</f>
        <v>2675.34</v>
      </c>
      <c r="Z815" s="2" t="str">
        <f aca="false">IF(ABS(X815-Y815)&gt;1,"Mismatch","OK")</f>
        <v>OK</v>
      </c>
      <c r="AA815" s="2" t="n">
        <v>1595.87</v>
      </c>
      <c r="AB815" s="2" t="n">
        <v>1079.47</v>
      </c>
      <c r="AC815" s="2" t="n">
        <f aca="false">Y815-AA815</f>
        <v>1079.47</v>
      </c>
      <c r="AD815" s="2" t="str">
        <f aca="false">IF(ABS(AB815-AC815)&gt;1,"Mismatch","OK")</f>
        <v>OK</v>
      </c>
      <c r="AE815" s="4" t="n">
        <f aca="false">IF(Y815=0,0,AC815/Y815)</f>
        <v>0.403488902345123</v>
      </c>
      <c r="AF815" s="2" t="s">
        <v>52</v>
      </c>
      <c r="AG815" s="2" t="s">
        <v>53</v>
      </c>
      <c r="AH815" s="2" t="str">
        <f aca="false">IF(AND(AG815="Completed",AF815&lt;&gt;"Paid"),"Inconsistent","OK")</f>
        <v>OK</v>
      </c>
      <c r="AI815" s="2" t="n">
        <f aca="false">IF(OR(ISBLANK(B815),ISBLANK(C815)),"",C815-B815)</f>
        <v>4</v>
      </c>
      <c r="AJ815" s="2" t="str">
        <f aca="false">IF(AI815="","Unknown",IF(AI815&lt;0,"Invalid","OK"))</f>
        <v>OK</v>
      </c>
      <c r="AK815" s="2" t="str">
        <f aca="false">IF(ISBLANK(B815),"",TEXT(B815,"mmm"))</f>
        <v>Apr</v>
      </c>
      <c r="AL815" s="2" t="n">
        <f aca="false">IF(ISBLANK(B815),"",YEAR(B815))</f>
        <v>2025</v>
      </c>
      <c r="AM815" s="2" t="s">
        <v>41</v>
      </c>
      <c r="AN815" s="2" t="str">
        <f aca="false">IF(OR(W815="Invalid",AJ815="Invalid",AH815="Inconsistent",Z815="Mismatch",AD815="Mismatch",AM815="Yes",D815="Yes",E815="Yes"),"Invalid",IF(OR(J815="Yes",Q815="Yes",U815="Yes"),"Warning","Clean"))</f>
        <v>Clean</v>
      </c>
    </row>
    <row r="816" customFormat="false" ht="15" hidden="false" customHeight="false" outlineLevel="0" collapsed="false">
      <c r="A816" s="2" t="s">
        <v>2539</v>
      </c>
      <c r="B816" s="3" t="n">
        <v>45875</v>
      </c>
      <c r="C816" s="3" t="n">
        <v>45880</v>
      </c>
      <c r="D816" s="2" t="s">
        <v>41</v>
      </c>
      <c r="E816" s="2" t="s">
        <v>41</v>
      </c>
      <c r="F816" s="2" t="s">
        <v>2540</v>
      </c>
      <c r="G816" s="2" t="s">
        <v>73</v>
      </c>
      <c r="H816" s="2" t="s">
        <v>44</v>
      </c>
      <c r="I816" s="2" t="s">
        <v>83</v>
      </c>
      <c r="J816" s="2" t="s">
        <v>41</v>
      </c>
      <c r="K816" s="2" t="s">
        <v>92</v>
      </c>
      <c r="L816" s="2" t="s">
        <v>93</v>
      </c>
      <c r="M816" s="2" t="s">
        <v>48</v>
      </c>
      <c r="N816" s="2" t="s">
        <v>111</v>
      </c>
      <c r="O816" s="2" t="s">
        <v>2541</v>
      </c>
      <c r="P816" s="2" t="s">
        <v>70</v>
      </c>
      <c r="Q816" s="2" t="s">
        <v>41</v>
      </c>
      <c r="R816" s="2" t="n">
        <v>2</v>
      </c>
      <c r="S816" s="2" t="n">
        <v>2375.94</v>
      </c>
      <c r="T816" s="2" t="n">
        <v>0.25</v>
      </c>
      <c r="U816" s="2" t="str">
        <f aca="false">IF(ISBLANK(T816),"Yes","No")</f>
        <v>No</v>
      </c>
      <c r="V816" s="2" t="n">
        <f aca="false">IF(ISBLANK(T816),0,IF(ISNUMBER(T816),T816,VALUE(LEFT(T816,LEN(T816)-1))/100))</f>
        <v>0.25</v>
      </c>
      <c r="W816" s="2" t="str">
        <f aca="false">IF(AND(V816&gt;=0,V816&lt;=0.25),"Valid","Invalid")</f>
        <v>Valid</v>
      </c>
      <c r="X816" s="2" t="n">
        <v>3563.91</v>
      </c>
      <c r="Y816" s="2" t="n">
        <f aca="false">R816*S816*(1-V816)</f>
        <v>3563.91</v>
      </c>
      <c r="Z816" s="2" t="str">
        <f aca="false">IF(ABS(X816-Y816)&gt;1,"Mismatch","OK")</f>
        <v>OK</v>
      </c>
      <c r="AA816" s="2" t="n">
        <v>2639.7</v>
      </c>
      <c r="AB816" s="2" t="n">
        <v>924.21</v>
      </c>
      <c r="AC816" s="2" t="n">
        <f aca="false">Y816-AA816</f>
        <v>924.21</v>
      </c>
      <c r="AD816" s="2" t="str">
        <f aca="false">IF(ABS(AB816-AC816)&gt;1,"Mismatch","OK")</f>
        <v>OK</v>
      </c>
      <c r="AE816" s="4" t="n">
        <f aca="false">IF(Y816=0,0,AC816/Y816)</f>
        <v>0.259324730422485</v>
      </c>
      <c r="AF816" s="2" t="s">
        <v>52</v>
      </c>
      <c r="AG816" s="2" t="s">
        <v>53</v>
      </c>
      <c r="AH816" s="2" t="str">
        <f aca="false">IF(AND(AG816="Completed",AF816&lt;&gt;"Paid"),"Inconsistent","OK")</f>
        <v>OK</v>
      </c>
      <c r="AI816" s="2" t="n">
        <f aca="false">IF(OR(ISBLANK(B816),ISBLANK(C816)),"",C816-B816)</f>
        <v>5</v>
      </c>
      <c r="AJ816" s="2" t="str">
        <f aca="false">IF(AI816="","Unknown",IF(AI816&lt;0,"Invalid","OK"))</f>
        <v>OK</v>
      </c>
      <c r="AK816" s="2" t="str">
        <f aca="false">IF(ISBLANK(B816),"",TEXT(B816,"mmm"))</f>
        <v>Aug</v>
      </c>
      <c r="AL816" s="2" t="n">
        <f aca="false">IF(ISBLANK(B816),"",YEAR(B816))</f>
        <v>2025</v>
      </c>
      <c r="AM816" s="2" t="s">
        <v>41</v>
      </c>
      <c r="AN816" s="2" t="str">
        <f aca="false">IF(OR(W816="Invalid",AJ816="Invalid",AH816="Inconsistent",Z816="Mismatch",AD816="Mismatch",AM816="Yes",D816="Yes",E816="Yes"),"Invalid",IF(OR(J816="Yes",Q816="Yes",U816="Yes"),"Warning","Clean"))</f>
        <v>Clean</v>
      </c>
    </row>
    <row r="817" customFormat="false" ht="15" hidden="false" customHeight="false" outlineLevel="0" collapsed="false">
      <c r="A817" s="2" t="s">
        <v>2542</v>
      </c>
      <c r="B817" s="3" t="n">
        <v>45383</v>
      </c>
      <c r="C817" s="3" t="n">
        <v>45390</v>
      </c>
      <c r="D817" s="2" t="s">
        <v>41</v>
      </c>
      <c r="E817" s="2" t="s">
        <v>41</v>
      </c>
      <c r="F817" s="2" t="s">
        <v>2543</v>
      </c>
      <c r="G817" s="2" t="s">
        <v>182</v>
      </c>
      <c r="H817" s="2" t="s">
        <v>44</v>
      </c>
      <c r="I817" s="2" t="s">
        <v>58</v>
      </c>
      <c r="J817" s="2" t="s">
        <v>41</v>
      </c>
      <c r="K817" s="2" t="s">
        <v>59</v>
      </c>
      <c r="L817" s="2" t="s">
        <v>60</v>
      </c>
      <c r="M817" s="2" t="s">
        <v>94</v>
      </c>
      <c r="N817" s="2" t="s">
        <v>296</v>
      </c>
      <c r="O817" s="2" t="s">
        <v>2544</v>
      </c>
      <c r="P817" s="2" t="s">
        <v>79</v>
      </c>
      <c r="Q817" s="2" t="s">
        <v>41</v>
      </c>
      <c r="R817" s="2" t="n">
        <v>7</v>
      </c>
      <c r="S817" s="2" t="n">
        <v>715.81</v>
      </c>
      <c r="T817" s="2" t="n">
        <v>0.15</v>
      </c>
      <c r="U817" s="2" t="str">
        <f aca="false">IF(ISBLANK(T817),"Yes","No")</f>
        <v>No</v>
      </c>
      <c r="V817" s="2" t="n">
        <f aca="false">IF(ISBLANK(T817),0,IF(ISNUMBER(T817),T817,VALUE(LEFT(T817,LEN(T817)-1))/100))</f>
        <v>0.15</v>
      </c>
      <c r="W817" s="2" t="str">
        <f aca="false">IF(AND(V817&gt;=0,V817&lt;=0.25),"Valid","Invalid")</f>
        <v>Valid</v>
      </c>
      <c r="X817" s="2" t="n">
        <v>4259.07</v>
      </c>
      <c r="Y817" s="2" t="n">
        <f aca="false">R817*S817*(1-V817)</f>
        <v>4259.0695</v>
      </c>
      <c r="Z817" s="2" t="str">
        <f aca="false">IF(ABS(X817-Y817)&gt;1,"Mismatch","OK")</f>
        <v>OK</v>
      </c>
      <c r="AA817" s="2" t="n">
        <v>3130.32</v>
      </c>
      <c r="AB817" s="2" t="n">
        <v>1128.75</v>
      </c>
      <c r="AC817" s="2" t="n">
        <f aca="false">Y817-AA817</f>
        <v>1128.7495</v>
      </c>
      <c r="AD817" s="2" t="str">
        <f aca="false">IF(ABS(AB817-AC817)&gt;1,"Mismatch","OK")</f>
        <v>OK</v>
      </c>
      <c r="AE817" s="4" t="n">
        <f aca="false">IF(Y817=0,0,AC817/Y817)</f>
        <v>0.265022559505075</v>
      </c>
      <c r="AF817" s="2" t="s">
        <v>131</v>
      </c>
      <c r="AG817" s="2" t="s">
        <v>88</v>
      </c>
      <c r="AH817" s="2" t="str">
        <f aca="false">IF(AND(AG817="Completed",AF817&lt;&gt;"Paid"),"Inconsistent","OK")</f>
        <v>OK</v>
      </c>
      <c r="AI817" s="2" t="n">
        <f aca="false">IF(OR(ISBLANK(B817),ISBLANK(C817)),"",C817-B817)</f>
        <v>7</v>
      </c>
      <c r="AJ817" s="2" t="str">
        <f aca="false">IF(AI817="","Unknown",IF(AI817&lt;0,"Invalid","OK"))</f>
        <v>OK</v>
      </c>
      <c r="AK817" s="2" t="str">
        <f aca="false">IF(ISBLANK(B817),"",TEXT(B817,"mmm"))</f>
        <v>Apr</v>
      </c>
      <c r="AL817" s="2" t="n">
        <f aca="false">IF(ISBLANK(B817),"",YEAR(B817))</f>
        <v>2024</v>
      </c>
      <c r="AM817" s="2" t="s">
        <v>41</v>
      </c>
      <c r="AN817" s="2" t="str">
        <f aca="false">IF(OR(W817="Invalid",AJ817="Invalid",AH817="Inconsistent",Z817="Mismatch",AD817="Mismatch",AM817="Yes",D817="Yes",E817="Yes"),"Invalid",IF(OR(J817="Yes",Q817="Yes",U817="Yes"),"Warning","Clean"))</f>
        <v>Clean</v>
      </c>
    </row>
    <row r="818" customFormat="false" ht="15" hidden="false" customHeight="false" outlineLevel="0" collapsed="false">
      <c r="A818" s="2" t="s">
        <v>2545</v>
      </c>
      <c r="B818" s="3" t="n">
        <v>45623</v>
      </c>
      <c r="C818" s="3" t="n">
        <v>45626</v>
      </c>
      <c r="D818" s="2" t="s">
        <v>41</v>
      </c>
      <c r="E818" s="2" t="s">
        <v>41</v>
      </c>
      <c r="F818" s="2" t="s">
        <v>2546</v>
      </c>
      <c r="G818" s="2" t="s">
        <v>138</v>
      </c>
      <c r="H818" s="2" t="s">
        <v>57</v>
      </c>
      <c r="I818" s="2" t="s">
        <v>58</v>
      </c>
      <c r="J818" s="2" t="s">
        <v>41</v>
      </c>
      <c r="K818" s="2" t="s">
        <v>250</v>
      </c>
      <c r="L818" s="2" t="s">
        <v>251</v>
      </c>
      <c r="M818" s="2" t="s">
        <v>61</v>
      </c>
      <c r="N818" s="2" t="s">
        <v>77</v>
      </c>
      <c r="O818" s="2" t="s">
        <v>2547</v>
      </c>
      <c r="P818" s="2" t="s">
        <v>70</v>
      </c>
      <c r="Q818" s="2" t="s">
        <v>41</v>
      </c>
      <c r="R818" s="2" t="n">
        <v>1</v>
      </c>
      <c r="S818" s="2" t="n">
        <v>874.3</v>
      </c>
      <c r="T818" s="2" t="n">
        <v>0.1</v>
      </c>
      <c r="U818" s="2" t="str">
        <f aca="false">IF(ISBLANK(T818),"Yes","No")</f>
        <v>No</v>
      </c>
      <c r="V818" s="2" t="n">
        <f aca="false">IF(ISBLANK(T818),0,IF(ISNUMBER(T818),T818,VALUE(LEFT(T818,LEN(T818)-1))/100))</f>
        <v>0.1</v>
      </c>
      <c r="W818" s="2" t="str">
        <f aca="false">IF(AND(V818&gt;=0,V818&lt;=0.25),"Valid","Invalid")</f>
        <v>Valid</v>
      </c>
      <c r="X818" s="2" t="n">
        <v>786.87</v>
      </c>
      <c r="Y818" s="2" t="n">
        <f aca="false">R818*S818*(1-V818)</f>
        <v>786.87</v>
      </c>
      <c r="Z818" s="2" t="str">
        <f aca="false">IF(ABS(X818-Y818)&gt;1,"Mismatch","OK")</f>
        <v>OK</v>
      </c>
      <c r="AA818" s="2" t="n">
        <v>498.5</v>
      </c>
      <c r="AB818" s="2" t="n">
        <v>288.37</v>
      </c>
      <c r="AC818" s="2" t="n">
        <f aca="false">Y818-AA818</f>
        <v>288.37</v>
      </c>
      <c r="AD818" s="2" t="str">
        <f aca="false">IF(ABS(AB818-AC818)&gt;1,"Mismatch","OK")</f>
        <v>OK</v>
      </c>
      <c r="AE818" s="4" t="n">
        <f aca="false">IF(Y818=0,0,AC818/Y818)</f>
        <v>0.366477308831192</v>
      </c>
      <c r="AF818" s="2" t="s">
        <v>52</v>
      </c>
      <c r="AG818" s="2" t="s">
        <v>53</v>
      </c>
      <c r="AH818" s="2" t="str">
        <f aca="false">IF(AND(AG818="Completed",AF818&lt;&gt;"Paid"),"Inconsistent","OK")</f>
        <v>OK</v>
      </c>
      <c r="AI818" s="2" t="n">
        <f aca="false">IF(OR(ISBLANK(B818),ISBLANK(C818)),"",C818-B818)</f>
        <v>3</v>
      </c>
      <c r="AJ818" s="2" t="str">
        <f aca="false">IF(AI818="","Unknown",IF(AI818&lt;0,"Invalid","OK"))</f>
        <v>OK</v>
      </c>
      <c r="AK818" s="2" t="str">
        <f aca="false">IF(ISBLANK(B818),"",TEXT(B818,"mmm"))</f>
        <v>Nov</v>
      </c>
      <c r="AL818" s="2" t="n">
        <f aca="false">IF(ISBLANK(B818),"",YEAR(B818))</f>
        <v>2024</v>
      </c>
      <c r="AM818" s="2" t="s">
        <v>41</v>
      </c>
      <c r="AN818" s="2" t="str">
        <f aca="false">IF(OR(W818="Invalid",AJ818="Invalid",AH818="Inconsistent",Z818="Mismatch",AD818="Mismatch",AM818="Yes",D818="Yes",E818="Yes"),"Invalid",IF(OR(J818="Yes",Q818="Yes",U818="Yes"),"Warning","Clean"))</f>
        <v>Clean</v>
      </c>
    </row>
    <row r="819" customFormat="false" ht="15" hidden="false" customHeight="false" outlineLevel="0" collapsed="false">
      <c r="A819" s="2" t="s">
        <v>2548</v>
      </c>
      <c r="B819" s="3" t="n">
        <v>45752</v>
      </c>
      <c r="C819" s="3" t="n">
        <v>45752</v>
      </c>
      <c r="D819" s="2" t="s">
        <v>41</v>
      </c>
      <c r="E819" s="2" t="s">
        <v>41</v>
      </c>
      <c r="F819" s="2" t="s">
        <v>2549</v>
      </c>
      <c r="G819" s="2" t="s">
        <v>152</v>
      </c>
      <c r="H819" s="2" t="s">
        <v>44</v>
      </c>
      <c r="I819" s="2" t="s">
        <v>58</v>
      </c>
      <c r="J819" s="2" t="s">
        <v>41</v>
      </c>
      <c r="K819" s="2" t="s">
        <v>165</v>
      </c>
      <c r="L819" s="2" t="s">
        <v>166</v>
      </c>
      <c r="M819" s="2" t="s">
        <v>48</v>
      </c>
      <c r="N819" s="2" t="s">
        <v>173</v>
      </c>
      <c r="O819" s="2" t="s">
        <v>2550</v>
      </c>
      <c r="P819" s="2" t="s">
        <v>79</v>
      </c>
      <c r="Q819" s="2" t="s">
        <v>41</v>
      </c>
      <c r="R819" s="2" t="n">
        <v>6</v>
      </c>
      <c r="S819" s="2" t="n">
        <v>1829.69</v>
      </c>
      <c r="T819" s="2" t="n">
        <v>0.25</v>
      </c>
      <c r="U819" s="2" t="str">
        <f aca="false">IF(ISBLANK(T819),"Yes","No")</f>
        <v>No</v>
      </c>
      <c r="V819" s="2" t="n">
        <f aca="false">IF(ISBLANK(T819),0,IF(ISNUMBER(T819),T819,VALUE(LEFT(T819,LEN(T819)-1))/100))</f>
        <v>0.25</v>
      </c>
      <c r="W819" s="2" t="str">
        <f aca="false">IF(AND(V819&gt;=0,V819&lt;=0.25),"Valid","Invalid")</f>
        <v>Valid</v>
      </c>
      <c r="X819" s="2" t="n">
        <v>8233.6</v>
      </c>
      <c r="Y819" s="2" t="n">
        <f aca="false">R819*S819*(1-V819)</f>
        <v>8233.605</v>
      </c>
      <c r="Z819" s="2" t="str">
        <f aca="false">IF(ABS(X819-Y819)&gt;1,"Mismatch","OK")</f>
        <v>OK</v>
      </c>
      <c r="AA819" s="2" t="n">
        <v>4713.79</v>
      </c>
      <c r="AB819" s="2" t="n">
        <v>3519.81</v>
      </c>
      <c r="AC819" s="2" t="n">
        <f aca="false">Y819-AA819</f>
        <v>3519.815</v>
      </c>
      <c r="AD819" s="2" t="str">
        <f aca="false">IF(ABS(AB819-AC819)&gt;1,"Mismatch","OK")</f>
        <v>OK</v>
      </c>
      <c r="AE819" s="4" t="n">
        <f aca="false">IF(Y819=0,0,AC819/Y819)</f>
        <v>0.427493789172544</v>
      </c>
      <c r="AF819" s="2" t="s">
        <v>52</v>
      </c>
      <c r="AG819" s="2" t="s">
        <v>53</v>
      </c>
      <c r="AH819" s="2" t="str">
        <f aca="false">IF(AND(AG819="Completed",AF819&lt;&gt;"Paid"),"Inconsistent","OK")</f>
        <v>OK</v>
      </c>
      <c r="AI819" s="2" t="n">
        <f aca="false">IF(OR(ISBLANK(B819),ISBLANK(C819)),"",C819-B819)</f>
        <v>0</v>
      </c>
      <c r="AJ819" s="2" t="str">
        <f aca="false">IF(AI819="","Unknown",IF(AI819&lt;0,"Invalid","OK"))</f>
        <v>OK</v>
      </c>
      <c r="AK819" s="2" t="str">
        <f aca="false">IF(ISBLANK(B819),"",TEXT(B819,"mmm"))</f>
        <v>Apr</v>
      </c>
      <c r="AL819" s="2" t="n">
        <f aca="false">IF(ISBLANK(B819),"",YEAR(B819))</f>
        <v>2025</v>
      </c>
      <c r="AM819" s="2" t="s">
        <v>41</v>
      </c>
      <c r="AN819" s="2" t="str">
        <f aca="false">IF(OR(W819="Invalid",AJ819="Invalid",AH819="Inconsistent",Z819="Mismatch",AD819="Mismatch",AM819="Yes",D819="Yes",E819="Yes"),"Invalid",IF(OR(J819="Yes",Q819="Yes",U819="Yes"),"Warning","Clean"))</f>
        <v>Clean</v>
      </c>
    </row>
    <row r="820" customFormat="false" ht="15" hidden="false" customHeight="false" outlineLevel="0" collapsed="false">
      <c r="A820" s="2" t="s">
        <v>2551</v>
      </c>
      <c r="B820" s="3" t="n">
        <v>45564</v>
      </c>
      <c r="C820" s="3" t="n">
        <v>45570</v>
      </c>
      <c r="D820" s="2" t="s">
        <v>41</v>
      </c>
      <c r="E820" s="2" t="s">
        <v>41</v>
      </c>
      <c r="F820" s="2" t="s">
        <v>2552</v>
      </c>
      <c r="G820" s="2" t="s">
        <v>134</v>
      </c>
      <c r="H820" s="2" t="s">
        <v>57</v>
      </c>
      <c r="I820" s="2" t="s">
        <v>83</v>
      </c>
      <c r="J820" s="2" t="s">
        <v>41</v>
      </c>
      <c r="K820" s="2" t="s">
        <v>84</v>
      </c>
      <c r="L820" s="2" t="s">
        <v>85</v>
      </c>
      <c r="M820" s="2" t="s">
        <v>48</v>
      </c>
      <c r="N820" s="2" t="s">
        <v>111</v>
      </c>
      <c r="O820" s="2" t="s">
        <v>2553</v>
      </c>
      <c r="P820" s="2" t="s">
        <v>70</v>
      </c>
      <c r="Q820" s="2" t="s">
        <v>41</v>
      </c>
      <c r="R820" s="2" t="n">
        <v>8</v>
      </c>
      <c r="S820" s="2" t="n">
        <v>1981.04</v>
      </c>
      <c r="T820" s="2" t="n">
        <v>-0.14</v>
      </c>
      <c r="U820" s="2" t="str">
        <f aca="false">IF(ISBLANK(T820),"Yes","No")</f>
        <v>No</v>
      </c>
      <c r="V820" s="2" t="n">
        <f aca="false">IF(ISBLANK(T820),0,IF(ISNUMBER(T820),T820,VALUE(LEFT(T820,LEN(T820)-1))/100))</f>
        <v>-0.14</v>
      </c>
      <c r="W820" s="2" t="str">
        <f aca="false">IF(AND(V820&gt;=0,V820&lt;=0.25),"Valid","Invalid")</f>
        <v>Invalid</v>
      </c>
      <c r="X820" s="2" t="n">
        <v>12678.66</v>
      </c>
      <c r="Y820" s="2" t="n">
        <f aca="false">R820*S820*(1-V820)</f>
        <v>18067.0848</v>
      </c>
      <c r="Z820" s="2" t="str">
        <f aca="false">IF(ABS(X820-Y820)&gt;1,"Mismatch","OK")</f>
        <v>Mismatch</v>
      </c>
      <c r="AA820" s="2" t="n">
        <v>10088.65</v>
      </c>
      <c r="AB820" s="2" t="n">
        <v>2590.01</v>
      </c>
      <c r="AC820" s="2" t="n">
        <f aca="false">Y820-AA820</f>
        <v>7978.4348</v>
      </c>
      <c r="AD820" s="2" t="str">
        <f aca="false">IF(ABS(AB820-AC820)&gt;1,"Mismatch","OK")</f>
        <v>Mismatch</v>
      </c>
      <c r="AE820" s="4" t="n">
        <f aca="false">IF(Y820=0,0,AC820/Y820)</f>
        <v>0.441600561923526</v>
      </c>
      <c r="AF820" s="2" t="s">
        <v>52</v>
      </c>
      <c r="AG820" s="2" t="s">
        <v>53</v>
      </c>
      <c r="AH820" s="2" t="str">
        <f aca="false">IF(AND(AG820="Completed",AF820&lt;&gt;"Paid"),"Inconsistent","OK")</f>
        <v>OK</v>
      </c>
      <c r="AI820" s="2" t="n">
        <f aca="false">IF(OR(ISBLANK(B820),ISBLANK(C820)),"",C820-B820)</f>
        <v>6</v>
      </c>
      <c r="AJ820" s="2" t="str">
        <f aca="false">IF(AI820="","Unknown",IF(AI820&lt;0,"Invalid","OK"))</f>
        <v>OK</v>
      </c>
      <c r="AK820" s="2" t="str">
        <f aca="false">IF(ISBLANK(B820),"",TEXT(B820,"mmm"))</f>
        <v>Sep</v>
      </c>
      <c r="AL820" s="2" t="n">
        <f aca="false">IF(ISBLANK(B820),"",YEAR(B820))</f>
        <v>2024</v>
      </c>
      <c r="AM820" s="2" t="s">
        <v>41</v>
      </c>
      <c r="AN820" s="2" t="str">
        <f aca="false">IF(OR(W820="Invalid",AJ820="Invalid",AH820="Inconsistent",Z820="Mismatch",AD820="Mismatch",AM820="Yes",D820="Yes",E820="Yes"),"Invalid",IF(OR(J820="Yes",Q820="Yes",U820="Yes"),"Warning","Clean"))</f>
        <v>Invalid</v>
      </c>
    </row>
    <row r="821" customFormat="false" ht="15" hidden="false" customHeight="false" outlineLevel="0" collapsed="false">
      <c r="A821" s="2" t="s">
        <v>2554</v>
      </c>
      <c r="B821" s="3" t="n">
        <v>45504</v>
      </c>
      <c r="C821" s="3" t="n">
        <v>45504</v>
      </c>
      <c r="D821" s="2" t="s">
        <v>41</v>
      </c>
      <c r="E821" s="2" t="s">
        <v>41</v>
      </c>
      <c r="F821" s="2" t="s">
        <v>2555</v>
      </c>
      <c r="G821" s="2" t="s">
        <v>43</v>
      </c>
      <c r="H821" s="2" t="s">
        <v>115</v>
      </c>
      <c r="I821" s="2" t="s">
        <v>74</v>
      </c>
      <c r="J821" s="2" t="s">
        <v>41</v>
      </c>
      <c r="K821" s="2" t="s">
        <v>205</v>
      </c>
      <c r="L821" s="2" t="s">
        <v>206</v>
      </c>
      <c r="M821" s="2" t="s">
        <v>94</v>
      </c>
      <c r="N821" s="2" t="s">
        <v>296</v>
      </c>
      <c r="O821" s="2" t="s">
        <v>2556</v>
      </c>
      <c r="P821" s="2" t="s">
        <v>79</v>
      </c>
      <c r="Q821" s="2" t="s">
        <v>41</v>
      </c>
      <c r="R821" s="2" t="n">
        <v>8</v>
      </c>
      <c r="S821" s="2" t="n">
        <v>4246.01</v>
      </c>
      <c r="T821" s="2" t="n">
        <v>0</v>
      </c>
      <c r="U821" s="2" t="str">
        <f aca="false">IF(ISBLANK(T821),"Yes","No")</f>
        <v>No</v>
      </c>
      <c r="V821" s="2" t="n">
        <f aca="false">IF(ISBLANK(T821),0,IF(ISNUMBER(T821),T821,VALUE(LEFT(T821,LEN(T821)-1))/100))</f>
        <v>0</v>
      </c>
      <c r="W821" s="2" t="str">
        <f aca="false">IF(AND(V821&gt;=0,V821&lt;=0.25),"Valid","Invalid")</f>
        <v>Valid</v>
      </c>
      <c r="X821" s="2" t="n">
        <v>33968.08</v>
      </c>
      <c r="Y821" s="2" t="n">
        <f aca="false">R821*S821*(1-V821)</f>
        <v>33968.08</v>
      </c>
      <c r="Z821" s="2" t="str">
        <f aca="false">IF(ABS(X821-Y821)&gt;1,"Mismatch","OK")</f>
        <v>OK</v>
      </c>
      <c r="AA821" s="2" t="n">
        <v>26902.44</v>
      </c>
      <c r="AB821" s="2" t="n">
        <v>7065.64</v>
      </c>
      <c r="AC821" s="2" t="n">
        <f aca="false">Y821-AA821</f>
        <v>7065.64</v>
      </c>
      <c r="AD821" s="2" t="str">
        <f aca="false">IF(ABS(AB821-AC821)&gt;1,"Mismatch","OK")</f>
        <v>OK</v>
      </c>
      <c r="AE821" s="4" t="n">
        <f aca="false">IF(Y821=0,0,AC821/Y821)</f>
        <v>0.208008224191653</v>
      </c>
      <c r="AF821" s="2" t="s">
        <v>175</v>
      </c>
      <c r="AG821" s="2" t="s">
        <v>88</v>
      </c>
      <c r="AH821" s="2" t="str">
        <f aca="false">IF(AND(AG821="Completed",AF821&lt;&gt;"Paid"),"Inconsistent","OK")</f>
        <v>OK</v>
      </c>
      <c r="AI821" s="2" t="n">
        <f aca="false">IF(OR(ISBLANK(B821),ISBLANK(C821)),"",C821-B821)</f>
        <v>0</v>
      </c>
      <c r="AJ821" s="2" t="str">
        <f aca="false">IF(AI821="","Unknown",IF(AI821&lt;0,"Invalid","OK"))</f>
        <v>OK</v>
      </c>
      <c r="AK821" s="2" t="str">
        <f aca="false">IF(ISBLANK(B821),"",TEXT(B821,"mmm"))</f>
        <v>Jul</v>
      </c>
      <c r="AL821" s="2" t="n">
        <f aca="false">IF(ISBLANK(B821),"",YEAR(B821))</f>
        <v>2024</v>
      </c>
      <c r="AM821" s="2" t="s">
        <v>41</v>
      </c>
      <c r="AN821" s="2" t="str">
        <f aca="false">IF(OR(W821="Invalid",AJ821="Invalid",AH821="Inconsistent",Z821="Mismatch",AD821="Mismatch",AM821="Yes",D821="Yes",E821="Yes"),"Invalid",IF(OR(J821="Yes",Q821="Yes",U821="Yes"),"Warning","Clean"))</f>
        <v>Clean</v>
      </c>
    </row>
    <row r="822" customFormat="false" ht="15" hidden="false" customHeight="false" outlineLevel="0" collapsed="false">
      <c r="A822" s="2" t="s">
        <v>2557</v>
      </c>
      <c r="B822" s="3" t="n">
        <v>45694</v>
      </c>
      <c r="C822" s="3" t="n">
        <v>45698</v>
      </c>
      <c r="D822" s="2" t="s">
        <v>41</v>
      </c>
      <c r="E822" s="2" t="s">
        <v>41</v>
      </c>
      <c r="F822" s="2" t="s">
        <v>2558</v>
      </c>
      <c r="G822" s="2" t="s">
        <v>82</v>
      </c>
      <c r="H822" s="2" t="s">
        <v>115</v>
      </c>
      <c r="I822" s="2" t="s">
        <v>45</v>
      </c>
      <c r="J822" s="2" t="s">
        <v>41</v>
      </c>
      <c r="K822" s="2" t="s">
        <v>156</v>
      </c>
      <c r="L822" s="2" t="s">
        <v>157</v>
      </c>
      <c r="M822" s="2" t="s">
        <v>61</v>
      </c>
      <c r="N822" s="2" t="s">
        <v>178</v>
      </c>
      <c r="O822" s="2" t="s">
        <v>2559</v>
      </c>
      <c r="P822" s="2" t="s">
        <v>79</v>
      </c>
      <c r="Q822" s="2" t="s">
        <v>41</v>
      </c>
      <c r="R822" s="2" t="n">
        <v>2</v>
      </c>
      <c r="S822" s="2" t="n">
        <v>319.57</v>
      </c>
      <c r="T822" s="2" t="n">
        <v>0.2</v>
      </c>
      <c r="U822" s="2" t="str">
        <f aca="false">IF(ISBLANK(T822),"Yes","No")</f>
        <v>No</v>
      </c>
      <c r="V822" s="2" t="n">
        <f aca="false">IF(ISBLANK(T822),0,IF(ISNUMBER(T822),T822,VALUE(LEFT(T822,LEN(T822)-1))/100))</f>
        <v>0.2</v>
      </c>
      <c r="W822" s="2" t="str">
        <f aca="false">IF(AND(V822&gt;=0,V822&lt;=0.25),"Valid","Invalid")</f>
        <v>Valid</v>
      </c>
      <c r="X822" s="2" t="n">
        <v>511.31</v>
      </c>
      <c r="Y822" s="2" t="n">
        <f aca="false">R822*S822*(1-V822)</f>
        <v>511.312</v>
      </c>
      <c r="Z822" s="2" t="str">
        <f aca="false">IF(ABS(X822-Y822)&gt;1,"Mismatch","OK")</f>
        <v>OK</v>
      </c>
      <c r="AA822" s="2" t="n">
        <v>436.43</v>
      </c>
      <c r="AB822" s="2" t="n">
        <v>74.88</v>
      </c>
      <c r="AC822" s="2" t="n">
        <f aca="false">Y822-AA822</f>
        <v>74.882</v>
      </c>
      <c r="AD822" s="2" t="str">
        <f aca="false">IF(ABS(AB822-AC822)&gt;1,"Mismatch","OK")</f>
        <v>OK</v>
      </c>
      <c r="AE822" s="4" t="n">
        <f aca="false">IF(Y822=0,0,AC822/Y822)</f>
        <v>0.146450699377288</v>
      </c>
      <c r="AF822" s="2" t="s">
        <v>52</v>
      </c>
      <c r="AG822" s="2" t="s">
        <v>53</v>
      </c>
      <c r="AH822" s="2" t="str">
        <f aca="false">IF(AND(AG822="Completed",AF822&lt;&gt;"Paid"),"Inconsistent","OK")</f>
        <v>OK</v>
      </c>
      <c r="AI822" s="2" t="n">
        <f aca="false">IF(OR(ISBLANK(B822),ISBLANK(C822)),"",C822-B822)</f>
        <v>4</v>
      </c>
      <c r="AJ822" s="2" t="str">
        <f aca="false">IF(AI822="","Unknown",IF(AI822&lt;0,"Invalid","OK"))</f>
        <v>OK</v>
      </c>
      <c r="AK822" s="2" t="str">
        <f aca="false">IF(ISBLANK(B822),"",TEXT(B822,"mmm"))</f>
        <v>Feb</v>
      </c>
      <c r="AL822" s="2" t="n">
        <f aca="false">IF(ISBLANK(B822),"",YEAR(B822))</f>
        <v>2025</v>
      </c>
      <c r="AM822" s="2" t="s">
        <v>41</v>
      </c>
      <c r="AN822" s="2" t="str">
        <f aca="false">IF(OR(W822="Invalid",AJ822="Invalid",AH822="Inconsistent",Z822="Mismatch",AD822="Mismatch",AM822="Yes",D822="Yes",E822="Yes"),"Invalid",IF(OR(J822="Yes",Q822="Yes",U822="Yes"),"Warning","Clean"))</f>
        <v>Clean</v>
      </c>
    </row>
    <row r="823" customFormat="false" ht="15" hidden="false" customHeight="false" outlineLevel="0" collapsed="false">
      <c r="A823" s="2" t="s">
        <v>2560</v>
      </c>
      <c r="B823" s="3" t="n">
        <v>45476</v>
      </c>
      <c r="C823" s="3" t="n">
        <v>45479</v>
      </c>
      <c r="D823" s="2" t="s">
        <v>41</v>
      </c>
      <c r="E823" s="2" t="s">
        <v>41</v>
      </c>
      <c r="F823" s="2" t="s">
        <v>2561</v>
      </c>
      <c r="G823" s="2" t="s">
        <v>148</v>
      </c>
      <c r="H823" s="2" t="s">
        <v>110</v>
      </c>
      <c r="I823" s="2" t="s">
        <v>74</v>
      </c>
      <c r="J823" s="2" t="s">
        <v>41</v>
      </c>
      <c r="K823" s="2" t="s">
        <v>195</v>
      </c>
      <c r="L823" s="2" t="s">
        <v>196</v>
      </c>
      <c r="M823" s="2" t="s">
        <v>94</v>
      </c>
      <c r="N823" s="2" t="s">
        <v>95</v>
      </c>
      <c r="O823" s="2" t="s">
        <v>2562</v>
      </c>
      <c r="P823" s="2" t="s">
        <v>70</v>
      </c>
      <c r="Q823" s="2" t="s">
        <v>41</v>
      </c>
      <c r="R823" s="2" t="n">
        <v>7</v>
      </c>
      <c r="S823" s="2" t="n">
        <v>1942.49</v>
      </c>
      <c r="T823" s="2" t="n">
        <v>0.2</v>
      </c>
      <c r="U823" s="2" t="str">
        <f aca="false">IF(ISBLANK(T823),"Yes","No")</f>
        <v>No</v>
      </c>
      <c r="V823" s="2" t="n">
        <f aca="false">IF(ISBLANK(T823),0,IF(ISNUMBER(T823),T823,VALUE(LEFT(T823,LEN(T823)-1))/100))</f>
        <v>0.2</v>
      </c>
      <c r="W823" s="2" t="str">
        <f aca="false">IF(AND(V823&gt;=0,V823&lt;=0.25),"Valid","Invalid")</f>
        <v>Valid</v>
      </c>
      <c r="X823" s="2" t="n">
        <v>10877.94</v>
      </c>
      <c r="Y823" s="2" t="n">
        <f aca="false">R823*S823*(1-V823)</f>
        <v>10877.944</v>
      </c>
      <c r="Z823" s="2" t="str">
        <f aca="false">IF(ABS(X823-Y823)&gt;1,"Mismatch","OK")</f>
        <v>OK</v>
      </c>
      <c r="AA823" s="2" t="n">
        <v>9110.14</v>
      </c>
      <c r="AB823" s="2" t="n">
        <v>1767.8</v>
      </c>
      <c r="AC823" s="2" t="n">
        <f aca="false">Y823-AA823</f>
        <v>1767.804</v>
      </c>
      <c r="AD823" s="2" t="str">
        <f aca="false">IF(ABS(AB823-AC823)&gt;1,"Mismatch","OK")</f>
        <v>OK</v>
      </c>
      <c r="AE823" s="4" t="n">
        <f aca="false">IF(Y823=0,0,AC823/Y823)</f>
        <v>0.162512695413766</v>
      </c>
      <c r="AF823" s="2" t="s">
        <v>52</v>
      </c>
      <c r="AG823" s="2" t="s">
        <v>53</v>
      </c>
      <c r="AH823" s="2" t="str">
        <f aca="false">IF(AND(AG823="Completed",AF823&lt;&gt;"Paid"),"Inconsistent","OK")</f>
        <v>OK</v>
      </c>
      <c r="AI823" s="2" t="n">
        <f aca="false">IF(OR(ISBLANK(B823),ISBLANK(C823)),"",C823-B823)</f>
        <v>3</v>
      </c>
      <c r="AJ823" s="2" t="str">
        <f aca="false">IF(AI823="","Unknown",IF(AI823&lt;0,"Invalid","OK"))</f>
        <v>OK</v>
      </c>
      <c r="AK823" s="2" t="str">
        <f aca="false">IF(ISBLANK(B823),"",TEXT(B823,"mmm"))</f>
        <v>Jul</v>
      </c>
      <c r="AL823" s="2" t="n">
        <f aca="false">IF(ISBLANK(B823),"",YEAR(B823))</f>
        <v>2024</v>
      </c>
      <c r="AM823" s="2" t="s">
        <v>41</v>
      </c>
      <c r="AN823" s="2" t="str">
        <f aca="false">IF(OR(W823="Invalid",AJ823="Invalid",AH823="Inconsistent",Z823="Mismatch",AD823="Mismatch",AM823="Yes",D823="Yes",E823="Yes"),"Invalid",IF(OR(J823="Yes",Q823="Yes",U823="Yes"),"Warning","Clean"))</f>
        <v>Clean</v>
      </c>
    </row>
    <row r="824" customFormat="false" ht="15" hidden="false" customHeight="false" outlineLevel="0" collapsed="false">
      <c r="A824" s="2" t="s">
        <v>2563</v>
      </c>
      <c r="B824" s="3" t="n">
        <v>45577</v>
      </c>
      <c r="C824" s="3" t="n">
        <v>45573</v>
      </c>
      <c r="D824" s="2" t="s">
        <v>41</v>
      </c>
      <c r="E824" s="2" t="s">
        <v>41</v>
      </c>
      <c r="F824" s="2" t="s">
        <v>2564</v>
      </c>
      <c r="G824" s="2" t="s">
        <v>56</v>
      </c>
      <c r="H824" s="2" t="s">
        <v>110</v>
      </c>
      <c r="I824" s="2" t="s">
        <v>58</v>
      </c>
      <c r="J824" s="2" t="s">
        <v>41</v>
      </c>
      <c r="K824" s="2" t="s">
        <v>186</v>
      </c>
      <c r="L824" s="2" t="s">
        <v>187</v>
      </c>
      <c r="M824" s="2" t="s">
        <v>61</v>
      </c>
      <c r="N824" s="2" t="s">
        <v>77</v>
      </c>
      <c r="O824" s="2" t="s">
        <v>2565</v>
      </c>
      <c r="P824" s="2" t="s">
        <v>51</v>
      </c>
      <c r="Q824" s="2" t="s">
        <v>41</v>
      </c>
      <c r="R824" s="2" t="n">
        <v>4</v>
      </c>
      <c r="S824" s="2" t="n">
        <v>3202.04</v>
      </c>
      <c r="T824" s="2" t="n">
        <v>0.2</v>
      </c>
      <c r="U824" s="2" t="str">
        <f aca="false">IF(ISBLANK(T824),"Yes","No")</f>
        <v>No</v>
      </c>
      <c r="V824" s="2" t="n">
        <f aca="false">IF(ISBLANK(T824),0,IF(ISNUMBER(T824),T824,VALUE(LEFT(T824,LEN(T824)-1))/100))</f>
        <v>0.2</v>
      </c>
      <c r="W824" s="2" t="str">
        <f aca="false">IF(AND(V824&gt;=0,V824&lt;=0.25),"Valid","Invalid")</f>
        <v>Valid</v>
      </c>
      <c r="X824" s="2" t="n">
        <v>10246.53</v>
      </c>
      <c r="Y824" s="2" t="n">
        <f aca="false">R824*S824*(1-V824)</f>
        <v>10246.528</v>
      </c>
      <c r="Z824" s="2" t="str">
        <f aca="false">IF(ABS(X824-Y824)&gt;1,"Mismatch","OK")</f>
        <v>OK</v>
      </c>
      <c r="AA824" s="2" t="n">
        <v>8634.42</v>
      </c>
      <c r="AB824" s="2" t="n">
        <v>1612.11</v>
      </c>
      <c r="AC824" s="2" t="n">
        <f aca="false">Y824-AA824</f>
        <v>1612.108</v>
      </c>
      <c r="AD824" s="2" t="str">
        <f aca="false">IF(ABS(AB824-AC824)&gt;1,"Mismatch","OK")</f>
        <v>OK</v>
      </c>
      <c r="AE824" s="4" t="n">
        <f aca="false">IF(Y824=0,0,AC824/Y824)</f>
        <v>0.157332122646813</v>
      </c>
      <c r="AF824" s="2" t="s">
        <v>131</v>
      </c>
      <c r="AG824" s="2" t="s">
        <v>123</v>
      </c>
      <c r="AH824" s="2" t="str">
        <f aca="false">IF(AND(AG824="Completed",AF824&lt;&gt;"Paid"),"Inconsistent","OK")</f>
        <v>OK</v>
      </c>
      <c r="AI824" s="2" t="n">
        <f aca="false">IF(OR(ISBLANK(B824),ISBLANK(C824)),"",C824-B824)</f>
        <v>-4</v>
      </c>
      <c r="AJ824" s="2" t="str">
        <f aca="false">IF(AI824="","Unknown",IF(AI824&lt;0,"Invalid","OK"))</f>
        <v>Invalid</v>
      </c>
      <c r="AK824" s="2" t="str">
        <f aca="false">IF(ISBLANK(B824),"",TEXT(B824,"mmm"))</f>
        <v>Oct</v>
      </c>
      <c r="AL824" s="2" t="n">
        <f aca="false">IF(ISBLANK(B824),"",YEAR(B824))</f>
        <v>2024</v>
      </c>
      <c r="AM824" s="2" t="s">
        <v>41</v>
      </c>
      <c r="AN824" s="2" t="str">
        <f aca="false">IF(OR(W824="Invalid",AJ824="Invalid",AH824="Inconsistent",Z824="Mismatch",AD824="Mismatch",AM824="Yes",D824="Yes",E824="Yes"),"Invalid",IF(OR(J824="Yes",Q824="Yes",U824="Yes"),"Warning","Clean"))</f>
        <v>Invalid</v>
      </c>
    </row>
    <row r="825" customFormat="false" ht="15" hidden="false" customHeight="false" outlineLevel="0" collapsed="false">
      <c r="A825" s="2" t="s">
        <v>2566</v>
      </c>
      <c r="B825" s="3" t="n">
        <v>45663</v>
      </c>
      <c r="C825" s="3" t="n">
        <v>45669</v>
      </c>
      <c r="D825" s="2" t="s">
        <v>41</v>
      </c>
      <c r="E825" s="2" t="s">
        <v>41</v>
      </c>
      <c r="F825" s="2" t="s">
        <v>2567</v>
      </c>
      <c r="G825" s="2" t="s">
        <v>56</v>
      </c>
      <c r="H825" s="2" t="s">
        <v>115</v>
      </c>
      <c r="I825" s="2" t="s">
        <v>83</v>
      </c>
      <c r="J825" s="2" t="s">
        <v>41</v>
      </c>
      <c r="K825" s="2" t="s">
        <v>210</v>
      </c>
      <c r="L825" s="2" t="s">
        <v>211</v>
      </c>
      <c r="M825" s="2" t="s">
        <v>48</v>
      </c>
      <c r="N825" s="2" t="s">
        <v>49</v>
      </c>
      <c r="O825" s="2" t="s">
        <v>2568</v>
      </c>
      <c r="P825" s="2" t="s">
        <v>64</v>
      </c>
      <c r="Q825" s="2" t="s">
        <v>41</v>
      </c>
      <c r="R825" s="2" t="n">
        <v>3</v>
      </c>
      <c r="S825" s="2" t="n">
        <v>668.33</v>
      </c>
      <c r="T825" s="2" t="n">
        <v>0.15</v>
      </c>
      <c r="U825" s="2" t="str">
        <f aca="false">IF(ISBLANK(T825),"Yes","No")</f>
        <v>No</v>
      </c>
      <c r="V825" s="2" t="n">
        <f aca="false">IF(ISBLANK(T825),0,IF(ISNUMBER(T825),T825,VALUE(LEFT(T825,LEN(T825)-1))/100))</f>
        <v>0.15</v>
      </c>
      <c r="W825" s="2" t="str">
        <f aca="false">IF(AND(V825&gt;=0,V825&lt;=0.25),"Valid","Invalid")</f>
        <v>Valid</v>
      </c>
      <c r="X825" s="2" t="n">
        <v>1704.24</v>
      </c>
      <c r="Y825" s="2" t="n">
        <f aca="false">R825*S825*(1-V825)</f>
        <v>1704.2415</v>
      </c>
      <c r="Z825" s="2" t="str">
        <f aca="false">IF(ABS(X825-Y825)&gt;1,"Mismatch","OK")</f>
        <v>OK</v>
      </c>
      <c r="AA825" s="2" t="n">
        <v>957.55</v>
      </c>
      <c r="AB825" s="2" t="n">
        <v>746.69</v>
      </c>
      <c r="AC825" s="2" t="n">
        <f aca="false">Y825-AA825</f>
        <v>746.6915</v>
      </c>
      <c r="AD825" s="2" t="str">
        <f aca="false">IF(ABS(AB825-AC825)&gt;1,"Mismatch","OK")</f>
        <v>OK</v>
      </c>
      <c r="AE825" s="4" t="n">
        <f aca="false">IF(Y825=0,0,AC825/Y825)</f>
        <v>0.438137141948486</v>
      </c>
      <c r="AF825" s="2" t="s">
        <v>52</v>
      </c>
      <c r="AG825" s="2" t="s">
        <v>53</v>
      </c>
      <c r="AH825" s="2" t="str">
        <f aca="false">IF(AND(AG825="Completed",AF825&lt;&gt;"Paid"),"Inconsistent","OK")</f>
        <v>OK</v>
      </c>
      <c r="AI825" s="2" t="n">
        <f aca="false">IF(OR(ISBLANK(B825),ISBLANK(C825)),"",C825-B825)</f>
        <v>6</v>
      </c>
      <c r="AJ825" s="2" t="str">
        <f aca="false">IF(AI825="","Unknown",IF(AI825&lt;0,"Invalid","OK"))</f>
        <v>OK</v>
      </c>
      <c r="AK825" s="2" t="str">
        <f aca="false">IF(ISBLANK(B825),"",TEXT(B825,"mmm"))</f>
        <v>Jan</v>
      </c>
      <c r="AL825" s="2" t="n">
        <f aca="false">IF(ISBLANK(B825),"",YEAR(B825))</f>
        <v>2025</v>
      </c>
      <c r="AM825" s="2" t="s">
        <v>41</v>
      </c>
      <c r="AN825" s="2" t="str">
        <f aca="false">IF(OR(W825="Invalid",AJ825="Invalid",AH825="Inconsistent",Z825="Mismatch",AD825="Mismatch",AM825="Yes",D825="Yes",E825="Yes"),"Invalid",IF(OR(J825="Yes",Q825="Yes",U825="Yes"),"Warning","Clean"))</f>
        <v>Clean</v>
      </c>
    </row>
    <row r="826" customFormat="false" ht="15" hidden="false" customHeight="false" outlineLevel="0" collapsed="false">
      <c r="A826" s="2" t="s">
        <v>2569</v>
      </c>
      <c r="B826" s="3" t="n">
        <v>45737</v>
      </c>
      <c r="C826" s="3" t="n">
        <v>45738</v>
      </c>
      <c r="D826" s="2" t="s">
        <v>41</v>
      </c>
      <c r="E826" s="2" t="s">
        <v>41</v>
      </c>
      <c r="F826" s="2" t="s">
        <v>2570</v>
      </c>
      <c r="G826" s="2" t="s">
        <v>134</v>
      </c>
      <c r="H826" s="2" t="s">
        <v>44</v>
      </c>
      <c r="I826" s="2" t="s">
        <v>83</v>
      </c>
      <c r="J826" s="2" t="s">
        <v>41</v>
      </c>
      <c r="K826" s="2" t="s">
        <v>210</v>
      </c>
      <c r="L826" s="2" t="s">
        <v>211</v>
      </c>
      <c r="M826" s="2" t="s">
        <v>48</v>
      </c>
      <c r="N826" s="2" t="s">
        <v>49</v>
      </c>
      <c r="O826" s="2" t="s">
        <v>2571</v>
      </c>
      <c r="P826" s="2" t="s">
        <v>70</v>
      </c>
      <c r="Q826" s="2" t="s">
        <v>41</v>
      </c>
      <c r="R826" s="2" t="n">
        <v>8</v>
      </c>
      <c r="S826" s="2" t="n">
        <v>4436.74</v>
      </c>
      <c r="T826" s="2" t="n">
        <v>0.05</v>
      </c>
      <c r="U826" s="2" t="str">
        <f aca="false">IF(ISBLANK(T826),"Yes","No")</f>
        <v>No</v>
      </c>
      <c r="V826" s="2" t="n">
        <f aca="false">IF(ISBLANK(T826),0,IF(ISNUMBER(T826),T826,VALUE(LEFT(T826,LEN(T826)-1))/100))</f>
        <v>0.05</v>
      </c>
      <c r="W826" s="2" t="str">
        <f aca="false">IF(AND(V826&gt;=0,V826&lt;=0.25),"Valid","Invalid")</f>
        <v>Valid</v>
      </c>
      <c r="X826" s="2" t="n">
        <v>33719.22</v>
      </c>
      <c r="Y826" s="2" t="n">
        <f aca="false">R826*S826*(1-V826)</f>
        <v>33719.224</v>
      </c>
      <c r="Z826" s="2" t="str">
        <f aca="false">IF(ABS(X826-Y826)&gt;1,"Mismatch","OK")</f>
        <v>OK</v>
      </c>
      <c r="AA826" s="2" t="n">
        <v>28924.43</v>
      </c>
      <c r="AB826" s="2" t="n">
        <v>4794.79</v>
      </c>
      <c r="AC826" s="2" t="n">
        <f aca="false">Y826-AA826</f>
        <v>4794.79399999999</v>
      </c>
      <c r="AD826" s="2" t="str">
        <f aca="false">IF(ABS(AB826-AC826)&gt;1,"Mismatch","OK")</f>
        <v>OK</v>
      </c>
      <c r="AE826" s="4" t="n">
        <f aca="false">IF(Y826=0,0,AC826/Y826)</f>
        <v>0.142197637762957</v>
      </c>
      <c r="AF826" s="2" t="s">
        <v>52</v>
      </c>
      <c r="AG826" s="2" t="s">
        <v>53</v>
      </c>
      <c r="AH826" s="2" t="str">
        <f aca="false">IF(AND(AG826="Completed",AF826&lt;&gt;"Paid"),"Inconsistent","OK")</f>
        <v>OK</v>
      </c>
      <c r="AI826" s="2" t="n">
        <f aca="false">IF(OR(ISBLANK(B826),ISBLANK(C826)),"",C826-B826)</f>
        <v>1</v>
      </c>
      <c r="AJ826" s="2" t="str">
        <f aca="false">IF(AI826="","Unknown",IF(AI826&lt;0,"Invalid","OK"))</f>
        <v>OK</v>
      </c>
      <c r="AK826" s="2" t="str">
        <f aca="false">IF(ISBLANK(B826),"",TEXT(B826,"mmm"))</f>
        <v>Mar</v>
      </c>
      <c r="AL826" s="2" t="n">
        <f aca="false">IF(ISBLANK(B826),"",YEAR(B826))</f>
        <v>2025</v>
      </c>
      <c r="AM826" s="2" t="s">
        <v>41</v>
      </c>
      <c r="AN826" s="2" t="str">
        <f aca="false">IF(OR(W826="Invalid",AJ826="Invalid",AH826="Inconsistent",Z826="Mismatch",AD826="Mismatch",AM826="Yes",D826="Yes",E826="Yes"),"Invalid",IF(OR(J826="Yes",Q826="Yes",U826="Yes"),"Warning","Clean"))</f>
        <v>Clean</v>
      </c>
    </row>
    <row r="827" customFormat="false" ht="15" hidden="false" customHeight="false" outlineLevel="0" collapsed="false">
      <c r="A827" s="2" t="s">
        <v>2572</v>
      </c>
      <c r="B827" s="3" t="n">
        <v>45763</v>
      </c>
      <c r="C827" s="3" t="n">
        <v>45764</v>
      </c>
      <c r="D827" s="2" t="s">
        <v>41</v>
      </c>
      <c r="E827" s="2" t="s">
        <v>41</v>
      </c>
      <c r="F827" s="2" t="s">
        <v>2573</v>
      </c>
      <c r="G827" s="2" t="s">
        <v>91</v>
      </c>
      <c r="H827" s="2" t="s">
        <v>57</v>
      </c>
      <c r="I827" s="2" t="s">
        <v>45</v>
      </c>
      <c r="J827" s="2" t="s">
        <v>41</v>
      </c>
      <c r="K827" s="2" t="s">
        <v>156</v>
      </c>
      <c r="L827" s="2" t="s">
        <v>157</v>
      </c>
      <c r="M827" s="2" t="s">
        <v>94</v>
      </c>
      <c r="N827" s="2" t="s">
        <v>296</v>
      </c>
      <c r="O827" s="2" t="s">
        <v>2574</v>
      </c>
      <c r="P827" s="2" t="s">
        <v>70</v>
      </c>
      <c r="Q827" s="2" t="s">
        <v>41</v>
      </c>
      <c r="R827" s="2" t="n">
        <v>1</v>
      </c>
      <c r="S827" s="2" t="n">
        <v>2720.17</v>
      </c>
      <c r="T827" s="2" t="n">
        <v>0</v>
      </c>
      <c r="U827" s="2" t="str">
        <f aca="false">IF(ISBLANK(T827),"Yes","No")</f>
        <v>No</v>
      </c>
      <c r="V827" s="2" t="n">
        <f aca="false">IF(ISBLANK(T827),0,IF(ISNUMBER(T827),T827,VALUE(LEFT(T827,LEN(T827)-1))/100))</f>
        <v>0</v>
      </c>
      <c r="W827" s="2" t="str">
        <f aca="false">IF(AND(V827&gt;=0,V827&lt;=0.25),"Valid","Invalid")</f>
        <v>Valid</v>
      </c>
      <c r="X827" s="2" t="n">
        <v>2720.17</v>
      </c>
      <c r="Y827" s="2" t="n">
        <f aca="false">R827*S827*(1-V827)</f>
        <v>2720.17</v>
      </c>
      <c r="Z827" s="2" t="str">
        <f aca="false">IF(ABS(X827-Y827)&gt;1,"Mismatch","OK")</f>
        <v>OK</v>
      </c>
      <c r="AA827" s="2" t="n">
        <v>1834.23</v>
      </c>
      <c r="AB827" s="2" t="n">
        <v>885.94</v>
      </c>
      <c r="AC827" s="2" t="n">
        <f aca="false">Y827-AA827</f>
        <v>885.94</v>
      </c>
      <c r="AD827" s="2" t="str">
        <f aca="false">IF(ABS(AB827-AC827)&gt;1,"Mismatch","OK")</f>
        <v>OK</v>
      </c>
      <c r="AE827" s="4" t="n">
        <f aca="false">IF(Y827=0,0,AC827/Y827)</f>
        <v>0.32569287948915</v>
      </c>
      <c r="AF827" s="2" t="s">
        <v>52</v>
      </c>
      <c r="AG827" s="2" t="s">
        <v>53</v>
      </c>
      <c r="AH827" s="2" t="str">
        <f aca="false">IF(AND(AG827="Completed",AF827&lt;&gt;"Paid"),"Inconsistent","OK")</f>
        <v>OK</v>
      </c>
      <c r="AI827" s="2" t="n">
        <f aca="false">IF(OR(ISBLANK(B827),ISBLANK(C827)),"",C827-B827)</f>
        <v>1</v>
      </c>
      <c r="AJ827" s="2" t="str">
        <f aca="false">IF(AI827="","Unknown",IF(AI827&lt;0,"Invalid","OK"))</f>
        <v>OK</v>
      </c>
      <c r="AK827" s="2" t="str">
        <f aca="false">IF(ISBLANK(B827),"",TEXT(B827,"mmm"))</f>
        <v>Apr</v>
      </c>
      <c r="AL827" s="2" t="n">
        <f aca="false">IF(ISBLANK(B827),"",YEAR(B827))</f>
        <v>2025</v>
      </c>
      <c r="AM827" s="2" t="s">
        <v>41</v>
      </c>
      <c r="AN827" s="2" t="str">
        <f aca="false">IF(OR(W827="Invalid",AJ827="Invalid",AH827="Inconsistent",Z827="Mismatch",AD827="Mismatch",AM827="Yes",D827="Yes",E827="Yes"),"Invalid",IF(OR(J827="Yes",Q827="Yes",U827="Yes"),"Warning","Clean"))</f>
        <v>Clean</v>
      </c>
    </row>
    <row r="828" customFormat="false" ht="15" hidden="false" customHeight="false" outlineLevel="0" collapsed="false">
      <c r="A828" s="2" t="s">
        <v>2575</v>
      </c>
      <c r="B828" s="3" t="n">
        <v>45879</v>
      </c>
      <c r="C828" s="3" t="n">
        <v>45883</v>
      </c>
      <c r="D828" s="2" t="s">
        <v>41</v>
      </c>
      <c r="E828" s="2" t="s">
        <v>41</v>
      </c>
      <c r="F828" s="2" t="s">
        <v>2576</v>
      </c>
      <c r="G828" s="2" t="s">
        <v>109</v>
      </c>
      <c r="H828" s="2" t="s">
        <v>44</v>
      </c>
      <c r="I828" s="2" t="s">
        <v>83</v>
      </c>
      <c r="J828" s="2" t="s">
        <v>41</v>
      </c>
      <c r="K828" s="2" t="s">
        <v>46</v>
      </c>
      <c r="L828" s="2" t="s">
        <v>129</v>
      </c>
      <c r="M828" s="2" t="s">
        <v>94</v>
      </c>
      <c r="N828" s="2" t="s">
        <v>95</v>
      </c>
      <c r="O828" s="2" t="s">
        <v>2577</v>
      </c>
      <c r="P828" s="2" t="s">
        <v>79</v>
      </c>
      <c r="Q828" s="2" t="s">
        <v>41</v>
      </c>
      <c r="R828" s="2" t="n">
        <v>5</v>
      </c>
      <c r="S828" s="2" t="n">
        <v>2190.14</v>
      </c>
      <c r="T828" s="2" t="n">
        <v>0.25</v>
      </c>
      <c r="U828" s="2" t="str">
        <f aca="false">IF(ISBLANK(T828),"Yes","No")</f>
        <v>No</v>
      </c>
      <c r="V828" s="2" t="n">
        <f aca="false">IF(ISBLANK(T828),0,IF(ISNUMBER(T828),T828,VALUE(LEFT(T828,LEN(T828)-1))/100))</f>
        <v>0.25</v>
      </c>
      <c r="W828" s="2" t="str">
        <f aca="false">IF(AND(V828&gt;=0,V828&lt;=0.25),"Valid","Invalid")</f>
        <v>Valid</v>
      </c>
      <c r="X828" s="2" t="n">
        <v>8213.02</v>
      </c>
      <c r="Y828" s="2" t="n">
        <f aca="false">R828*S828*(1-V828)</f>
        <v>8213.025</v>
      </c>
      <c r="Z828" s="2" t="str">
        <f aca="false">IF(ABS(X828-Y828)&gt;1,"Mismatch","OK")</f>
        <v>OK</v>
      </c>
      <c r="AA828" s="2" t="n">
        <v>5569.3</v>
      </c>
      <c r="AB828" s="2" t="n">
        <v>2643.72</v>
      </c>
      <c r="AC828" s="2" t="n">
        <f aca="false">Y828-AA828</f>
        <v>2643.725</v>
      </c>
      <c r="AD828" s="2" t="str">
        <f aca="false">IF(ABS(AB828-AC828)&gt;1,"Mismatch","OK")</f>
        <v>OK</v>
      </c>
      <c r="AE828" s="4" t="n">
        <f aca="false">IF(Y828=0,0,AC828/Y828)</f>
        <v>0.321894186368603</v>
      </c>
      <c r="AF828" s="2" t="s">
        <v>52</v>
      </c>
      <c r="AG828" s="2" t="s">
        <v>53</v>
      </c>
      <c r="AH828" s="2" t="str">
        <f aca="false">IF(AND(AG828="Completed",AF828&lt;&gt;"Paid"),"Inconsistent","OK")</f>
        <v>OK</v>
      </c>
      <c r="AI828" s="2" t="n">
        <f aca="false">IF(OR(ISBLANK(B828),ISBLANK(C828)),"",C828-B828)</f>
        <v>4</v>
      </c>
      <c r="AJ828" s="2" t="str">
        <f aca="false">IF(AI828="","Unknown",IF(AI828&lt;0,"Invalid","OK"))</f>
        <v>OK</v>
      </c>
      <c r="AK828" s="2" t="str">
        <f aca="false">IF(ISBLANK(B828),"",TEXT(B828,"mmm"))</f>
        <v>Aug</v>
      </c>
      <c r="AL828" s="2" t="n">
        <f aca="false">IF(ISBLANK(B828),"",YEAR(B828))</f>
        <v>2025</v>
      </c>
      <c r="AM828" s="2" t="s">
        <v>41</v>
      </c>
      <c r="AN828" s="2" t="str">
        <f aca="false">IF(OR(W828="Invalid",AJ828="Invalid",AH828="Inconsistent",Z828="Mismatch",AD828="Mismatch",AM828="Yes",D828="Yes",E828="Yes"),"Invalid",IF(OR(J828="Yes",Q828="Yes",U828="Yes"),"Warning","Clean"))</f>
        <v>Clean</v>
      </c>
    </row>
    <row r="829" customFormat="false" ht="15" hidden="false" customHeight="false" outlineLevel="0" collapsed="false">
      <c r="A829" s="2" t="s">
        <v>2578</v>
      </c>
      <c r="B829" s="3" t="n">
        <v>45620</v>
      </c>
      <c r="C829" s="3" t="n">
        <v>45627</v>
      </c>
      <c r="D829" s="2" t="s">
        <v>41</v>
      </c>
      <c r="E829" s="2" t="s">
        <v>41</v>
      </c>
      <c r="F829" s="2" t="s">
        <v>2579</v>
      </c>
      <c r="G829" s="2" t="s">
        <v>134</v>
      </c>
      <c r="H829" s="2" t="s">
        <v>115</v>
      </c>
      <c r="I829" s="2" t="s">
        <v>74</v>
      </c>
      <c r="J829" s="2" t="s">
        <v>41</v>
      </c>
      <c r="K829" s="2" t="s">
        <v>269</v>
      </c>
      <c r="L829" s="2" t="s">
        <v>270</v>
      </c>
      <c r="M829" s="2" t="s">
        <v>48</v>
      </c>
      <c r="N829" s="2" t="s">
        <v>49</v>
      </c>
      <c r="O829" s="2" t="s">
        <v>2580</v>
      </c>
      <c r="P829" s="2" t="s">
        <v>64</v>
      </c>
      <c r="Q829" s="2" t="s">
        <v>41</v>
      </c>
      <c r="R829" s="2" t="n">
        <v>1</v>
      </c>
      <c r="S829" s="2" t="n">
        <v>844.89</v>
      </c>
      <c r="T829" s="2" t="n">
        <v>0.25</v>
      </c>
      <c r="U829" s="2" t="str">
        <f aca="false">IF(ISBLANK(T829),"Yes","No")</f>
        <v>No</v>
      </c>
      <c r="V829" s="2" t="n">
        <f aca="false">IF(ISBLANK(T829),0,IF(ISNUMBER(T829),T829,VALUE(LEFT(T829,LEN(T829)-1))/100))</f>
        <v>0.25</v>
      </c>
      <c r="W829" s="2" t="str">
        <f aca="false">IF(AND(V829&gt;=0,V829&lt;=0.25),"Valid","Invalid")</f>
        <v>Valid</v>
      </c>
      <c r="X829" s="2" t="n">
        <v>633.67</v>
      </c>
      <c r="Y829" s="2" t="n">
        <f aca="false">R829*S829*(1-V829)</f>
        <v>633.6675</v>
      </c>
      <c r="Z829" s="2" t="str">
        <f aca="false">IF(ABS(X829-Y829)&gt;1,"Mismatch","OK")</f>
        <v>OK</v>
      </c>
      <c r="AA829" s="2" t="n">
        <v>520.47</v>
      </c>
      <c r="AB829" s="2" t="n">
        <v>113.2</v>
      </c>
      <c r="AC829" s="2" t="n">
        <f aca="false">Y829-AA829</f>
        <v>113.1975</v>
      </c>
      <c r="AD829" s="2" t="str">
        <f aca="false">IF(ABS(AB829-AC829)&gt;1,"Mismatch","OK")</f>
        <v>OK</v>
      </c>
      <c r="AE829" s="4" t="n">
        <f aca="false">IF(Y829=0,0,AC829/Y829)</f>
        <v>0.178638639349501</v>
      </c>
      <c r="AF829" s="2" t="s">
        <v>52</v>
      </c>
      <c r="AG829" s="2" t="s">
        <v>88</v>
      </c>
      <c r="AH829" s="2" t="str">
        <f aca="false">IF(AND(AG829="Completed",AF829&lt;&gt;"Paid"),"Inconsistent","OK")</f>
        <v>OK</v>
      </c>
      <c r="AI829" s="2" t="n">
        <f aca="false">IF(OR(ISBLANK(B829),ISBLANK(C829)),"",C829-B829)</f>
        <v>7</v>
      </c>
      <c r="AJ829" s="2" t="str">
        <f aca="false">IF(AI829="","Unknown",IF(AI829&lt;0,"Invalid","OK"))</f>
        <v>OK</v>
      </c>
      <c r="AK829" s="2" t="str">
        <f aca="false">IF(ISBLANK(B829),"",TEXT(B829,"mmm"))</f>
        <v>Nov</v>
      </c>
      <c r="AL829" s="2" t="n">
        <f aca="false">IF(ISBLANK(B829),"",YEAR(B829))</f>
        <v>2024</v>
      </c>
      <c r="AM829" s="2" t="s">
        <v>41</v>
      </c>
      <c r="AN829" s="2" t="str">
        <f aca="false">IF(OR(W829="Invalid",AJ829="Invalid",AH829="Inconsistent",Z829="Mismatch",AD829="Mismatch",AM829="Yes",D829="Yes",E829="Yes"),"Invalid",IF(OR(J829="Yes",Q829="Yes",U829="Yes"),"Warning","Clean"))</f>
        <v>Clean</v>
      </c>
    </row>
    <row r="830" customFormat="false" ht="15" hidden="false" customHeight="false" outlineLevel="0" collapsed="false">
      <c r="A830" s="2" t="s">
        <v>2581</v>
      </c>
      <c r="B830" s="3" t="n">
        <v>45940</v>
      </c>
      <c r="C830" s="3" t="n">
        <v>45941</v>
      </c>
      <c r="D830" s="2" t="s">
        <v>41</v>
      </c>
      <c r="E830" s="2" t="s">
        <v>41</v>
      </c>
      <c r="F830" s="2" t="s">
        <v>2582</v>
      </c>
      <c r="G830" s="2" t="s">
        <v>43</v>
      </c>
      <c r="H830" s="2" t="s">
        <v>110</v>
      </c>
      <c r="I830" s="2" t="s">
        <v>58</v>
      </c>
      <c r="J830" s="2" t="s">
        <v>41</v>
      </c>
      <c r="K830" s="2" t="s">
        <v>59</v>
      </c>
      <c r="L830" s="2" t="s">
        <v>60</v>
      </c>
      <c r="M830" s="2" t="s">
        <v>61</v>
      </c>
      <c r="N830" s="2" t="s">
        <v>86</v>
      </c>
      <c r="O830" s="2" t="s">
        <v>2583</v>
      </c>
      <c r="P830" s="2" t="s">
        <v>51</v>
      </c>
      <c r="Q830" s="2" t="s">
        <v>41</v>
      </c>
      <c r="R830" s="2" t="n">
        <v>7</v>
      </c>
      <c r="S830" s="2" t="n">
        <v>3791.96</v>
      </c>
      <c r="T830" s="2" t="n">
        <v>0.05</v>
      </c>
      <c r="U830" s="2" t="str">
        <f aca="false">IF(ISBLANK(T830),"Yes","No")</f>
        <v>No</v>
      </c>
      <c r="V830" s="2" t="n">
        <f aca="false">IF(ISBLANK(T830),0,IF(ISNUMBER(T830),T830,VALUE(LEFT(T830,LEN(T830)-1))/100))</f>
        <v>0.05</v>
      </c>
      <c r="W830" s="2" t="str">
        <f aca="false">IF(AND(V830&gt;=0,V830&lt;=0.25),"Valid","Invalid")</f>
        <v>Valid</v>
      </c>
      <c r="X830" s="2" t="n">
        <v>25216.53</v>
      </c>
      <c r="Y830" s="2" t="n">
        <f aca="false">R830*S830*(1-V830)</f>
        <v>25216.534</v>
      </c>
      <c r="Z830" s="2" t="str">
        <f aca="false">IF(ABS(X830-Y830)&gt;1,"Mismatch","OK")</f>
        <v>OK</v>
      </c>
      <c r="AA830" s="2" t="n">
        <v>14216.94</v>
      </c>
      <c r="AB830" s="2" t="n">
        <v>10999.59</v>
      </c>
      <c r="AC830" s="2" t="n">
        <f aca="false">Y830-AA830</f>
        <v>10999.594</v>
      </c>
      <c r="AD830" s="2" t="str">
        <f aca="false">IF(ABS(AB830-AC830)&gt;1,"Mismatch","OK")</f>
        <v>OK</v>
      </c>
      <c r="AE830" s="4" t="n">
        <f aca="false">IF(Y830=0,0,AC830/Y830)</f>
        <v>0.436205626038852</v>
      </c>
      <c r="AF830" s="2" t="s">
        <v>175</v>
      </c>
      <c r="AG830" s="2" t="s">
        <v>88</v>
      </c>
      <c r="AH830" s="2" t="str">
        <f aca="false">IF(AND(AG830="Completed",AF830&lt;&gt;"Paid"),"Inconsistent","OK")</f>
        <v>OK</v>
      </c>
      <c r="AI830" s="2" t="n">
        <f aca="false">IF(OR(ISBLANK(B830),ISBLANK(C830)),"",C830-B830)</f>
        <v>1</v>
      </c>
      <c r="AJ830" s="2" t="str">
        <f aca="false">IF(AI830="","Unknown",IF(AI830&lt;0,"Invalid","OK"))</f>
        <v>OK</v>
      </c>
      <c r="AK830" s="2" t="str">
        <f aca="false">IF(ISBLANK(B830),"",TEXT(B830,"mmm"))</f>
        <v>Oct</v>
      </c>
      <c r="AL830" s="2" t="n">
        <f aca="false">IF(ISBLANK(B830),"",YEAR(B830))</f>
        <v>2025</v>
      </c>
      <c r="AM830" s="2" t="s">
        <v>41</v>
      </c>
      <c r="AN830" s="2" t="str">
        <f aca="false">IF(OR(W830="Invalid",AJ830="Invalid",AH830="Inconsistent",Z830="Mismatch",AD830="Mismatch",AM830="Yes",D830="Yes",E830="Yes"),"Invalid",IF(OR(J830="Yes",Q830="Yes",U830="Yes"),"Warning","Clean"))</f>
        <v>Clean</v>
      </c>
    </row>
    <row r="831" customFormat="false" ht="15" hidden="false" customHeight="false" outlineLevel="0" collapsed="false">
      <c r="A831" s="2" t="s">
        <v>2584</v>
      </c>
      <c r="B831" s="3" t="n">
        <v>45348</v>
      </c>
      <c r="C831" s="3" t="n">
        <v>45350</v>
      </c>
      <c r="D831" s="2" t="s">
        <v>41</v>
      </c>
      <c r="E831" s="2" t="s">
        <v>41</v>
      </c>
      <c r="F831" s="2" t="s">
        <v>2585</v>
      </c>
      <c r="G831" s="2" t="s">
        <v>109</v>
      </c>
      <c r="H831" s="2" t="s">
        <v>57</v>
      </c>
      <c r="I831" s="2" t="s">
        <v>83</v>
      </c>
      <c r="J831" s="2" t="s">
        <v>41</v>
      </c>
      <c r="K831" s="2" t="s">
        <v>210</v>
      </c>
      <c r="L831" s="2" t="s">
        <v>211</v>
      </c>
      <c r="M831" s="2" t="s">
        <v>61</v>
      </c>
      <c r="N831" s="2" t="s">
        <v>77</v>
      </c>
      <c r="O831" s="2" t="s">
        <v>2586</v>
      </c>
      <c r="P831" s="2" t="s">
        <v>51</v>
      </c>
      <c r="Q831" s="2" t="s">
        <v>41</v>
      </c>
      <c r="R831" s="2" t="n">
        <v>7</v>
      </c>
      <c r="S831" s="2" t="n">
        <v>1035.14</v>
      </c>
      <c r="T831" s="2" t="n">
        <v>0.1</v>
      </c>
      <c r="U831" s="2" t="str">
        <f aca="false">IF(ISBLANK(T831),"Yes","No")</f>
        <v>No</v>
      </c>
      <c r="V831" s="2" t="n">
        <f aca="false">IF(ISBLANK(T831),0,IF(ISNUMBER(T831),T831,VALUE(LEFT(T831,LEN(T831)-1))/100))</f>
        <v>0.1</v>
      </c>
      <c r="W831" s="2" t="str">
        <f aca="false">IF(AND(V831&gt;=0,V831&lt;=0.25),"Valid","Invalid")</f>
        <v>Valid</v>
      </c>
      <c r="X831" s="2" t="n">
        <v>6521.38</v>
      </c>
      <c r="Y831" s="2" t="n">
        <f aca="false">R831*S831*(1-V831)</f>
        <v>6521.382</v>
      </c>
      <c r="Z831" s="2" t="str">
        <f aca="false">IF(ABS(X831-Y831)&gt;1,"Mismatch","OK")</f>
        <v>OK</v>
      </c>
      <c r="AA831" s="2" t="n">
        <v>4511.1</v>
      </c>
      <c r="AB831" s="2" t="n">
        <v>2010.28</v>
      </c>
      <c r="AC831" s="2" t="n">
        <f aca="false">Y831-AA831</f>
        <v>2010.282</v>
      </c>
      <c r="AD831" s="2" t="str">
        <f aca="false">IF(ABS(AB831-AC831)&gt;1,"Mismatch","OK")</f>
        <v>OK</v>
      </c>
      <c r="AE831" s="4" t="n">
        <f aca="false">IF(Y831=0,0,AC831/Y831)</f>
        <v>0.308260120324189</v>
      </c>
      <c r="AF831" s="2" t="s">
        <v>52</v>
      </c>
      <c r="AG831" s="2" t="s">
        <v>53</v>
      </c>
      <c r="AH831" s="2" t="str">
        <f aca="false">IF(AND(AG831="Completed",AF831&lt;&gt;"Paid"),"Inconsistent","OK")</f>
        <v>OK</v>
      </c>
      <c r="AI831" s="2" t="n">
        <f aca="false">IF(OR(ISBLANK(B831),ISBLANK(C831)),"",C831-B831)</f>
        <v>2</v>
      </c>
      <c r="AJ831" s="2" t="str">
        <f aca="false">IF(AI831="","Unknown",IF(AI831&lt;0,"Invalid","OK"))</f>
        <v>OK</v>
      </c>
      <c r="AK831" s="2" t="str">
        <f aca="false">IF(ISBLANK(B831),"",TEXT(B831,"mmm"))</f>
        <v>Feb</v>
      </c>
      <c r="AL831" s="2" t="n">
        <f aca="false">IF(ISBLANK(B831),"",YEAR(B831))</f>
        <v>2024</v>
      </c>
      <c r="AM831" s="2" t="s">
        <v>41</v>
      </c>
      <c r="AN831" s="2" t="str">
        <f aca="false">IF(OR(W831="Invalid",AJ831="Invalid",AH831="Inconsistent",Z831="Mismatch",AD831="Mismatch",AM831="Yes",D831="Yes",E831="Yes"),"Invalid",IF(OR(J831="Yes",Q831="Yes",U831="Yes"),"Warning","Clean"))</f>
        <v>Clean</v>
      </c>
    </row>
    <row r="832" customFormat="false" ht="15" hidden="false" customHeight="false" outlineLevel="0" collapsed="false">
      <c r="A832" s="2" t="s">
        <v>2587</v>
      </c>
      <c r="B832" s="3" t="n">
        <v>45853</v>
      </c>
      <c r="C832" s="3" t="n">
        <v>45856</v>
      </c>
      <c r="D832" s="2" t="s">
        <v>41</v>
      </c>
      <c r="E832" s="2" t="s">
        <v>41</v>
      </c>
      <c r="F832" s="2" t="s">
        <v>2588</v>
      </c>
      <c r="G832" s="2" t="s">
        <v>109</v>
      </c>
      <c r="H832" s="2" t="s">
        <v>57</v>
      </c>
      <c r="I832" s="2" t="s">
        <v>225</v>
      </c>
      <c r="J832" s="2" t="s">
        <v>226</v>
      </c>
      <c r="K832" s="2" t="s">
        <v>269</v>
      </c>
      <c r="L832" s="2" t="s">
        <v>270</v>
      </c>
      <c r="M832" s="2" t="s">
        <v>94</v>
      </c>
      <c r="N832" s="2" t="s">
        <v>296</v>
      </c>
      <c r="O832" s="2" t="s">
        <v>2589</v>
      </c>
      <c r="P832" s="2" t="s">
        <v>70</v>
      </c>
      <c r="Q832" s="2" t="s">
        <v>41</v>
      </c>
      <c r="R832" s="2" t="n">
        <v>6</v>
      </c>
      <c r="S832" s="2" t="n">
        <v>2382.88</v>
      </c>
      <c r="T832" s="2" t="n">
        <v>0.1</v>
      </c>
      <c r="U832" s="2" t="str">
        <f aca="false">IF(ISBLANK(T832),"Yes","No")</f>
        <v>No</v>
      </c>
      <c r="V832" s="2" t="n">
        <f aca="false">IF(ISBLANK(T832),0,IF(ISNUMBER(T832),T832,VALUE(LEFT(T832,LEN(T832)-1))/100))</f>
        <v>0.1</v>
      </c>
      <c r="W832" s="2" t="str">
        <f aca="false">IF(AND(V832&gt;=0,V832&lt;=0.25),"Valid","Invalid")</f>
        <v>Valid</v>
      </c>
      <c r="X832" s="2" t="n">
        <v>12867.55</v>
      </c>
      <c r="Y832" s="2" t="n">
        <f aca="false">R832*S832*(1-V832)</f>
        <v>12867.552</v>
      </c>
      <c r="Z832" s="2" t="str">
        <f aca="false">IF(ABS(X832-Y832)&gt;1,"Mismatch","OK")</f>
        <v>OK</v>
      </c>
      <c r="AA832" s="2" t="n">
        <v>10068.94</v>
      </c>
      <c r="AB832" s="2" t="n">
        <v>2798.61</v>
      </c>
      <c r="AC832" s="2" t="n">
        <f aca="false">Y832-AA832</f>
        <v>2798.612</v>
      </c>
      <c r="AD832" s="2" t="str">
        <f aca="false">IF(ABS(AB832-AC832)&gt;1,"Mismatch","OK")</f>
        <v>OK</v>
      </c>
      <c r="AE832" s="4" t="n">
        <f aca="false">IF(Y832=0,0,AC832/Y832)</f>
        <v>0.217493739290892</v>
      </c>
      <c r="AF832" s="2" t="s">
        <v>52</v>
      </c>
      <c r="AG832" s="2" t="s">
        <v>53</v>
      </c>
      <c r="AH832" s="2" t="str">
        <f aca="false">IF(AND(AG832="Completed",AF832&lt;&gt;"Paid"),"Inconsistent","OK")</f>
        <v>OK</v>
      </c>
      <c r="AI832" s="2" t="n">
        <f aca="false">IF(OR(ISBLANK(B832),ISBLANK(C832)),"",C832-B832)</f>
        <v>3</v>
      </c>
      <c r="AJ832" s="2" t="str">
        <f aca="false">IF(AI832="","Unknown",IF(AI832&lt;0,"Invalid","OK"))</f>
        <v>OK</v>
      </c>
      <c r="AK832" s="2" t="str">
        <f aca="false">IF(ISBLANK(B832),"",TEXT(B832,"mmm"))</f>
        <v>Jul</v>
      </c>
      <c r="AL832" s="2" t="n">
        <f aca="false">IF(ISBLANK(B832),"",YEAR(B832))</f>
        <v>2025</v>
      </c>
      <c r="AM832" s="2" t="s">
        <v>41</v>
      </c>
      <c r="AN832" s="2" t="str">
        <f aca="false">IF(OR(W832="Invalid",AJ832="Invalid",AH832="Inconsistent",Z832="Mismatch",AD832="Mismatch",AM832="Yes",D832="Yes",E832="Yes"),"Invalid",IF(OR(J832="Yes",Q832="Yes",U832="Yes"),"Warning","Clean"))</f>
        <v>Warning</v>
      </c>
    </row>
    <row r="833" customFormat="false" ht="15" hidden="false" customHeight="false" outlineLevel="0" collapsed="false">
      <c r="A833" s="2" t="s">
        <v>2590</v>
      </c>
      <c r="B833" s="3" t="n">
        <v>45750</v>
      </c>
      <c r="C833" s="3" t="n">
        <v>45750</v>
      </c>
      <c r="D833" s="2" t="s">
        <v>41</v>
      </c>
      <c r="E833" s="2" t="s">
        <v>41</v>
      </c>
      <c r="F833" s="2" t="s">
        <v>2591</v>
      </c>
      <c r="G833" s="2" t="s">
        <v>182</v>
      </c>
      <c r="H833" s="2" t="s">
        <v>115</v>
      </c>
      <c r="I833" s="2" t="s">
        <v>225</v>
      </c>
      <c r="J833" s="2" t="s">
        <v>226</v>
      </c>
      <c r="K833" s="2" t="s">
        <v>258</v>
      </c>
      <c r="L833" s="2" t="s">
        <v>259</v>
      </c>
      <c r="M833" s="2" t="s">
        <v>61</v>
      </c>
      <c r="N833" s="2" t="s">
        <v>86</v>
      </c>
      <c r="O833" s="2" t="s">
        <v>2592</v>
      </c>
      <c r="P833" s="2" t="s">
        <v>70</v>
      </c>
      <c r="Q833" s="2" t="s">
        <v>41</v>
      </c>
      <c r="R833" s="2" t="n">
        <v>9</v>
      </c>
      <c r="S833" s="2" t="n">
        <v>3462.7</v>
      </c>
      <c r="T833" s="2" t="n">
        <v>0.15</v>
      </c>
      <c r="U833" s="2" t="str">
        <f aca="false">IF(ISBLANK(T833),"Yes","No")</f>
        <v>No</v>
      </c>
      <c r="V833" s="2" t="n">
        <f aca="false">IF(ISBLANK(T833),0,IF(ISNUMBER(T833),T833,VALUE(LEFT(T833,LEN(T833)-1))/100))</f>
        <v>0.15</v>
      </c>
      <c r="W833" s="2" t="str">
        <f aca="false">IF(AND(V833&gt;=0,V833&lt;=0.25),"Valid","Invalid")</f>
        <v>Valid</v>
      </c>
      <c r="X833" s="2" t="n">
        <v>26489.65</v>
      </c>
      <c r="Y833" s="2" t="n">
        <f aca="false">R833*S833*(1-V833)</f>
        <v>26489.655</v>
      </c>
      <c r="Z833" s="2" t="str">
        <f aca="false">IF(ABS(X833-Y833)&gt;1,"Mismatch","OK")</f>
        <v>OK</v>
      </c>
      <c r="AA833" s="2" t="n">
        <v>15818.46</v>
      </c>
      <c r="AB833" s="2" t="n">
        <v>10671.19</v>
      </c>
      <c r="AC833" s="2" t="n">
        <f aca="false">Y833-AA833</f>
        <v>10671.195</v>
      </c>
      <c r="AD833" s="2" t="str">
        <f aca="false">IF(ABS(AB833-AC833)&gt;1,"Mismatch","OK")</f>
        <v>OK</v>
      </c>
      <c r="AE833" s="4" t="n">
        <f aca="false">IF(Y833=0,0,AC833/Y833)</f>
        <v>0.402843864897448</v>
      </c>
      <c r="AF833" s="2" t="s">
        <v>175</v>
      </c>
      <c r="AG833" s="2" t="s">
        <v>123</v>
      </c>
      <c r="AH833" s="2" t="str">
        <f aca="false">IF(AND(AG833="Completed",AF833&lt;&gt;"Paid"),"Inconsistent","OK")</f>
        <v>OK</v>
      </c>
      <c r="AI833" s="2" t="n">
        <f aca="false">IF(OR(ISBLANK(B833),ISBLANK(C833)),"",C833-B833)</f>
        <v>0</v>
      </c>
      <c r="AJ833" s="2" t="str">
        <f aca="false">IF(AI833="","Unknown",IF(AI833&lt;0,"Invalid","OK"))</f>
        <v>OK</v>
      </c>
      <c r="AK833" s="2" t="str">
        <f aca="false">IF(ISBLANK(B833),"",TEXT(B833,"mmm"))</f>
        <v>Apr</v>
      </c>
      <c r="AL833" s="2" t="n">
        <f aca="false">IF(ISBLANK(B833),"",YEAR(B833))</f>
        <v>2025</v>
      </c>
      <c r="AM833" s="2" t="s">
        <v>41</v>
      </c>
      <c r="AN833" s="2" t="str">
        <f aca="false">IF(OR(W833="Invalid",AJ833="Invalid",AH833="Inconsistent",Z833="Mismatch",AD833="Mismatch",AM833="Yes",D833="Yes",E833="Yes"),"Invalid",IF(OR(J833="Yes",Q833="Yes",U833="Yes"),"Warning","Clean"))</f>
        <v>Warning</v>
      </c>
    </row>
    <row r="834" customFormat="false" ht="15" hidden="false" customHeight="false" outlineLevel="0" collapsed="false">
      <c r="A834" s="2" t="s">
        <v>2593</v>
      </c>
      <c r="B834" s="3" t="n">
        <v>45803</v>
      </c>
      <c r="C834" s="3" t="n">
        <v>45805</v>
      </c>
      <c r="D834" s="2" t="s">
        <v>41</v>
      </c>
      <c r="E834" s="2" t="s">
        <v>41</v>
      </c>
      <c r="F834" s="2" t="s">
        <v>2594</v>
      </c>
      <c r="G834" s="2" t="s">
        <v>286</v>
      </c>
      <c r="H834" s="2" t="s">
        <v>57</v>
      </c>
      <c r="I834" s="2" t="s">
        <v>74</v>
      </c>
      <c r="J834" s="2" t="s">
        <v>41</v>
      </c>
      <c r="K834" s="2" t="s">
        <v>104</v>
      </c>
      <c r="L834" s="2" t="s">
        <v>105</v>
      </c>
      <c r="M834" s="2" t="s">
        <v>94</v>
      </c>
      <c r="N834" s="2" t="s">
        <v>191</v>
      </c>
      <c r="O834" s="2" t="s">
        <v>2595</v>
      </c>
      <c r="P834" s="2" t="s">
        <v>51</v>
      </c>
      <c r="Q834" s="2" t="s">
        <v>41</v>
      </c>
      <c r="R834" s="2" t="n">
        <v>9</v>
      </c>
      <c r="S834" s="2" t="n">
        <v>4302.02</v>
      </c>
      <c r="T834" s="2" t="n">
        <v>0.05</v>
      </c>
      <c r="U834" s="2" t="str">
        <f aca="false">IF(ISBLANK(T834),"Yes","No")</f>
        <v>No</v>
      </c>
      <c r="V834" s="2" t="n">
        <f aca="false">IF(ISBLANK(T834),0,IF(ISNUMBER(T834),T834,VALUE(LEFT(T834,LEN(T834)-1))/100))</f>
        <v>0.05</v>
      </c>
      <c r="W834" s="2" t="str">
        <f aca="false">IF(AND(V834&gt;=0,V834&lt;=0.25),"Valid","Invalid")</f>
        <v>Valid</v>
      </c>
      <c r="X834" s="2" t="n">
        <v>36782.27</v>
      </c>
      <c r="Y834" s="2" t="n">
        <f aca="false">R834*S834*(1-V834)</f>
        <v>36782.271</v>
      </c>
      <c r="Z834" s="2" t="str">
        <f aca="false">IF(ABS(X834-Y834)&gt;1,"Mismatch","OK")</f>
        <v>OK</v>
      </c>
      <c r="AA834" s="2" t="n">
        <v>25902.81</v>
      </c>
      <c r="AB834" s="2" t="n">
        <v>10879.46</v>
      </c>
      <c r="AC834" s="2" t="n">
        <f aca="false">Y834-AA834</f>
        <v>10879.461</v>
      </c>
      <c r="AD834" s="2" t="str">
        <f aca="false">IF(ABS(AB834-AC834)&gt;1,"Mismatch","OK")</f>
        <v>OK</v>
      </c>
      <c r="AE834" s="4" t="n">
        <f aca="false">IF(Y834=0,0,AC834/Y834)</f>
        <v>0.295780024022987</v>
      </c>
      <c r="AF834" s="2" t="s">
        <v>52</v>
      </c>
      <c r="AG834" s="2" t="s">
        <v>53</v>
      </c>
      <c r="AH834" s="2" t="str">
        <f aca="false">IF(AND(AG834="Completed",AF834&lt;&gt;"Paid"),"Inconsistent","OK")</f>
        <v>OK</v>
      </c>
      <c r="AI834" s="2" t="n">
        <f aca="false">IF(OR(ISBLANK(B834),ISBLANK(C834)),"",C834-B834)</f>
        <v>2</v>
      </c>
      <c r="AJ834" s="2" t="str">
        <f aca="false">IF(AI834="","Unknown",IF(AI834&lt;0,"Invalid","OK"))</f>
        <v>OK</v>
      </c>
      <c r="AK834" s="2" t="str">
        <f aca="false">IF(ISBLANK(B834),"",TEXT(B834,"mmm"))</f>
        <v>May</v>
      </c>
      <c r="AL834" s="2" t="n">
        <f aca="false">IF(ISBLANK(B834),"",YEAR(B834))</f>
        <v>2025</v>
      </c>
      <c r="AM834" s="2" t="s">
        <v>41</v>
      </c>
      <c r="AN834" s="2" t="str">
        <f aca="false">IF(OR(W834="Invalid",AJ834="Invalid",AH834="Inconsistent",Z834="Mismatch",AD834="Mismatch",AM834="Yes",D834="Yes",E834="Yes"),"Invalid",IF(OR(J834="Yes",Q834="Yes",U834="Yes"),"Warning","Clean"))</f>
        <v>Clean</v>
      </c>
    </row>
    <row r="835" customFormat="false" ht="15" hidden="false" customHeight="false" outlineLevel="0" collapsed="false">
      <c r="A835" s="2" t="s">
        <v>2596</v>
      </c>
      <c r="B835" s="3" t="n">
        <v>45447</v>
      </c>
      <c r="C835" s="3" t="n">
        <v>45447</v>
      </c>
      <c r="D835" s="2" t="s">
        <v>41</v>
      </c>
      <c r="E835" s="2" t="s">
        <v>41</v>
      </c>
      <c r="F835" s="2" t="s">
        <v>2597</v>
      </c>
      <c r="G835" s="2" t="s">
        <v>138</v>
      </c>
      <c r="H835" s="2" t="s">
        <v>115</v>
      </c>
      <c r="I835" s="2" t="s">
        <v>58</v>
      </c>
      <c r="J835" s="2" t="s">
        <v>41</v>
      </c>
      <c r="K835" s="2" t="s">
        <v>119</v>
      </c>
      <c r="L835" s="2" t="s">
        <v>120</v>
      </c>
      <c r="M835" s="2" t="s">
        <v>61</v>
      </c>
      <c r="N835" s="2" t="s">
        <v>178</v>
      </c>
      <c r="O835" s="2" t="s">
        <v>2598</v>
      </c>
      <c r="P835" s="2" t="s">
        <v>70</v>
      </c>
      <c r="Q835" s="2" t="s">
        <v>41</v>
      </c>
      <c r="R835" s="2" t="n">
        <v>6</v>
      </c>
      <c r="S835" s="2" t="n">
        <v>3949.4</v>
      </c>
      <c r="T835" s="2" t="n">
        <v>0</v>
      </c>
      <c r="U835" s="2" t="str">
        <f aca="false">IF(ISBLANK(T835),"Yes","No")</f>
        <v>No</v>
      </c>
      <c r="V835" s="2" t="n">
        <f aca="false">IF(ISBLANK(T835),0,IF(ISNUMBER(T835),T835,VALUE(LEFT(T835,LEN(T835)-1))/100))</f>
        <v>0</v>
      </c>
      <c r="W835" s="2" t="str">
        <f aca="false">IF(AND(V835&gt;=0,V835&lt;=0.25),"Valid","Invalid")</f>
        <v>Valid</v>
      </c>
      <c r="X835" s="2" t="n">
        <v>23696.4</v>
      </c>
      <c r="Y835" s="2" t="n">
        <f aca="false">R835*S835*(1-V835)</f>
        <v>23696.4</v>
      </c>
      <c r="Z835" s="2" t="str">
        <f aca="false">IF(ABS(X835-Y835)&gt;1,"Mismatch","OK")</f>
        <v>OK</v>
      </c>
      <c r="AA835" s="2" t="n">
        <v>18109.77</v>
      </c>
      <c r="AB835" s="2" t="n">
        <v>5586.63</v>
      </c>
      <c r="AC835" s="2" t="n">
        <f aca="false">Y835-AA835</f>
        <v>5586.63</v>
      </c>
      <c r="AD835" s="2" t="str">
        <f aca="false">IF(ABS(AB835-AC835)&gt;1,"Mismatch","OK")</f>
        <v>OK</v>
      </c>
      <c r="AE835" s="4" t="n">
        <f aca="false">IF(Y835=0,0,AC835/Y835)</f>
        <v>0.235758596242467</v>
      </c>
      <c r="AF835" s="2" t="s">
        <v>52</v>
      </c>
      <c r="AG835" s="2" t="s">
        <v>53</v>
      </c>
      <c r="AH835" s="2" t="str">
        <f aca="false">IF(AND(AG835="Completed",AF835&lt;&gt;"Paid"),"Inconsistent","OK")</f>
        <v>OK</v>
      </c>
      <c r="AI835" s="2" t="n">
        <f aca="false">IF(OR(ISBLANK(B835),ISBLANK(C835)),"",C835-B835)</f>
        <v>0</v>
      </c>
      <c r="AJ835" s="2" t="str">
        <f aca="false">IF(AI835="","Unknown",IF(AI835&lt;0,"Invalid","OK"))</f>
        <v>OK</v>
      </c>
      <c r="AK835" s="2" t="str">
        <f aca="false">IF(ISBLANK(B835),"",TEXT(B835,"mmm"))</f>
        <v>Jun</v>
      </c>
      <c r="AL835" s="2" t="n">
        <f aca="false">IF(ISBLANK(B835),"",YEAR(B835))</f>
        <v>2024</v>
      </c>
      <c r="AM835" s="2" t="s">
        <v>41</v>
      </c>
      <c r="AN835" s="2" t="str">
        <f aca="false">IF(OR(W835="Invalid",AJ835="Invalid",AH835="Inconsistent",Z835="Mismatch",AD835="Mismatch",AM835="Yes",D835="Yes",E835="Yes"),"Invalid",IF(OR(J835="Yes",Q835="Yes",U835="Yes"),"Warning","Clean"))</f>
        <v>Clean</v>
      </c>
    </row>
    <row r="836" customFormat="false" ht="15" hidden="false" customHeight="false" outlineLevel="0" collapsed="false">
      <c r="A836" s="2" t="s">
        <v>2599</v>
      </c>
      <c r="B836" s="3" t="n">
        <v>45583</v>
      </c>
      <c r="C836" s="3" t="n">
        <v>45587</v>
      </c>
      <c r="D836" s="2" t="s">
        <v>41</v>
      </c>
      <c r="E836" s="2" t="s">
        <v>41</v>
      </c>
      <c r="F836" s="2" t="s">
        <v>2600</v>
      </c>
      <c r="G836" s="2" t="s">
        <v>148</v>
      </c>
      <c r="H836" s="2" t="s">
        <v>115</v>
      </c>
      <c r="I836" s="2" t="s">
        <v>74</v>
      </c>
      <c r="J836" s="2" t="s">
        <v>41</v>
      </c>
      <c r="K836" s="2" t="s">
        <v>75</v>
      </c>
      <c r="L836" s="2" t="s">
        <v>76</v>
      </c>
      <c r="M836" s="2" t="s">
        <v>48</v>
      </c>
      <c r="N836" s="2" t="s">
        <v>68</v>
      </c>
      <c r="O836" s="2" t="s">
        <v>2601</v>
      </c>
      <c r="P836" s="2" t="s">
        <v>70</v>
      </c>
      <c r="Q836" s="2" t="s">
        <v>41</v>
      </c>
      <c r="R836" s="2" t="n">
        <v>6</v>
      </c>
      <c r="S836" s="2" t="n">
        <v>674.61</v>
      </c>
      <c r="T836" s="2" t="n">
        <v>0</v>
      </c>
      <c r="U836" s="2" t="str">
        <f aca="false">IF(ISBLANK(T836),"Yes","No")</f>
        <v>No</v>
      </c>
      <c r="V836" s="2" t="n">
        <f aca="false">IF(ISBLANK(T836),0,IF(ISNUMBER(T836),T836,VALUE(LEFT(T836,LEN(T836)-1))/100))</f>
        <v>0</v>
      </c>
      <c r="W836" s="2" t="str">
        <f aca="false">IF(AND(V836&gt;=0,V836&lt;=0.25),"Valid","Invalid")</f>
        <v>Valid</v>
      </c>
      <c r="X836" s="2" t="n">
        <v>4047.66</v>
      </c>
      <c r="Y836" s="2" t="n">
        <f aca="false">R836*S836*(1-V836)</f>
        <v>4047.66</v>
      </c>
      <c r="Z836" s="2" t="str">
        <f aca="false">IF(ABS(X836-Y836)&gt;1,"Mismatch","OK")</f>
        <v>OK</v>
      </c>
      <c r="AA836" s="2" t="n">
        <v>3078.93</v>
      </c>
      <c r="AB836" s="2" t="n">
        <v>1279.79</v>
      </c>
      <c r="AC836" s="2" t="n">
        <f aca="false">Y836-AA836</f>
        <v>968.73</v>
      </c>
      <c r="AD836" s="2" t="str">
        <f aca="false">IF(ABS(AB836-AC836)&gt;1,"Mismatch","OK")</f>
        <v>Mismatch</v>
      </c>
      <c r="AE836" s="4" t="n">
        <f aca="false">IF(Y836=0,0,AC836/Y836)</f>
        <v>0.239330872652347</v>
      </c>
      <c r="AF836" s="2" t="s">
        <v>52</v>
      </c>
      <c r="AG836" s="2" t="s">
        <v>53</v>
      </c>
      <c r="AH836" s="2" t="str">
        <f aca="false">IF(AND(AG836="Completed",AF836&lt;&gt;"Paid"),"Inconsistent","OK")</f>
        <v>OK</v>
      </c>
      <c r="AI836" s="2" t="n">
        <f aca="false">IF(OR(ISBLANK(B836),ISBLANK(C836)),"",C836-B836)</f>
        <v>4</v>
      </c>
      <c r="AJ836" s="2" t="str">
        <f aca="false">IF(AI836="","Unknown",IF(AI836&lt;0,"Invalid","OK"))</f>
        <v>OK</v>
      </c>
      <c r="AK836" s="2" t="str">
        <f aca="false">IF(ISBLANK(B836),"",TEXT(B836,"mmm"))</f>
        <v>Oct</v>
      </c>
      <c r="AL836" s="2" t="n">
        <f aca="false">IF(ISBLANK(B836),"",YEAR(B836))</f>
        <v>2024</v>
      </c>
      <c r="AM836" s="2" t="s">
        <v>41</v>
      </c>
      <c r="AN836" s="2" t="str">
        <f aca="false">IF(OR(W836="Invalid",AJ836="Invalid",AH836="Inconsistent",Z836="Mismatch",AD836="Mismatch",AM836="Yes",D836="Yes",E836="Yes"),"Invalid",IF(OR(J836="Yes",Q836="Yes",U836="Yes"),"Warning","Clean"))</f>
        <v>Invalid</v>
      </c>
    </row>
    <row r="837" customFormat="false" ht="15" hidden="false" customHeight="false" outlineLevel="0" collapsed="false">
      <c r="A837" s="2" t="s">
        <v>2602</v>
      </c>
      <c r="B837" s="3" t="n">
        <v>45926</v>
      </c>
      <c r="C837" s="3" t="n">
        <v>45934</v>
      </c>
      <c r="D837" s="2" t="s">
        <v>41</v>
      </c>
      <c r="E837" s="2" t="s">
        <v>41</v>
      </c>
      <c r="F837" s="2" t="s">
        <v>2603</v>
      </c>
      <c r="G837" s="2" t="s">
        <v>134</v>
      </c>
      <c r="H837" s="2" t="s">
        <v>57</v>
      </c>
      <c r="I837" s="2" t="s">
        <v>58</v>
      </c>
      <c r="J837" s="2" t="s">
        <v>41</v>
      </c>
      <c r="K837" s="2" t="s">
        <v>186</v>
      </c>
      <c r="L837" s="2" t="s">
        <v>187</v>
      </c>
      <c r="M837" s="2" t="s">
        <v>94</v>
      </c>
      <c r="N837" s="2" t="s">
        <v>191</v>
      </c>
      <c r="O837" s="2" t="s">
        <v>2604</v>
      </c>
      <c r="P837" s="2" t="s">
        <v>51</v>
      </c>
      <c r="Q837" s="2" t="s">
        <v>41</v>
      </c>
      <c r="R837" s="2" t="n">
        <v>7</v>
      </c>
      <c r="S837" s="2" t="n">
        <v>1509.59</v>
      </c>
      <c r="T837" s="2" t="n">
        <v>0.05</v>
      </c>
      <c r="U837" s="2" t="str">
        <f aca="false">IF(ISBLANK(T837),"Yes","No")</f>
        <v>No</v>
      </c>
      <c r="V837" s="2" t="n">
        <f aca="false">IF(ISBLANK(T837),0,IF(ISNUMBER(T837),T837,VALUE(LEFT(T837,LEN(T837)-1))/100))</f>
        <v>0.05</v>
      </c>
      <c r="W837" s="2" t="str">
        <f aca="false">IF(AND(V837&gt;=0,V837&lt;=0.25),"Valid","Invalid")</f>
        <v>Valid</v>
      </c>
      <c r="X837" s="2" t="n">
        <v>10038.77</v>
      </c>
      <c r="Y837" s="2" t="n">
        <f aca="false">R837*S837*(1-V837)</f>
        <v>10038.7735</v>
      </c>
      <c r="Z837" s="2" t="str">
        <f aca="false">IF(ABS(X837-Y837)&gt;1,"Mismatch","OK")</f>
        <v>OK</v>
      </c>
      <c r="AA837" s="2" t="n">
        <v>5673.1</v>
      </c>
      <c r="AB837" s="2" t="n">
        <v>4365.67</v>
      </c>
      <c r="AC837" s="2" t="n">
        <f aca="false">Y837-AA837</f>
        <v>4365.6735</v>
      </c>
      <c r="AD837" s="2" t="str">
        <f aca="false">IF(ABS(AB837-AC837)&gt;1,"Mismatch","OK")</f>
        <v>OK</v>
      </c>
      <c r="AE837" s="4" t="n">
        <f aca="false">IF(Y837=0,0,AC837/Y837)</f>
        <v>0.434881163520623</v>
      </c>
      <c r="AF837" s="2" t="s">
        <v>52</v>
      </c>
      <c r="AG837" s="2" t="s">
        <v>53</v>
      </c>
      <c r="AH837" s="2" t="str">
        <f aca="false">IF(AND(AG837="Completed",AF837&lt;&gt;"Paid"),"Inconsistent","OK")</f>
        <v>OK</v>
      </c>
      <c r="AI837" s="2" t="n">
        <f aca="false">IF(OR(ISBLANK(B837),ISBLANK(C837)),"",C837-B837)</f>
        <v>8</v>
      </c>
      <c r="AJ837" s="2" t="str">
        <f aca="false">IF(AI837="","Unknown",IF(AI837&lt;0,"Invalid","OK"))</f>
        <v>OK</v>
      </c>
      <c r="AK837" s="2" t="str">
        <f aca="false">IF(ISBLANK(B837),"",TEXT(B837,"mmm"))</f>
        <v>Sep</v>
      </c>
      <c r="AL837" s="2" t="n">
        <f aca="false">IF(ISBLANK(B837),"",YEAR(B837))</f>
        <v>2025</v>
      </c>
      <c r="AM837" s="2" t="s">
        <v>41</v>
      </c>
      <c r="AN837" s="2" t="str">
        <f aca="false">IF(OR(W837="Invalid",AJ837="Invalid",AH837="Inconsistent",Z837="Mismatch",AD837="Mismatch",AM837="Yes",D837="Yes",E837="Yes"),"Invalid",IF(OR(J837="Yes",Q837="Yes",U837="Yes"),"Warning","Clean"))</f>
        <v>Clean</v>
      </c>
    </row>
    <row r="838" customFormat="false" ht="15" hidden="false" customHeight="false" outlineLevel="0" collapsed="false">
      <c r="A838" s="2" t="s">
        <v>2605</v>
      </c>
      <c r="B838" s="3" t="n">
        <v>45641</v>
      </c>
      <c r="C838" s="3" t="n">
        <v>45644</v>
      </c>
      <c r="D838" s="2" t="s">
        <v>41</v>
      </c>
      <c r="E838" s="2" t="s">
        <v>41</v>
      </c>
      <c r="F838" s="2" t="s">
        <v>2606</v>
      </c>
      <c r="G838" s="2" t="s">
        <v>67</v>
      </c>
      <c r="H838" s="2" t="s">
        <v>57</v>
      </c>
      <c r="I838" s="2" t="s">
        <v>45</v>
      </c>
      <c r="J838" s="2" t="s">
        <v>41</v>
      </c>
      <c r="K838" s="2" t="s">
        <v>46</v>
      </c>
      <c r="L838" s="2" t="s">
        <v>47</v>
      </c>
      <c r="M838" s="2" t="s">
        <v>48</v>
      </c>
      <c r="N838" s="2" t="s">
        <v>111</v>
      </c>
      <c r="O838" s="2" t="s">
        <v>2607</v>
      </c>
      <c r="P838" s="2" t="s">
        <v>51</v>
      </c>
      <c r="Q838" s="2" t="s">
        <v>41</v>
      </c>
      <c r="R838" s="2" t="n">
        <v>2</v>
      </c>
      <c r="S838" s="2" t="n">
        <v>537.11</v>
      </c>
      <c r="T838" s="2" t="n">
        <v>0</v>
      </c>
      <c r="U838" s="2" t="str">
        <f aca="false">IF(ISBLANK(T838),"Yes","No")</f>
        <v>No</v>
      </c>
      <c r="V838" s="2" t="n">
        <f aca="false">IF(ISBLANK(T838),0,IF(ISNUMBER(T838),T838,VALUE(LEFT(T838,LEN(T838)-1))/100))</f>
        <v>0</v>
      </c>
      <c r="W838" s="2" t="str">
        <f aca="false">IF(AND(V838&gt;=0,V838&lt;=0.25),"Valid","Invalid")</f>
        <v>Valid</v>
      </c>
      <c r="X838" s="2" t="n">
        <v>1074.22</v>
      </c>
      <c r="Y838" s="2" t="n">
        <f aca="false">R838*S838*(1-V838)</f>
        <v>1074.22</v>
      </c>
      <c r="Z838" s="2" t="str">
        <f aca="false">IF(ABS(X838-Y838)&gt;1,"Mismatch","OK")</f>
        <v>OK</v>
      </c>
      <c r="AA838" s="2" t="n">
        <v>850.86</v>
      </c>
      <c r="AB838" s="2" t="n">
        <v>223.36</v>
      </c>
      <c r="AC838" s="2" t="n">
        <f aca="false">Y838-AA838</f>
        <v>223.36</v>
      </c>
      <c r="AD838" s="2" t="str">
        <f aca="false">IF(ABS(AB838-AC838)&gt;1,"Mismatch","OK")</f>
        <v>OK</v>
      </c>
      <c r="AE838" s="4" t="n">
        <f aca="false">IF(Y838=0,0,AC838/Y838)</f>
        <v>0.207927612593324</v>
      </c>
      <c r="AF838" s="2" t="s">
        <v>52</v>
      </c>
      <c r="AG838" s="2" t="s">
        <v>53</v>
      </c>
      <c r="AH838" s="2" t="str">
        <f aca="false">IF(AND(AG838="Completed",AF838&lt;&gt;"Paid"),"Inconsistent","OK")</f>
        <v>OK</v>
      </c>
      <c r="AI838" s="2" t="n">
        <f aca="false">IF(OR(ISBLANK(B838),ISBLANK(C838)),"",C838-B838)</f>
        <v>3</v>
      </c>
      <c r="AJ838" s="2" t="str">
        <f aca="false">IF(AI838="","Unknown",IF(AI838&lt;0,"Invalid","OK"))</f>
        <v>OK</v>
      </c>
      <c r="AK838" s="2" t="str">
        <f aca="false">IF(ISBLANK(B838),"",TEXT(B838,"mmm"))</f>
        <v>Dec</v>
      </c>
      <c r="AL838" s="2" t="n">
        <f aca="false">IF(ISBLANK(B838),"",YEAR(B838))</f>
        <v>2024</v>
      </c>
      <c r="AM838" s="2" t="s">
        <v>41</v>
      </c>
      <c r="AN838" s="2" t="str">
        <f aca="false">IF(OR(W838="Invalid",AJ838="Invalid",AH838="Inconsistent",Z838="Mismatch",AD838="Mismatch",AM838="Yes",D838="Yes",E838="Yes"),"Invalid",IF(OR(J838="Yes",Q838="Yes",U838="Yes"),"Warning","Clean"))</f>
        <v>Clean</v>
      </c>
    </row>
    <row r="839" customFormat="false" ht="15" hidden="false" customHeight="false" outlineLevel="0" collapsed="false">
      <c r="A839" s="2" t="s">
        <v>2608</v>
      </c>
      <c r="B839" s="3" t="n">
        <v>45927</v>
      </c>
      <c r="C839" s="3" t="n">
        <v>45928</v>
      </c>
      <c r="D839" s="2" t="s">
        <v>41</v>
      </c>
      <c r="E839" s="2" t="s">
        <v>41</v>
      </c>
      <c r="F839" s="2" t="s">
        <v>2609</v>
      </c>
      <c r="G839" s="2" t="s">
        <v>43</v>
      </c>
      <c r="H839" s="2" t="s">
        <v>115</v>
      </c>
      <c r="I839" s="2" t="s">
        <v>83</v>
      </c>
      <c r="J839" s="2" t="s">
        <v>41</v>
      </c>
      <c r="K839" s="2" t="s">
        <v>84</v>
      </c>
      <c r="L839" s="2" t="s">
        <v>85</v>
      </c>
      <c r="M839" s="2" t="s">
        <v>48</v>
      </c>
      <c r="N839" s="2" t="s">
        <v>49</v>
      </c>
      <c r="O839" s="2" t="s">
        <v>2610</v>
      </c>
      <c r="P839" s="2" t="s">
        <v>70</v>
      </c>
      <c r="Q839" s="2" t="s">
        <v>41</v>
      </c>
      <c r="R839" s="2" t="n">
        <v>3</v>
      </c>
      <c r="S839" s="2" t="n">
        <v>4177.63</v>
      </c>
      <c r="T839" s="2" t="n">
        <v>0.25</v>
      </c>
      <c r="U839" s="2" t="str">
        <f aca="false">IF(ISBLANK(T839),"Yes","No")</f>
        <v>No</v>
      </c>
      <c r="V839" s="2" t="n">
        <f aca="false">IF(ISBLANK(T839),0,IF(ISNUMBER(T839),T839,VALUE(LEFT(T839,LEN(T839)-1))/100))</f>
        <v>0.25</v>
      </c>
      <c r="W839" s="2" t="str">
        <f aca="false">IF(AND(V839&gt;=0,V839&lt;=0.25),"Valid","Invalid")</f>
        <v>Valid</v>
      </c>
      <c r="X839" s="2" t="n">
        <v>9399.67</v>
      </c>
      <c r="Y839" s="2" t="n">
        <f aca="false">R839*S839*(1-V839)</f>
        <v>9399.6675</v>
      </c>
      <c r="Z839" s="2" t="str">
        <f aca="false">IF(ABS(X839-Y839)&gt;1,"Mismatch","OK")</f>
        <v>OK</v>
      </c>
      <c r="AA839" s="2" t="n">
        <v>6540.37</v>
      </c>
      <c r="AB839" s="2" t="n">
        <v>2859.3</v>
      </c>
      <c r="AC839" s="2" t="n">
        <f aca="false">Y839-AA839</f>
        <v>2859.2975</v>
      </c>
      <c r="AD839" s="2" t="str">
        <f aca="false">IF(ABS(AB839-AC839)&gt;1,"Mismatch","OK")</f>
        <v>OK</v>
      </c>
      <c r="AE839" s="4" t="n">
        <f aca="false">IF(Y839=0,0,AC839/Y839)</f>
        <v>0.304191345066195</v>
      </c>
      <c r="AF839" s="2" t="s">
        <v>52</v>
      </c>
      <c r="AG839" s="2" t="s">
        <v>53</v>
      </c>
      <c r="AH839" s="2" t="str">
        <f aca="false">IF(AND(AG839="Completed",AF839&lt;&gt;"Paid"),"Inconsistent","OK")</f>
        <v>OK</v>
      </c>
      <c r="AI839" s="2" t="n">
        <f aca="false">IF(OR(ISBLANK(B839),ISBLANK(C839)),"",C839-B839)</f>
        <v>1</v>
      </c>
      <c r="AJ839" s="2" t="str">
        <f aca="false">IF(AI839="","Unknown",IF(AI839&lt;0,"Invalid","OK"))</f>
        <v>OK</v>
      </c>
      <c r="AK839" s="2" t="str">
        <f aca="false">IF(ISBLANK(B839),"",TEXT(B839,"mmm"))</f>
        <v>Sep</v>
      </c>
      <c r="AL839" s="2" t="n">
        <f aca="false">IF(ISBLANK(B839),"",YEAR(B839))</f>
        <v>2025</v>
      </c>
      <c r="AM839" s="2" t="s">
        <v>41</v>
      </c>
      <c r="AN839" s="2" t="str">
        <f aca="false">IF(OR(W839="Invalid",AJ839="Invalid",AH839="Inconsistent",Z839="Mismatch",AD839="Mismatch",AM839="Yes",D839="Yes",E839="Yes"),"Invalid",IF(OR(J839="Yes",Q839="Yes",U839="Yes"),"Warning","Clean"))</f>
        <v>Clean</v>
      </c>
    </row>
    <row r="840" customFormat="false" ht="15" hidden="false" customHeight="false" outlineLevel="0" collapsed="false">
      <c r="A840" s="2" t="s">
        <v>2611</v>
      </c>
      <c r="B840" s="3" t="n">
        <v>45750</v>
      </c>
      <c r="C840" s="3" t="n">
        <v>45754</v>
      </c>
      <c r="D840" s="2" t="s">
        <v>41</v>
      </c>
      <c r="E840" s="2" t="s">
        <v>41</v>
      </c>
      <c r="F840" s="2" t="s">
        <v>2612</v>
      </c>
      <c r="G840" s="2" t="s">
        <v>82</v>
      </c>
      <c r="H840" s="2" t="s">
        <v>57</v>
      </c>
      <c r="I840" s="2" t="s">
        <v>83</v>
      </c>
      <c r="J840" s="2" t="s">
        <v>41</v>
      </c>
      <c r="K840" s="2" t="s">
        <v>210</v>
      </c>
      <c r="L840" s="2" t="s">
        <v>211</v>
      </c>
      <c r="M840" s="2" t="s">
        <v>48</v>
      </c>
      <c r="N840" s="2" t="s">
        <v>49</v>
      </c>
      <c r="O840" s="2" t="s">
        <v>2613</v>
      </c>
      <c r="P840" s="2" t="s">
        <v>64</v>
      </c>
      <c r="Q840" s="2" t="s">
        <v>41</v>
      </c>
      <c r="R840" s="2" t="n">
        <v>1</v>
      </c>
      <c r="S840" s="2" t="n">
        <v>1470.57</v>
      </c>
      <c r="T840" s="2" t="n">
        <v>0</v>
      </c>
      <c r="U840" s="2" t="str">
        <f aca="false">IF(ISBLANK(T840),"Yes","No")</f>
        <v>No</v>
      </c>
      <c r="V840" s="2" t="n">
        <f aca="false">IF(ISBLANK(T840),0,IF(ISNUMBER(T840),T840,VALUE(LEFT(T840,LEN(T840)-1))/100))</f>
        <v>0</v>
      </c>
      <c r="W840" s="2" t="str">
        <f aca="false">IF(AND(V840&gt;=0,V840&lt;=0.25),"Valid","Invalid")</f>
        <v>Valid</v>
      </c>
      <c r="X840" s="2" t="n">
        <v>1470.57</v>
      </c>
      <c r="Y840" s="2" t="n">
        <f aca="false">R840*S840*(1-V840)</f>
        <v>1470.57</v>
      </c>
      <c r="Z840" s="2" t="str">
        <f aca="false">IF(ABS(X840-Y840)&gt;1,"Mismatch","OK")</f>
        <v>OK</v>
      </c>
      <c r="AA840" s="2" t="n">
        <v>834.02</v>
      </c>
      <c r="AB840" s="2" t="n">
        <v>636.55</v>
      </c>
      <c r="AC840" s="2" t="n">
        <f aca="false">Y840-AA840</f>
        <v>636.55</v>
      </c>
      <c r="AD840" s="2" t="str">
        <f aca="false">IF(ABS(AB840-AC840)&gt;1,"Mismatch","OK")</f>
        <v>OK</v>
      </c>
      <c r="AE840" s="4" t="n">
        <f aca="false">IF(Y840=0,0,AC840/Y840)</f>
        <v>0.432859367456156</v>
      </c>
      <c r="AF840" s="2" t="s">
        <v>52</v>
      </c>
      <c r="AG840" s="2" t="s">
        <v>123</v>
      </c>
      <c r="AH840" s="2" t="str">
        <f aca="false">IF(AND(AG840="Completed",AF840&lt;&gt;"Paid"),"Inconsistent","OK")</f>
        <v>OK</v>
      </c>
      <c r="AI840" s="2" t="n">
        <f aca="false">IF(OR(ISBLANK(B840),ISBLANK(C840)),"",C840-B840)</f>
        <v>4</v>
      </c>
      <c r="AJ840" s="2" t="str">
        <f aca="false">IF(AI840="","Unknown",IF(AI840&lt;0,"Invalid","OK"))</f>
        <v>OK</v>
      </c>
      <c r="AK840" s="2" t="str">
        <f aca="false">IF(ISBLANK(B840),"",TEXT(B840,"mmm"))</f>
        <v>Apr</v>
      </c>
      <c r="AL840" s="2" t="n">
        <f aca="false">IF(ISBLANK(B840),"",YEAR(B840))</f>
        <v>2025</v>
      </c>
      <c r="AM840" s="2" t="s">
        <v>41</v>
      </c>
      <c r="AN840" s="2" t="str">
        <f aca="false">IF(OR(W840="Invalid",AJ840="Invalid",AH840="Inconsistent",Z840="Mismatch",AD840="Mismatch",AM840="Yes",D840="Yes",E840="Yes"),"Invalid",IF(OR(J840="Yes",Q840="Yes",U840="Yes"),"Warning","Clean"))</f>
        <v>Clean</v>
      </c>
    </row>
    <row r="841" customFormat="false" ht="15" hidden="false" customHeight="false" outlineLevel="0" collapsed="false">
      <c r="A841" s="2" t="s">
        <v>2614</v>
      </c>
      <c r="B841" s="3" t="n">
        <v>45555</v>
      </c>
      <c r="C841" s="3" t="n">
        <v>45557</v>
      </c>
      <c r="D841" s="2" t="s">
        <v>41</v>
      </c>
      <c r="E841" s="2" t="s">
        <v>41</v>
      </c>
      <c r="F841" s="2" t="s">
        <v>2615</v>
      </c>
      <c r="G841" s="2" t="s">
        <v>161</v>
      </c>
      <c r="H841" s="2" t="s">
        <v>115</v>
      </c>
      <c r="I841" s="2" t="s">
        <v>58</v>
      </c>
      <c r="J841" s="2" t="s">
        <v>41</v>
      </c>
      <c r="K841" s="2" t="s">
        <v>59</v>
      </c>
      <c r="L841" s="2" t="s">
        <v>60</v>
      </c>
      <c r="M841" s="2" t="s">
        <v>94</v>
      </c>
      <c r="N841" s="2" t="s">
        <v>191</v>
      </c>
      <c r="O841" s="2" t="s">
        <v>2616</v>
      </c>
      <c r="P841" s="2" t="s">
        <v>79</v>
      </c>
      <c r="Q841" s="2" t="s">
        <v>41</v>
      </c>
      <c r="R841" s="2" t="n">
        <v>8</v>
      </c>
      <c r="S841" s="2" t="n">
        <v>531.43</v>
      </c>
      <c r="T841" s="2" t="n">
        <v>0.1</v>
      </c>
      <c r="U841" s="2" t="str">
        <f aca="false">IF(ISBLANK(T841),"Yes","No")</f>
        <v>No</v>
      </c>
      <c r="V841" s="2" t="n">
        <f aca="false">IF(ISBLANK(T841),0,IF(ISNUMBER(T841),T841,VALUE(LEFT(T841,LEN(T841)-1))/100))</f>
        <v>0.1</v>
      </c>
      <c r="W841" s="2" t="str">
        <f aca="false">IF(AND(V841&gt;=0,V841&lt;=0.25),"Valid","Invalid")</f>
        <v>Valid</v>
      </c>
      <c r="X841" s="2" t="n">
        <v>3826.3</v>
      </c>
      <c r="Y841" s="2" t="n">
        <f aca="false">R841*S841*(1-V841)</f>
        <v>3826.296</v>
      </c>
      <c r="Z841" s="2" t="str">
        <f aca="false">IF(ABS(X841-Y841)&gt;1,"Mismatch","OK")</f>
        <v>OK</v>
      </c>
      <c r="AA841" s="2" t="n">
        <v>2194.12</v>
      </c>
      <c r="AB841" s="2" t="n">
        <v>1632.18</v>
      </c>
      <c r="AC841" s="2" t="n">
        <f aca="false">Y841-AA841</f>
        <v>1632.176</v>
      </c>
      <c r="AD841" s="2" t="str">
        <f aca="false">IF(ABS(AB841-AC841)&gt;1,"Mismatch","OK")</f>
        <v>OK</v>
      </c>
      <c r="AE841" s="4" t="n">
        <f aca="false">IF(Y841=0,0,AC841/Y841)</f>
        <v>0.426568148412982</v>
      </c>
      <c r="AF841" s="2" t="s">
        <v>52</v>
      </c>
      <c r="AG841" s="2" t="s">
        <v>53</v>
      </c>
      <c r="AH841" s="2" t="str">
        <f aca="false">IF(AND(AG841="Completed",AF841&lt;&gt;"Paid"),"Inconsistent","OK")</f>
        <v>OK</v>
      </c>
      <c r="AI841" s="2" t="n">
        <f aca="false">IF(OR(ISBLANK(B841),ISBLANK(C841)),"",C841-B841)</f>
        <v>2</v>
      </c>
      <c r="AJ841" s="2" t="str">
        <f aca="false">IF(AI841="","Unknown",IF(AI841&lt;0,"Invalid","OK"))</f>
        <v>OK</v>
      </c>
      <c r="AK841" s="2" t="str">
        <f aca="false">IF(ISBLANK(B841),"",TEXT(B841,"mmm"))</f>
        <v>Sep</v>
      </c>
      <c r="AL841" s="2" t="n">
        <f aca="false">IF(ISBLANK(B841),"",YEAR(B841))</f>
        <v>2024</v>
      </c>
      <c r="AM841" s="2" t="s">
        <v>41</v>
      </c>
      <c r="AN841" s="2" t="str">
        <f aca="false">IF(OR(W841="Invalid",AJ841="Invalid",AH841="Inconsistent",Z841="Mismatch",AD841="Mismatch",AM841="Yes",D841="Yes",E841="Yes"),"Invalid",IF(OR(J841="Yes",Q841="Yes",U841="Yes"),"Warning","Clean"))</f>
        <v>Clean</v>
      </c>
    </row>
    <row r="842" customFormat="false" ht="15" hidden="false" customHeight="false" outlineLevel="0" collapsed="false">
      <c r="A842" s="2" t="s">
        <v>2617</v>
      </c>
      <c r="B842" s="3" t="n">
        <v>45919</v>
      </c>
      <c r="C842" s="3" t="n">
        <v>45919</v>
      </c>
      <c r="D842" s="2" t="s">
        <v>41</v>
      </c>
      <c r="E842" s="2" t="s">
        <v>41</v>
      </c>
      <c r="F842" s="2" t="s">
        <v>2618</v>
      </c>
      <c r="G842" s="2" t="s">
        <v>99</v>
      </c>
      <c r="H842" s="2" t="s">
        <v>115</v>
      </c>
      <c r="I842" s="2" t="s">
        <v>45</v>
      </c>
      <c r="J842" s="2" t="s">
        <v>41</v>
      </c>
      <c r="K842" s="2" t="s">
        <v>372</v>
      </c>
      <c r="L842" s="2" t="s">
        <v>373</v>
      </c>
      <c r="M842" s="2" t="s">
        <v>61</v>
      </c>
      <c r="N842" s="2" t="s">
        <v>86</v>
      </c>
      <c r="O842" s="2" t="s">
        <v>2619</v>
      </c>
      <c r="P842" s="2" t="s">
        <v>64</v>
      </c>
      <c r="Q842" s="2" t="s">
        <v>41</v>
      </c>
      <c r="R842" s="2" t="n">
        <v>4</v>
      </c>
      <c r="S842" s="2" t="n">
        <v>1584.11</v>
      </c>
      <c r="T842" s="2" t="n">
        <v>0</v>
      </c>
      <c r="U842" s="2" t="str">
        <f aca="false">IF(ISBLANK(T842),"Yes","No")</f>
        <v>No</v>
      </c>
      <c r="V842" s="2" t="n">
        <f aca="false">IF(ISBLANK(T842),0,IF(ISNUMBER(T842),T842,VALUE(LEFT(T842,LEN(T842)-1))/100))</f>
        <v>0</v>
      </c>
      <c r="W842" s="2" t="str">
        <f aca="false">IF(AND(V842&gt;=0,V842&lt;=0.25),"Valid","Invalid")</f>
        <v>Valid</v>
      </c>
      <c r="X842" s="2" t="n">
        <v>6336.44</v>
      </c>
      <c r="Y842" s="2" t="n">
        <f aca="false">R842*S842*(1-V842)</f>
        <v>6336.44</v>
      </c>
      <c r="Z842" s="2" t="str">
        <f aca="false">IF(ABS(X842-Y842)&gt;1,"Mismatch","OK")</f>
        <v>OK</v>
      </c>
      <c r="AA842" s="2" t="n">
        <v>4680.68</v>
      </c>
      <c r="AB842" s="2" t="n">
        <v>1655.76</v>
      </c>
      <c r="AC842" s="2" t="n">
        <f aca="false">Y842-AA842</f>
        <v>1655.76</v>
      </c>
      <c r="AD842" s="2" t="str">
        <f aca="false">IF(ABS(AB842-AC842)&gt;1,"Mismatch","OK")</f>
        <v>OK</v>
      </c>
      <c r="AE842" s="4" t="n">
        <f aca="false">IF(Y842=0,0,AC842/Y842)</f>
        <v>0.261307611213868</v>
      </c>
      <c r="AF842" s="2" t="s">
        <v>52</v>
      </c>
      <c r="AG842" s="2" t="s">
        <v>53</v>
      </c>
      <c r="AH842" s="2" t="str">
        <f aca="false">IF(AND(AG842="Completed",AF842&lt;&gt;"Paid"),"Inconsistent","OK")</f>
        <v>OK</v>
      </c>
      <c r="AI842" s="2" t="n">
        <f aca="false">IF(OR(ISBLANK(B842),ISBLANK(C842)),"",C842-B842)</f>
        <v>0</v>
      </c>
      <c r="AJ842" s="2" t="str">
        <f aca="false">IF(AI842="","Unknown",IF(AI842&lt;0,"Invalid","OK"))</f>
        <v>OK</v>
      </c>
      <c r="AK842" s="2" t="str">
        <f aca="false">IF(ISBLANK(B842),"",TEXT(B842,"mmm"))</f>
        <v>Sep</v>
      </c>
      <c r="AL842" s="2" t="n">
        <f aca="false">IF(ISBLANK(B842),"",YEAR(B842))</f>
        <v>2025</v>
      </c>
      <c r="AM842" s="2" t="s">
        <v>41</v>
      </c>
      <c r="AN842" s="2" t="str">
        <f aca="false">IF(OR(W842="Invalid",AJ842="Invalid",AH842="Inconsistent",Z842="Mismatch",AD842="Mismatch",AM842="Yes",D842="Yes",E842="Yes"),"Invalid",IF(OR(J842="Yes",Q842="Yes",U842="Yes"),"Warning","Clean"))</f>
        <v>Clean</v>
      </c>
    </row>
    <row r="843" customFormat="false" ht="15" hidden="false" customHeight="false" outlineLevel="0" collapsed="false">
      <c r="A843" s="2" t="s">
        <v>2620</v>
      </c>
      <c r="B843" s="3" t="n">
        <v>45694</v>
      </c>
      <c r="C843" s="3" t="n">
        <v>45700</v>
      </c>
      <c r="D843" s="2" t="s">
        <v>41</v>
      </c>
      <c r="E843" s="2" t="s">
        <v>41</v>
      </c>
      <c r="F843" s="2" t="s">
        <v>2621</v>
      </c>
      <c r="G843" s="2" t="s">
        <v>82</v>
      </c>
      <c r="H843" s="2" t="s">
        <v>57</v>
      </c>
      <c r="I843" s="2" t="s">
        <v>58</v>
      </c>
      <c r="J843" s="2" t="s">
        <v>41</v>
      </c>
      <c r="K843" s="2" t="s">
        <v>165</v>
      </c>
      <c r="L843" s="2" t="s">
        <v>166</v>
      </c>
      <c r="M843" s="2" t="s">
        <v>48</v>
      </c>
      <c r="N843" s="2" t="s">
        <v>68</v>
      </c>
      <c r="O843" s="2" t="s">
        <v>2622</v>
      </c>
      <c r="P843" s="2" t="s">
        <v>79</v>
      </c>
      <c r="Q843" s="2" t="s">
        <v>41</v>
      </c>
      <c r="R843" s="2" t="n">
        <v>9</v>
      </c>
      <c r="S843" s="2" t="n">
        <v>3237.16</v>
      </c>
      <c r="T843" s="2" t="n">
        <v>0.25</v>
      </c>
      <c r="U843" s="2" t="str">
        <f aca="false">IF(ISBLANK(T843),"Yes","No")</f>
        <v>No</v>
      </c>
      <c r="V843" s="2" t="n">
        <f aca="false">IF(ISBLANK(T843),0,IF(ISNUMBER(T843),T843,VALUE(LEFT(T843,LEN(T843)-1))/100))</f>
        <v>0.25</v>
      </c>
      <c r="W843" s="2" t="str">
        <f aca="false">IF(AND(V843&gt;=0,V843&lt;=0.25),"Valid","Invalid")</f>
        <v>Valid</v>
      </c>
      <c r="X843" s="2" t="n">
        <v>21850.83</v>
      </c>
      <c r="Y843" s="2" t="n">
        <f aca="false">R843*S843*(1-V843)</f>
        <v>21850.83</v>
      </c>
      <c r="Z843" s="2" t="str">
        <f aca="false">IF(ABS(X843-Y843)&gt;1,"Mismatch","OK")</f>
        <v>OK</v>
      </c>
      <c r="AA843" s="2" t="n">
        <v>16600.13</v>
      </c>
      <c r="AB843" s="2" t="n">
        <v>5250.7</v>
      </c>
      <c r="AC843" s="2" t="n">
        <f aca="false">Y843-AA843</f>
        <v>5250.7</v>
      </c>
      <c r="AD843" s="2" t="str">
        <f aca="false">IF(ABS(AB843-AC843)&gt;1,"Mismatch","OK")</f>
        <v>OK</v>
      </c>
      <c r="AE843" s="4" t="n">
        <f aca="false">IF(Y843=0,0,AC843/Y843)</f>
        <v>0.240297508149576</v>
      </c>
      <c r="AF843" s="2" t="s">
        <v>52</v>
      </c>
      <c r="AG843" s="2" t="s">
        <v>53</v>
      </c>
      <c r="AH843" s="2" t="str">
        <f aca="false">IF(AND(AG843="Completed",AF843&lt;&gt;"Paid"),"Inconsistent","OK")</f>
        <v>OK</v>
      </c>
      <c r="AI843" s="2" t="n">
        <f aca="false">IF(OR(ISBLANK(B843),ISBLANK(C843)),"",C843-B843)</f>
        <v>6</v>
      </c>
      <c r="AJ843" s="2" t="str">
        <f aca="false">IF(AI843="","Unknown",IF(AI843&lt;0,"Invalid","OK"))</f>
        <v>OK</v>
      </c>
      <c r="AK843" s="2" t="str">
        <f aca="false">IF(ISBLANK(B843),"",TEXT(B843,"mmm"))</f>
        <v>Feb</v>
      </c>
      <c r="AL843" s="2" t="n">
        <f aca="false">IF(ISBLANK(B843),"",YEAR(B843))</f>
        <v>2025</v>
      </c>
      <c r="AM843" s="2" t="s">
        <v>41</v>
      </c>
      <c r="AN843" s="2" t="str">
        <f aca="false">IF(OR(W843="Invalid",AJ843="Invalid",AH843="Inconsistent",Z843="Mismatch",AD843="Mismatch",AM843="Yes",D843="Yes",E843="Yes"),"Invalid",IF(OR(J843="Yes",Q843="Yes",U843="Yes"),"Warning","Clean"))</f>
        <v>Clean</v>
      </c>
    </row>
    <row r="844" customFormat="false" ht="15" hidden="false" customHeight="false" outlineLevel="0" collapsed="false">
      <c r="A844" s="2" t="s">
        <v>2623</v>
      </c>
      <c r="B844" s="3" t="n">
        <v>45382</v>
      </c>
      <c r="C844" s="3" t="n">
        <v>45381</v>
      </c>
      <c r="D844" s="2" t="s">
        <v>41</v>
      </c>
      <c r="E844" s="2" t="s">
        <v>41</v>
      </c>
      <c r="F844" s="2" t="s">
        <v>2624</v>
      </c>
      <c r="G844" s="2" t="s">
        <v>2625</v>
      </c>
      <c r="H844" s="2" t="s">
        <v>44</v>
      </c>
      <c r="I844" s="2" t="s">
        <v>45</v>
      </c>
      <c r="J844" s="2" t="s">
        <v>41</v>
      </c>
      <c r="K844" s="2" t="s">
        <v>258</v>
      </c>
      <c r="L844" s="2" t="s">
        <v>259</v>
      </c>
      <c r="M844" s="2" t="s">
        <v>94</v>
      </c>
      <c r="N844" s="2" t="s">
        <v>296</v>
      </c>
      <c r="O844" s="2" t="s">
        <v>2626</v>
      </c>
      <c r="P844" s="2" t="s">
        <v>70</v>
      </c>
      <c r="Q844" s="2" t="s">
        <v>41</v>
      </c>
      <c r="R844" s="2" t="n">
        <v>4</v>
      </c>
      <c r="S844" s="2" t="n">
        <v>2192.08</v>
      </c>
      <c r="T844" s="2" t="n">
        <v>0.15</v>
      </c>
      <c r="U844" s="2" t="str">
        <f aca="false">IF(ISBLANK(T844),"Yes","No")</f>
        <v>No</v>
      </c>
      <c r="V844" s="2" t="n">
        <f aca="false">IF(ISBLANK(T844),0,IF(ISNUMBER(T844),T844,VALUE(LEFT(T844,LEN(T844)-1))/100))</f>
        <v>0.15</v>
      </c>
      <c r="W844" s="2" t="str">
        <f aca="false">IF(AND(V844&gt;=0,V844&lt;=0.25),"Valid","Invalid")</f>
        <v>Valid</v>
      </c>
      <c r="X844" s="2" t="n">
        <v>7453.07</v>
      </c>
      <c r="Y844" s="2" t="n">
        <f aca="false">R844*S844*(1-V844)</f>
        <v>7453.072</v>
      </c>
      <c r="Z844" s="2" t="str">
        <f aca="false">IF(ABS(X844-Y844)&gt;1,"Mismatch","OK")</f>
        <v>OK</v>
      </c>
      <c r="AA844" s="2" t="n">
        <v>5133.78</v>
      </c>
      <c r="AB844" s="2" t="n">
        <v>2319.29</v>
      </c>
      <c r="AC844" s="2" t="n">
        <f aca="false">Y844-AA844</f>
        <v>2319.292</v>
      </c>
      <c r="AD844" s="2" t="str">
        <f aca="false">IF(ABS(AB844-AC844)&gt;1,"Mismatch","OK")</f>
        <v>OK</v>
      </c>
      <c r="AE844" s="4" t="n">
        <f aca="false">IF(Y844=0,0,AC844/Y844)</f>
        <v>0.311186045163659</v>
      </c>
      <c r="AF844" s="2" t="s">
        <v>52</v>
      </c>
      <c r="AG844" s="2" t="s">
        <v>123</v>
      </c>
      <c r="AH844" s="2" t="str">
        <f aca="false">IF(AND(AG844="Completed",AF844&lt;&gt;"Paid"),"Inconsistent","OK")</f>
        <v>OK</v>
      </c>
      <c r="AI844" s="2" t="n">
        <f aca="false">IF(OR(ISBLANK(B844),ISBLANK(C844)),"",C844-B844)</f>
        <v>-1</v>
      </c>
      <c r="AJ844" s="2" t="str">
        <f aca="false">IF(AI844="","Unknown",IF(AI844&lt;0,"Invalid","OK"))</f>
        <v>Invalid</v>
      </c>
      <c r="AK844" s="2" t="str">
        <f aca="false">IF(ISBLANK(B844),"",TEXT(B844,"mmm"))</f>
        <v>Mar</v>
      </c>
      <c r="AL844" s="2" t="n">
        <f aca="false">IF(ISBLANK(B844),"",YEAR(B844))</f>
        <v>2024</v>
      </c>
      <c r="AM844" s="2" t="s">
        <v>41</v>
      </c>
      <c r="AN844" s="2" t="str">
        <f aca="false">IF(OR(W844="Invalid",AJ844="Invalid",AH844="Inconsistent",Z844="Mismatch",AD844="Mismatch",AM844="Yes",D844="Yes",E844="Yes"),"Invalid",IF(OR(J844="Yes",Q844="Yes",U844="Yes"),"Warning","Clean"))</f>
        <v>Invalid</v>
      </c>
    </row>
    <row r="845" customFormat="false" ht="15" hidden="false" customHeight="false" outlineLevel="0" collapsed="false">
      <c r="A845" s="2" t="s">
        <v>2627</v>
      </c>
      <c r="B845" s="3" t="n">
        <v>45856</v>
      </c>
      <c r="C845" s="3" t="n">
        <v>45863</v>
      </c>
      <c r="D845" s="2" t="s">
        <v>41</v>
      </c>
      <c r="E845" s="2" t="s">
        <v>41</v>
      </c>
      <c r="F845" s="2" t="s">
        <v>2628</v>
      </c>
      <c r="G845" s="2" t="s">
        <v>134</v>
      </c>
      <c r="H845" s="2" t="s">
        <v>57</v>
      </c>
      <c r="I845" s="2" t="s">
        <v>45</v>
      </c>
      <c r="J845" s="2" t="s">
        <v>41</v>
      </c>
      <c r="K845" s="2" t="s">
        <v>156</v>
      </c>
      <c r="L845" s="2" t="s">
        <v>157</v>
      </c>
      <c r="M845" s="2" t="s">
        <v>94</v>
      </c>
      <c r="N845" s="2" t="s">
        <v>191</v>
      </c>
      <c r="O845" s="2" t="s">
        <v>2629</v>
      </c>
      <c r="P845" s="2" t="s">
        <v>70</v>
      </c>
      <c r="Q845" s="2" t="s">
        <v>41</v>
      </c>
      <c r="R845" s="2" t="n">
        <v>9</v>
      </c>
      <c r="S845" s="2" t="n">
        <v>3989.52</v>
      </c>
      <c r="T845" s="2" t="n">
        <v>-0.02</v>
      </c>
      <c r="U845" s="2" t="str">
        <f aca="false">IF(ISBLANK(T845),"Yes","No")</f>
        <v>No</v>
      </c>
      <c r="V845" s="2" t="n">
        <f aca="false">IF(ISBLANK(T845),0,IF(ISNUMBER(T845),T845,VALUE(LEFT(T845,LEN(T845)-1))/100))</f>
        <v>-0.02</v>
      </c>
      <c r="W845" s="2" t="str">
        <f aca="false">IF(AND(V845&gt;=0,V845&lt;=0.25),"Valid","Invalid")</f>
        <v>Invalid</v>
      </c>
      <c r="X845" s="2" t="n">
        <v>35905.68</v>
      </c>
      <c r="Y845" s="2" t="n">
        <f aca="false">R845*S845*(1-V845)</f>
        <v>36623.7936</v>
      </c>
      <c r="Z845" s="2" t="str">
        <f aca="false">IF(ABS(X845-Y845)&gt;1,"Mismatch","OK")</f>
        <v>Mismatch</v>
      </c>
      <c r="AA845" s="2" t="n">
        <v>23916.1</v>
      </c>
      <c r="AB845" s="2" t="n">
        <v>11989.58</v>
      </c>
      <c r="AC845" s="2" t="n">
        <f aca="false">Y845-AA845</f>
        <v>12707.6936</v>
      </c>
      <c r="AD845" s="2" t="str">
        <f aca="false">IF(ABS(AB845-AC845)&gt;1,"Mismatch","OK")</f>
        <v>Mismatch</v>
      </c>
      <c r="AE845" s="4" t="n">
        <f aca="false">IF(Y845=0,0,AC845/Y845)</f>
        <v>0.346979172578124</v>
      </c>
      <c r="AF845" s="2" t="s">
        <v>52</v>
      </c>
      <c r="AG845" s="2" t="s">
        <v>53</v>
      </c>
      <c r="AH845" s="2" t="str">
        <f aca="false">IF(AND(AG845="Completed",AF845&lt;&gt;"Paid"),"Inconsistent","OK")</f>
        <v>OK</v>
      </c>
      <c r="AI845" s="2" t="n">
        <f aca="false">IF(OR(ISBLANK(B845),ISBLANK(C845)),"",C845-B845)</f>
        <v>7</v>
      </c>
      <c r="AJ845" s="2" t="str">
        <f aca="false">IF(AI845="","Unknown",IF(AI845&lt;0,"Invalid","OK"))</f>
        <v>OK</v>
      </c>
      <c r="AK845" s="2" t="str">
        <f aca="false">IF(ISBLANK(B845),"",TEXT(B845,"mmm"))</f>
        <v>Jul</v>
      </c>
      <c r="AL845" s="2" t="n">
        <f aca="false">IF(ISBLANK(B845),"",YEAR(B845))</f>
        <v>2025</v>
      </c>
      <c r="AM845" s="2" t="s">
        <v>41</v>
      </c>
      <c r="AN845" s="2" t="str">
        <f aca="false">IF(OR(W845="Invalid",AJ845="Invalid",AH845="Inconsistent",Z845="Mismatch",AD845="Mismatch",AM845="Yes",D845="Yes",E845="Yes"),"Invalid",IF(OR(J845="Yes",Q845="Yes",U845="Yes"),"Warning","Clean"))</f>
        <v>Invalid</v>
      </c>
    </row>
    <row r="846" customFormat="false" ht="15" hidden="false" customHeight="false" outlineLevel="0" collapsed="false">
      <c r="A846" s="2" t="s">
        <v>2630</v>
      </c>
      <c r="B846" s="3" t="n">
        <v>45677</v>
      </c>
      <c r="C846" s="3" t="n">
        <v>45682</v>
      </c>
      <c r="D846" s="2" t="s">
        <v>41</v>
      </c>
      <c r="E846" s="2" t="s">
        <v>41</v>
      </c>
      <c r="F846" s="2" t="s">
        <v>2631</v>
      </c>
      <c r="G846" s="2" t="s">
        <v>109</v>
      </c>
      <c r="H846" s="2" t="s">
        <v>115</v>
      </c>
      <c r="I846" s="2" t="s">
        <v>83</v>
      </c>
      <c r="J846" s="2" t="s">
        <v>41</v>
      </c>
      <c r="K846" s="2" t="s">
        <v>210</v>
      </c>
      <c r="L846" s="2" t="s">
        <v>211</v>
      </c>
      <c r="M846" s="2" t="s">
        <v>48</v>
      </c>
      <c r="N846" s="2" t="s">
        <v>68</v>
      </c>
      <c r="O846" s="2" t="s">
        <v>2632</v>
      </c>
      <c r="P846" s="2" t="s">
        <v>70</v>
      </c>
      <c r="Q846" s="2" t="s">
        <v>41</v>
      </c>
      <c r="R846" s="2" t="n">
        <v>1</v>
      </c>
      <c r="S846" s="2" t="n">
        <v>3515.15</v>
      </c>
      <c r="T846" s="2" t="n">
        <v>0</v>
      </c>
      <c r="U846" s="2" t="str">
        <f aca="false">IF(ISBLANK(T846),"Yes","No")</f>
        <v>No</v>
      </c>
      <c r="V846" s="2" t="n">
        <f aca="false">IF(ISBLANK(T846),0,IF(ISNUMBER(T846),T846,VALUE(LEFT(T846,LEN(T846)-1))/100))</f>
        <v>0</v>
      </c>
      <c r="W846" s="2" t="str">
        <f aca="false">IF(AND(V846&gt;=0,V846&lt;=0.25),"Valid","Invalid")</f>
        <v>Valid</v>
      </c>
      <c r="X846" s="2" t="n">
        <v>3515.15</v>
      </c>
      <c r="Y846" s="2" t="n">
        <f aca="false">R846*S846*(1-V846)</f>
        <v>3515.15</v>
      </c>
      <c r="Z846" s="2" t="str">
        <f aca="false">IF(ABS(X846-Y846)&gt;1,"Mismatch","OK")</f>
        <v>OK</v>
      </c>
      <c r="AA846" s="2" t="n">
        <v>2216.34</v>
      </c>
      <c r="AB846" s="2" t="n">
        <v>1298.81</v>
      </c>
      <c r="AC846" s="2" t="n">
        <f aca="false">Y846-AA846</f>
        <v>1298.81</v>
      </c>
      <c r="AD846" s="2" t="str">
        <f aca="false">IF(ABS(AB846-AC846)&gt;1,"Mismatch","OK")</f>
        <v>OK</v>
      </c>
      <c r="AE846" s="4" t="n">
        <f aca="false">IF(Y846=0,0,AC846/Y846)</f>
        <v>0.369489210986729</v>
      </c>
      <c r="AF846" s="2" t="s">
        <v>52</v>
      </c>
      <c r="AG846" s="2" t="s">
        <v>53</v>
      </c>
      <c r="AH846" s="2" t="str">
        <f aca="false">IF(AND(AG846="Completed",AF846&lt;&gt;"Paid"),"Inconsistent","OK")</f>
        <v>OK</v>
      </c>
      <c r="AI846" s="2" t="n">
        <f aca="false">IF(OR(ISBLANK(B846),ISBLANK(C846)),"",C846-B846)</f>
        <v>5</v>
      </c>
      <c r="AJ846" s="2" t="str">
        <f aca="false">IF(AI846="","Unknown",IF(AI846&lt;0,"Invalid","OK"))</f>
        <v>OK</v>
      </c>
      <c r="AK846" s="2" t="str">
        <f aca="false">IF(ISBLANK(B846),"",TEXT(B846,"mmm"))</f>
        <v>Jan</v>
      </c>
      <c r="AL846" s="2" t="n">
        <f aca="false">IF(ISBLANK(B846),"",YEAR(B846))</f>
        <v>2025</v>
      </c>
      <c r="AM846" s="2" t="s">
        <v>41</v>
      </c>
      <c r="AN846" s="2" t="str">
        <f aca="false">IF(OR(W846="Invalid",AJ846="Invalid",AH846="Inconsistent",Z846="Mismatch",AD846="Mismatch",AM846="Yes",D846="Yes",E846="Yes"),"Invalid",IF(OR(J846="Yes",Q846="Yes",U846="Yes"),"Warning","Clean"))</f>
        <v>Clean</v>
      </c>
    </row>
    <row r="847" customFormat="false" ht="15" hidden="false" customHeight="false" outlineLevel="0" collapsed="false">
      <c r="A847" s="2" t="s">
        <v>2633</v>
      </c>
      <c r="B847" s="3" t="n">
        <v>45345</v>
      </c>
      <c r="C847" s="3" t="n">
        <v>45349</v>
      </c>
      <c r="D847" s="2" t="s">
        <v>41</v>
      </c>
      <c r="E847" s="2" t="s">
        <v>41</v>
      </c>
      <c r="F847" s="2" t="s">
        <v>615</v>
      </c>
      <c r="G847" s="2" t="s">
        <v>43</v>
      </c>
      <c r="H847" s="2" t="s">
        <v>44</v>
      </c>
      <c r="I847" s="2" t="s">
        <v>58</v>
      </c>
      <c r="J847" s="2" t="s">
        <v>41</v>
      </c>
      <c r="K847" s="2" t="s">
        <v>59</v>
      </c>
      <c r="L847" s="2" t="s">
        <v>60</v>
      </c>
      <c r="M847" s="2" t="s">
        <v>61</v>
      </c>
      <c r="N847" s="2" t="s">
        <v>62</v>
      </c>
      <c r="O847" s="2" t="s">
        <v>2634</v>
      </c>
      <c r="P847" s="2" t="s">
        <v>70</v>
      </c>
      <c r="Q847" s="2" t="s">
        <v>41</v>
      </c>
      <c r="R847" s="2" t="n">
        <v>9</v>
      </c>
      <c r="S847" s="2" t="n">
        <v>3616.23</v>
      </c>
      <c r="T847" s="2" t="n">
        <v>0.25</v>
      </c>
      <c r="U847" s="2" t="str">
        <f aca="false">IF(ISBLANK(T847),"Yes","No")</f>
        <v>No</v>
      </c>
      <c r="V847" s="2" t="n">
        <f aca="false">IF(ISBLANK(T847),0,IF(ISNUMBER(T847),T847,VALUE(LEFT(T847,LEN(T847)-1))/100))</f>
        <v>0.25</v>
      </c>
      <c r="W847" s="2" t="str">
        <f aca="false">IF(AND(V847&gt;=0,V847&lt;=0.25),"Valid","Invalid")</f>
        <v>Valid</v>
      </c>
      <c r="X847" s="2" t="n">
        <v>24409.55</v>
      </c>
      <c r="Y847" s="2" t="n">
        <f aca="false">R847*S847*(1-V847)</f>
        <v>24409.5525</v>
      </c>
      <c r="Z847" s="2" t="str">
        <f aca="false">IF(ABS(X847-Y847)&gt;1,"Mismatch","OK")</f>
        <v>OK</v>
      </c>
      <c r="AA847" s="2" t="n">
        <v>17157.58</v>
      </c>
      <c r="AB847" s="2" t="n">
        <v>7251.97</v>
      </c>
      <c r="AC847" s="2" t="n">
        <f aca="false">Y847-AA847</f>
        <v>7251.9725</v>
      </c>
      <c r="AD847" s="2" t="str">
        <f aca="false">IF(ABS(AB847-AC847)&gt;1,"Mismatch","OK")</f>
        <v>OK</v>
      </c>
      <c r="AE847" s="4" t="n">
        <f aca="false">IF(Y847=0,0,AC847/Y847)</f>
        <v>0.297095675965383</v>
      </c>
      <c r="AF847" s="2" t="s">
        <v>131</v>
      </c>
      <c r="AG847" s="2" t="s">
        <v>123</v>
      </c>
      <c r="AH847" s="2" t="str">
        <f aca="false">IF(AND(AG847="Completed",AF847&lt;&gt;"Paid"),"Inconsistent","OK")</f>
        <v>OK</v>
      </c>
      <c r="AI847" s="2" t="n">
        <f aca="false">IF(OR(ISBLANK(B847),ISBLANK(C847)),"",C847-B847)</f>
        <v>4</v>
      </c>
      <c r="AJ847" s="2" t="str">
        <f aca="false">IF(AI847="","Unknown",IF(AI847&lt;0,"Invalid","OK"))</f>
        <v>OK</v>
      </c>
      <c r="AK847" s="2" t="str">
        <f aca="false">IF(ISBLANK(B847),"",TEXT(B847,"mmm"))</f>
        <v>Feb</v>
      </c>
      <c r="AL847" s="2" t="n">
        <f aca="false">IF(ISBLANK(B847),"",YEAR(B847))</f>
        <v>2024</v>
      </c>
      <c r="AM847" s="2" t="s">
        <v>41</v>
      </c>
      <c r="AN847" s="2" t="str">
        <f aca="false">IF(OR(W847="Invalid",AJ847="Invalid",AH847="Inconsistent",Z847="Mismatch",AD847="Mismatch",AM847="Yes",D847="Yes",E847="Yes"),"Invalid",IF(OR(J847="Yes",Q847="Yes",U847="Yes"),"Warning","Clean"))</f>
        <v>Clean</v>
      </c>
    </row>
    <row r="848" customFormat="false" ht="15" hidden="false" customHeight="false" outlineLevel="0" collapsed="false">
      <c r="A848" s="2" t="s">
        <v>2635</v>
      </c>
      <c r="B848" s="3" t="n">
        <v>45396</v>
      </c>
      <c r="C848" s="3" t="n">
        <v>45404</v>
      </c>
      <c r="D848" s="2" t="s">
        <v>41</v>
      </c>
      <c r="E848" s="2" t="s">
        <v>41</v>
      </c>
      <c r="F848" s="2" t="s">
        <v>2636</v>
      </c>
      <c r="G848" s="2" t="s">
        <v>134</v>
      </c>
      <c r="H848" s="2" t="s">
        <v>57</v>
      </c>
      <c r="I848" s="2" t="s">
        <v>83</v>
      </c>
      <c r="J848" s="2" t="s">
        <v>41</v>
      </c>
      <c r="K848" s="2" t="s">
        <v>200</v>
      </c>
      <c r="L848" s="2" t="s">
        <v>201</v>
      </c>
      <c r="M848" s="2" t="s">
        <v>61</v>
      </c>
      <c r="N848" s="2" t="s">
        <v>178</v>
      </c>
      <c r="O848" s="2" t="s">
        <v>2637</v>
      </c>
      <c r="P848" s="2" t="s">
        <v>79</v>
      </c>
      <c r="Q848" s="2" t="s">
        <v>41</v>
      </c>
      <c r="R848" s="2" t="n">
        <v>2</v>
      </c>
      <c r="S848" s="2" t="n">
        <v>3977.52</v>
      </c>
      <c r="T848" s="2" t="n">
        <v>0</v>
      </c>
      <c r="U848" s="2" t="str">
        <f aca="false">IF(ISBLANK(T848),"Yes","No")</f>
        <v>No</v>
      </c>
      <c r="V848" s="2" t="n">
        <f aca="false">IF(ISBLANK(T848),0,IF(ISNUMBER(T848),T848,VALUE(LEFT(T848,LEN(T848)-1))/100))</f>
        <v>0</v>
      </c>
      <c r="W848" s="2" t="str">
        <f aca="false">IF(AND(V848&gt;=0,V848&lt;=0.25),"Valid","Invalid")</f>
        <v>Valid</v>
      </c>
      <c r="X848" s="2" t="n">
        <v>7955.04</v>
      </c>
      <c r="Y848" s="2" t="n">
        <f aca="false">R848*S848*(1-V848)</f>
        <v>7955.04</v>
      </c>
      <c r="Z848" s="2" t="str">
        <f aca="false">IF(ABS(X848-Y848)&gt;1,"Mismatch","OK")</f>
        <v>OK</v>
      </c>
      <c r="AA848" s="2" t="n">
        <v>5580.68</v>
      </c>
      <c r="AB848" s="2" t="n">
        <v>2374.36</v>
      </c>
      <c r="AC848" s="2" t="n">
        <f aca="false">Y848-AA848</f>
        <v>2374.36</v>
      </c>
      <c r="AD848" s="2" t="str">
        <f aca="false">IF(ABS(AB848-AC848)&gt;1,"Mismatch","OK")</f>
        <v>OK</v>
      </c>
      <c r="AE848" s="4" t="n">
        <f aca="false">IF(Y848=0,0,AC848/Y848)</f>
        <v>0.298472414972143</v>
      </c>
      <c r="AF848" s="2" t="s">
        <v>131</v>
      </c>
      <c r="AG848" s="2" t="s">
        <v>123</v>
      </c>
      <c r="AH848" s="2" t="str">
        <f aca="false">IF(AND(AG848="Completed",AF848&lt;&gt;"Paid"),"Inconsistent","OK")</f>
        <v>OK</v>
      </c>
      <c r="AI848" s="2" t="n">
        <f aca="false">IF(OR(ISBLANK(B848),ISBLANK(C848)),"",C848-B848)</f>
        <v>8</v>
      </c>
      <c r="AJ848" s="2" t="str">
        <f aca="false">IF(AI848="","Unknown",IF(AI848&lt;0,"Invalid","OK"))</f>
        <v>OK</v>
      </c>
      <c r="AK848" s="2" t="str">
        <f aca="false">IF(ISBLANK(B848),"",TEXT(B848,"mmm"))</f>
        <v>Apr</v>
      </c>
      <c r="AL848" s="2" t="n">
        <f aca="false">IF(ISBLANK(B848),"",YEAR(B848))</f>
        <v>2024</v>
      </c>
      <c r="AM848" s="2" t="s">
        <v>41</v>
      </c>
      <c r="AN848" s="2" t="str">
        <f aca="false">IF(OR(W848="Invalid",AJ848="Invalid",AH848="Inconsistent",Z848="Mismatch",AD848="Mismatch",AM848="Yes",D848="Yes",E848="Yes"),"Invalid",IF(OR(J848="Yes",Q848="Yes",U848="Yes"),"Warning","Clean"))</f>
        <v>Clean</v>
      </c>
    </row>
    <row r="849" customFormat="false" ht="15" hidden="false" customHeight="false" outlineLevel="0" collapsed="false">
      <c r="A849" s="2" t="s">
        <v>2638</v>
      </c>
      <c r="B849" s="3" t="n">
        <v>45797</v>
      </c>
      <c r="C849" s="3" t="n">
        <v>45799</v>
      </c>
      <c r="D849" s="2" t="s">
        <v>41</v>
      </c>
      <c r="E849" s="2" t="s">
        <v>41</v>
      </c>
      <c r="F849" s="2" t="s">
        <v>2639</v>
      </c>
      <c r="G849" s="2" t="s">
        <v>182</v>
      </c>
      <c r="H849" s="2" t="s">
        <v>115</v>
      </c>
      <c r="I849" s="2" t="s">
        <v>58</v>
      </c>
      <c r="J849" s="2" t="s">
        <v>41</v>
      </c>
      <c r="K849" s="2" t="s">
        <v>59</v>
      </c>
      <c r="L849" s="2" t="s">
        <v>60</v>
      </c>
      <c r="M849" s="2" t="s">
        <v>61</v>
      </c>
      <c r="N849" s="2" t="s">
        <v>62</v>
      </c>
      <c r="O849" s="2" t="s">
        <v>2640</v>
      </c>
      <c r="P849" s="2" t="s">
        <v>51</v>
      </c>
      <c r="Q849" s="2" t="s">
        <v>41</v>
      </c>
      <c r="R849" s="2" t="n">
        <v>2</v>
      </c>
      <c r="S849" s="2" t="n">
        <v>210.08</v>
      </c>
      <c r="T849" s="2" t="n">
        <v>0.2</v>
      </c>
      <c r="U849" s="2" t="str">
        <f aca="false">IF(ISBLANK(T849),"Yes","No")</f>
        <v>No</v>
      </c>
      <c r="V849" s="2" t="n">
        <f aca="false">IF(ISBLANK(T849),0,IF(ISNUMBER(T849),T849,VALUE(LEFT(T849,LEN(T849)-1))/100))</f>
        <v>0.2</v>
      </c>
      <c r="W849" s="2" t="str">
        <f aca="false">IF(AND(V849&gt;=0,V849&lt;=0.25),"Valid","Invalid")</f>
        <v>Valid</v>
      </c>
      <c r="X849" s="2" t="n">
        <v>336.13</v>
      </c>
      <c r="Y849" s="2" t="n">
        <f aca="false">R849*S849*(1-V849)</f>
        <v>336.128</v>
      </c>
      <c r="Z849" s="2" t="str">
        <f aca="false">IF(ABS(X849-Y849)&gt;1,"Mismatch","OK")</f>
        <v>OK</v>
      </c>
      <c r="AA849" s="2" t="n">
        <v>242.19</v>
      </c>
      <c r="AB849" s="2" t="n">
        <v>93.94</v>
      </c>
      <c r="AC849" s="2" t="n">
        <f aca="false">Y849-AA849</f>
        <v>93.9380000000001</v>
      </c>
      <c r="AD849" s="2" t="str">
        <f aca="false">IF(ABS(AB849-AC849)&gt;1,"Mismatch","OK")</f>
        <v>OK</v>
      </c>
      <c r="AE849" s="4" t="n">
        <f aca="false">IF(Y849=0,0,AC849/Y849)</f>
        <v>0.279470915841584</v>
      </c>
      <c r="AF849" s="2" t="s">
        <v>52</v>
      </c>
      <c r="AG849" s="2" t="s">
        <v>53</v>
      </c>
      <c r="AH849" s="2" t="str">
        <f aca="false">IF(AND(AG849="Completed",AF849&lt;&gt;"Paid"),"Inconsistent","OK")</f>
        <v>OK</v>
      </c>
      <c r="AI849" s="2" t="n">
        <f aca="false">IF(OR(ISBLANK(B849),ISBLANK(C849)),"",C849-B849)</f>
        <v>2</v>
      </c>
      <c r="AJ849" s="2" t="str">
        <f aca="false">IF(AI849="","Unknown",IF(AI849&lt;0,"Invalid","OK"))</f>
        <v>OK</v>
      </c>
      <c r="AK849" s="2" t="str">
        <f aca="false">IF(ISBLANK(B849),"",TEXT(B849,"mmm"))</f>
        <v>May</v>
      </c>
      <c r="AL849" s="2" t="n">
        <f aca="false">IF(ISBLANK(B849),"",YEAR(B849))</f>
        <v>2025</v>
      </c>
      <c r="AM849" s="2" t="s">
        <v>41</v>
      </c>
      <c r="AN849" s="2" t="str">
        <f aca="false">IF(OR(W849="Invalid",AJ849="Invalid",AH849="Inconsistent",Z849="Mismatch",AD849="Mismatch",AM849="Yes",D849="Yes",E849="Yes"),"Invalid",IF(OR(J849="Yes",Q849="Yes",U849="Yes"),"Warning","Clean"))</f>
        <v>Clean</v>
      </c>
    </row>
    <row r="850" customFormat="false" ht="15" hidden="false" customHeight="false" outlineLevel="0" collapsed="false">
      <c r="A850" s="2" t="s">
        <v>2641</v>
      </c>
      <c r="B850" s="3" t="n">
        <v>45804</v>
      </c>
      <c r="C850" s="3" t="n">
        <v>45806</v>
      </c>
      <c r="D850" s="2" t="s">
        <v>41</v>
      </c>
      <c r="E850" s="2" t="s">
        <v>41</v>
      </c>
      <c r="F850" s="2" t="s">
        <v>2642</v>
      </c>
      <c r="G850" s="2" t="s">
        <v>138</v>
      </c>
      <c r="H850" s="2" t="s">
        <v>115</v>
      </c>
      <c r="I850" s="2" t="s">
        <v>74</v>
      </c>
      <c r="J850" s="2" t="s">
        <v>41</v>
      </c>
      <c r="K850" s="2" t="s">
        <v>269</v>
      </c>
      <c r="L850" s="2" t="s">
        <v>270</v>
      </c>
      <c r="M850" s="2" t="s">
        <v>61</v>
      </c>
      <c r="N850" s="2" t="s">
        <v>77</v>
      </c>
      <c r="O850" s="2" t="s">
        <v>2643</v>
      </c>
      <c r="P850" s="2" t="s">
        <v>51</v>
      </c>
      <c r="Q850" s="2" t="s">
        <v>41</v>
      </c>
      <c r="R850" s="2" t="n">
        <v>1</v>
      </c>
      <c r="S850" s="2" t="n">
        <v>1744.35</v>
      </c>
      <c r="T850" s="2" t="n">
        <v>0.25</v>
      </c>
      <c r="U850" s="2" t="str">
        <f aca="false">IF(ISBLANK(T850),"Yes","No")</f>
        <v>No</v>
      </c>
      <c r="V850" s="2" t="n">
        <f aca="false">IF(ISBLANK(T850),0,IF(ISNUMBER(T850),T850,VALUE(LEFT(T850,LEN(T850)-1))/100))</f>
        <v>0.25</v>
      </c>
      <c r="W850" s="2" t="str">
        <f aca="false">IF(AND(V850&gt;=0,V850&lt;=0.25),"Valid","Invalid")</f>
        <v>Valid</v>
      </c>
      <c r="X850" s="2" t="n">
        <v>1308.26</v>
      </c>
      <c r="Y850" s="2" t="n">
        <f aca="false">R850*S850*(1-V850)</f>
        <v>1308.2625</v>
      </c>
      <c r="Z850" s="2" t="str">
        <f aca="false">IF(ABS(X850-Y850)&gt;1,"Mismatch","OK")</f>
        <v>OK</v>
      </c>
      <c r="AA850" s="2" t="n">
        <v>1083.56</v>
      </c>
      <c r="AB850" s="2" t="n">
        <v>224.7</v>
      </c>
      <c r="AC850" s="2" t="n">
        <f aca="false">Y850-AA850</f>
        <v>224.7025</v>
      </c>
      <c r="AD850" s="2" t="str">
        <f aca="false">IF(ABS(AB850-AC850)&gt;1,"Mismatch","OK")</f>
        <v>OK</v>
      </c>
      <c r="AE850" s="4" t="n">
        <f aca="false">IF(Y850=0,0,AC850/Y850)</f>
        <v>0.171756432673106</v>
      </c>
      <c r="AF850" s="2" t="s">
        <v>52</v>
      </c>
      <c r="AG850" s="2" t="s">
        <v>53</v>
      </c>
      <c r="AH850" s="2" t="str">
        <f aca="false">IF(AND(AG850="Completed",AF850&lt;&gt;"Paid"),"Inconsistent","OK")</f>
        <v>OK</v>
      </c>
      <c r="AI850" s="2" t="n">
        <f aca="false">IF(OR(ISBLANK(B850),ISBLANK(C850)),"",C850-B850)</f>
        <v>2</v>
      </c>
      <c r="AJ850" s="2" t="str">
        <f aca="false">IF(AI850="","Unknown",IF(AI850&lt;0,"Invalid","OK"))</f>
        <v>OK</v>
      </c>
      <c r="AK850" s="2" t="str">
        <f aca="false">IF(ISBLANK(B850),"",TEXT(B850,"mmm"))</f>
        <v>May</v>
      </c>
      <c r="AL850" s="2" t="n">
        <f aca="false">IF(ISBLANK(B850),"",YEAR(B850))</f>
        <v>2025</v>
      </c>
      <c r="AM850" s="2" t="s">
        <v>41</v>
      </c>
      <c r="AN850" s="2" t="str">
        <f aca="false">IF(OR(W850="Invalid",AJ850="Invalid",AH850="Inconsistent",Z850="Mismatch",AD850="Mismatch",AM850="Yes",D850="Yes",E850="Yes"),"Invalid",IF(OR(J850="Yes",Q850="Yes",U850="Yes"),"Warning","Clean"))</f>
        <v>Clean</v>
      </c>
    </row>
    <row r="851" customFormat="false" ht="15" hidden="false" customHeight="false" outlineLevel="0" collapsed="false">
      <c r="A851" s="2" t="s">
        <v>2644</v>
      </c>
      <c r="B851" s="3" t="n">
        <v>45357</v>
      </c>
      <c r="C851" s="3" t="n">
        <v>45363</v>
      </c>
      <c r="D851" s="2" t="s">
        <v>41</v>
      </c>
      <c r="E851" s="2" t="s">
        <v>41</v>
      </c>
      <c r="F851" s="2" t="s">
        <v>2645</v>
      </c>
      <c r="G851" s="2" t="s">
        <v>67</v>
      </c>
      <c r="H851" s="2" t="s">
        <v>115</v>
      </c>
      <c r="I851" s="2" t="s">
        <v>83</v>
      </c>
      <c r="J851" s="2" t="s">
        <v>41</v>
      </c>
      <c r="K851" s="2" t="s">
        <v>200</v>
      </c>
      <c r="L851" s="2" t="s">
        <v>201</v>
      </c>
      <c r="M851" s="2" t="s">
        <v>61</v>
      </c>
      <c r="N851" s="2" t="s">
        <v>178</v>
      </c>
      <c r="O851" s="2" t="s">
        <v>2646</v>
      </c>
      <c r="P851" s="2" t="s">
        <v>79</v>
      </c>
      <c r="Q851" s="2" t="s">
        <v>41</v>
      </c>
      <c r="R851" s="2" t="n">
        <v>3</v>
      </c>
      <c r="S851" s="2" t="n">
        <v>679.63</v>
      </c>
      <c r="T851" s="2" t="n">
        <v>0.2</v>
      </c>
      <c r="U851" s="2" t="str">
        <f aca="false">IF(ISBLANK(T851),"Yes","No")</f>
        <v>No</v>
      </c>
      <c r="V851" s="2" t="n">
        <f aca="false">IF(ISBLANK(T851),0,IF(ISNUMBER(T851),T851,VALUE(LEFT(T851,LEN(T851)-1))/100))</f>
        <v>0.2</v>
      </c>
      <c r="W851" s="2" t="str">
        <f aca="false">IF(AND(V851&gt;=0,V851&lt;=0.25),"Valid","Invalid")</f>
        <v>Valid</v>
      </c>
      <c r="X851" s="2" t="n">
        <v>1631.11</v>
      </c>
      <c r="Y851" s="2" t="n">
        <f aca="false">R851*S851*(1-V851)</f>
        <v>1631.112</v>
      </c>
      <c r="Z851" s="2" t="str">
        <f aca="false">IF(ABS(X851-Y851)&gt;1,"Mismatch","OK")</f>
        <v>OK</v>
      </c>
      <c r="AA851" s="2" t="n">
        <v>898.73</v>
      </c>
      <c r="AB851" s="2" t="n">
        <v>396.58</v>
      </c>
      <c r="AC851" s="2" t="n">
        <f aca="false">Y851-AA851</f>
        <v>732.382</v>
      </c>
      <c r="AD851" s="2" t="str">
        <f aca="false">IF(ABS(AB851-AC851)&gt;1,"Mismatch","OK")</f>
        <v>Mismatch</v>
      </c>
      <c r="AE851" s="4" t="n">
        <f aca="false">IF(Y851=0,0,AC851/Y851)</f>
        <v>0.449007793456243</v>
      </c>
      <c r="AF851" s="2" t="s">
        <v>52</v>
      </c>
      <c r="AG851" s="2" t="s">
        <v>53</v>
      </c>
      <c r="AH851" s="2" t="str">
        <f aca="false">IF(AND(AG851="Completed",AF851&lt;&gt;"Paid"),"Inconsistent","OK")</f>
        <v>OK</v>
      </c>
      <c r="AI851" s="2" t="n">
        <f aca="false">IF(OR(ISBLANK(B851),ISBLANK(C851)),"",C851-B851)</f>
        <v>6</v>
      </c>
      <c r="AJ851" s="2" t="str">
        <f aca="false">IF(AI851="","Unknown",IF(AI851&lt;0,"Invalid","OK"))</f>
        <v>OK</v>
      </c>
      <c r="AK851" s="2" t="str">
        <f aca="false">IF(ISBLANK(B851),"",TEXT(B851,"mmm"))</f>
        <v>Mar</v>
      </c>
      <c r="AL851" s="2" t="n">
        <f aca="false">IF(ISBLANK(B851),"",YEAR(B851))</f>
        <v>2024</v>
      </c>
      <c r="AM851" s="2" t="s">
        <v>41</v>
      </c>
      <c r="AN851" s="2" t="str">
        <f aca="false">IF(OR(W851="Invalid",AJ851="Invalid",AH851="Inconsistent",Z851="Mismatch",AD851="Mismatch",AM851="Yes",D851="Yes",E851="Yes"),"Invalid",IF(OR(J851="Yes",Q851="Yes",U851="Yes"),"Warning","Clean"))</f>
        <v>Invalid</v>
      </c>
    </row>
    <row r="852" customFormat="false" ht="15" hidden="false" customHeight="false" outlineLevel="0" collapsed="false">
      <c r="A852" s="2" t="s">
        <v>2647</v>
      </c>
      <c r="B852" s="3" t="n">
        <v>45473</v>
      </c>
      <c r="C852" s="3" t="n">
        <v>45476</v>
      </c>
      <c r="D852" s="2" t="s">
        <v>41</v>
      </c>
      <c r="E852" s="2" t="s">
        <v>41</v>
      </c>
      <c r="F852" s="2" t="s">
        <v>2648</v>
      </c>
      <c r="G852" s="2" t="s">
        <v>134</v>
      </c>
      <c r="H852" s="2" t="s">
        <v>115</v>
      </c>
      <c r="I852" s="2" t="s">
        <v>58</v>
      </c>
      <c r="J852" s="2" t="s">
        <v>41</v>
      </c>
      <c r="K852" s="2" t="s">
        <v>119</v>
      </c>
      <c r="L852" s="2" t="s">
        <v>120</v>
      </c>
      <c r="M852" s="2" t="s">
        <v>48</v>
      </c>
      <c r="N852" s="2" t="s">
        <v>49</v>
      </c>
      <c r="O852" s="2" t="s">
        <v>2649</v>
      </c>
      <c r="P852" s="2" t="s">
        <v>70</v>
      </c>
      <c r="Q852" s="2" t="s">
        <v>41</v>
      </c>
      <c r="R852" s="2" t="n">
        <v>6</v>
      </c>
      <c r="S852" s="2" t="n">
        <v>1211.01</v>
      </c>
      <c r="T852" s="2" t="n">
        <v>0</v>
      </c>
      <c r="U852" s="2" t="str">
        <f aca="false">IF(ISBLANK(T852),"Yes","No")</f>
        <v>No</v>
      </c>
      <c r="V852" s="2" t="n">
        <f aca="false">IF(ISBLANK(T852),0,IF(ISNUMBER(T852),T852,VALUE(LEFT(T852,LEN(T852)-1))/100))</f>
        <v>0</v>
      </c>
      <c r="W852" s="2" t="str">
        <f aca="false">IF(AND(V852&gt;=0,V852&lt;=0.25),"Valid","Invalid")</f>
        <v>Valid</v>
      </c>
      <c r="X852" s="2" t="n">
        <v>7266.06</v>
      </c>
      <c r="Y852" s="2" t="n">
        <f aca="false">R852*S852*(1-V852)</f>
        <v>7266.06</v>
      </c>
      <c r="Z852" s="2" t="str">
        <f aca="false">IF(ABS(X852-Y852)&gt;1,"Mismatch","OK")</f>
        <v>OK</v>
      </c>
      <c r="AA852" s="2" t="n">
        <v>6216.89</v>
      </c>
      <c r="AB852" s="2" t="n">
        <v>1049.17</v>
      </c>
      <c r="AC852" s="2" t="n">
        <f aca="false">Y852-AA852</f>
        <v>1049.17</v>
      </c>
      <c r="AD852" s="2" t="str">
        <f aca="false">IF(ABS(AB852-AC852)&gt;1,"Mismatch","OK")</f>
        <v>OK</v>
      </c>
      <c r="AE852" s="4" t="n">
        <f aca="false">IF(Y852=0,0,AC852/Y852)</f>
        <v>0.144393247509654</v>
      </c>
      <c r="AF852" s="2" t="s">
        <v>52</v>
      </c>
      <c r="AG852" s="2" t="s">
        <v>53</v>
      </c>
      <c r="AH852" s="2" t="str">
        <f aca="false">IF(AND(AG852="Completed",AF852&lt;&gt;"Paid"),"Inconsistent","OK")</f>
        <v>OK</v>
      </c>
      <c r="AI852" s="2" t="n">
        <f aca="false">IF(OR(ISBLANK(B852),ISBLANK(C852)),"",C852-B852)</f>
        <v>3</v>
      </c>
      <c r="AJ852" s="2" t="str">
        <f aca="false">IF(AI852="","Unknown",IF(AI852&lt;0,"Invalid","OK"))</f>
        <v>OK</v>
      </c>
      <c r="AK852" s="2" t="str">
        <f aca="false">IF(ISBLANK(B852),"",TEXT(B852,"mmm"))</f>
        <v>Jun</v>
      </c>
      <c r="AL852" s="2" t="n">
        <f aca="false">IF(ISBLANK(B852),"",YEAR(B852))</f>
        <v>2024</v>
      </c>
      <c r="AM852" s="2" t="s">
        <v>41</v>
      </c>
      <c r="AN852" s="2" t="str">
        <f aca="false">IF(OR(W852="Invalid",AJ852="Invalid",AH852="Inconsistent",Z852="Mismatch",AD852="Mismatch",AM852="Yes",D852="Yes",E852="Yes"),"Invalid",IF(OR(J852="Yes",Q852="Yes",U852="Yes"),"Warning","Clean"))</f>
        <v>Clean</v>
      </c>
    </row>
    <row r="853" customFormat="false" ht="15" hidden="false" customHeight="false" outlineLevel="0" collapsed="false">
      <c r="A853" s="2" t="s">
        <v>2650</v>
      </c>
      <c r="B853" s="3" t="n">
        <v>45377</v>
      </c>
      <c r="C853" s="3" t="n">
        <v>45383</v>
      </c>
      <c r="D853" s="2" t="s">
        <v>41</v>
      </c>
      <c r="E853" s="2" t="s">
        <v>41</v>
      </c>
      <c r="F853" s="2" t="s">
        <v>2651</v>
      </c>
      <c r="G853" s="2" t="s">
        <v>43</v>
      </c>
      <c r="H853" s="2" t="s">
        <v>57</v>
      </c>
      <c r="I853" s="2" t="s">
        <v>83</v>
      </c>
      <c r="J853" s="2" t="s">
        <v>41</v>
      </c>
      <c r="K853" s="2" t="s">
        <v>200</v>
      </c>
      <c r="L853" s="2" t="s">
        <v>201</v>
      </c>
      <c r="M853" s="2" t="s">
        <v>94</v>
      </c>
      <c r="N853" s="2" t="s">
        <v>95</v>
      </c>
      <c r="O853" s="2" t="s">
        <v>2652</v>
      </c>
      <c r="P853" s="2" t="s">
        <v>70</v>
      </c>
      <c r="Q853" s="2" t="s">
        <v>41</v>
      </c>
      <c r="R853" s="2" t="n">
        <v>2</v>
      </c>
      <c r="S853" s="2" t="n">
        <v>1161.3</v>
      </c>
      <c r="T853" s="2" t="n">
        <v>0.2</v>
      </c>
      <c r="U853" s="2" t="str">
        <f aca="false">IF(ISBLANK(T853),"Yes","No")</f>
        <v>No</v>
      </c>
      <c r="V853" s="2" t="n">
        <f aca="false">IF(ISBLANK(T853),0,IF(ISNUMBER(T853),T853,VALUE(LEFT(T853,LEN(T853)-1))/100))</f>
        <v>0.2</v>
      </c>
      <c r="W853" s="2" t="str">
        <f aca="false">IF(AND(V853&gt;=0,V853&lt;=0.25),"Valid","Invalid")</f>
        <v>Valid</v>
      </c>
      <c r="X853" s="2" t="n">
        <v>1858.08</v>
      </c>
      <c r="Y853" s="2" t="n">
        <f aca="false">R853*S853*(1-V853)</f>
        <v>1858.08</v>
      </c>
      <c r="Z853" s="2" t="str">
        <f aca="false">IF(ABS(X853-Y853)&gt;1,"Mismatch","OK")</f>
        <v>OK</v>
      </c>
      <c r="AA853" s="2" t="n">
        <v>1590.75</v>
      </c>
      <c r="AB853" s="2" t="n">
        <v>267.33</v>
      </c>
      <c r="AC853" s="2" t="n">
        <f aca="false">Y853-AA853</f>
        <v>267.33</v>
      </c>
      <c r="AD853" s="2" t="str">
        <f aca="false">IF(ABS(AB853-AC853)&gt;1,"Mismatch","OK")</f>
        <v>OK</v>
      </c>
      <c r="AE853" s="4" t="n">
        <f aca="false">IF(Y853=0,0,AC853/Y853)</f>
        <v>0.143874321880651</v>
      </c>
      <c r="AF853" s="2" t="s">
        <v>52</v>
      </c>
      <c r="AG853" s="2" t="s">
        <v>53</v>
      </c>
      <c r="AH853" s="2" t="str">
        <f aca="false">IF(AND(AG853="Completed",AF853&lt;&gt;"Paid"),"Inconsistent","OK")</f>
        <v>OK</v>
      </c>
      <c r="AI853" s="2" t="n">
        <f aca="false">IF(OR(ISBLANK(B853),ISBLANK(C853)),"",C853-B853)</f>
        <v>6</v>
      </c>
      <c r="AJ853" s="2" t="str">
        <f aca="false">IF(AI853="","Unknown",IF(AI853&lt;0,"Invalid","OK"))</f>
        <v>OK</v>
      </c>
      <c r="AK853" s="2" t="str">
        <f aca="false">IF(ISBLANK(B853),"",TEXT(B853,"mmm"))</f>
        <v>Mar</v>
      </c>
      <c r="AL853" s="2" t="n">
        <f aca="false">IF(ISBLANK(B853),"",YEAR(B853))</f>
        <v>2024</v>
      </c>
      <c r="AM853" s="2" t="s">
        <v>41</v>
      </c>
      <c r="AN853" s="2" t="str">
        <f aca="false">IF(OR(W853="Invalid",AJ853="Invalid",AH853="Inconsistent",Z853="Mismatch",AD853="Mismatch",AM853="Yes",D853="Yes",E853="Yes"),"Invalid",IF(OR(J853="Yes",Q853="Yes",U853="Yes"),"Warning","Clean"))</f>
        <v>Clean</v>
      </c>
    </row>
    <row r="854" customFormat="false" ht="15" hidden="false" customHeight="false" outlineLevel="0" collapsed="false">
      <c r="A854" s="2" t="s">
        <v>2653</v>
      </c>
      <c r="B854" s="3" t="n">
        <v>45383</v>
      </c>
      <c r="C854" s="3" t="n">
        <v>45390</v>
      </c>
      <c r="D854" s="2" t="s">
        <v>41</v>
      </c>
      <c r="E854" s="2" t="s">
        <v>41</v>
      </c>
      <c r="F854" s="2" t="s">
        <v>2654</v>
      </c>
      <c r="G854" s="2" t="s">
        <v>82</v>
      </c>
      <c r="H854" s="2" t="s">
        <v>44</v>
      </c>
      <c r="I854" s="2" t="s">
        <v>58</v>
      </c>
      <c r="J854" s="2" t="s">
        <v>41</v>
      </c>
      <c r="K854" s="2" t="s">
        <v>186</v>
      </c>
      <c r="L854" s="2" t="s">
        <v>187</v>
      </c>
      <c r="M854" s="2" t="s">
        <v>61</v>
      </c>
      <c r="N854" s="2" t="s">
        <v>62</v>
      </c>
      <c r="O854" s="2" t="s">
        <v>2655</v>
      </c>
      <c r="P854" s="2" t="s">
        <v>51</v>
      </c>
      <c r="Q854" s="2" t="s">
        <v>41</v>
      </c>
      <c r="R854" s="2" t="n">
        <v>7</v>
      </c>
      <c r="S854" s="2" t="n">
        <v>4205.35</v>
      </c>
      <c r="T854" s="2" t="n">
        <v>0.15</v>
      </c>
      <c r="U854" s="2" t="str">
        <f aca="false">IF(ISBLANK(T854),"Yes","No")</f>
        <v>No</v>
      </c>
      <c r="V854" s="2" t="n">
        <f aca="false">IF(ISBLANK(T854),0,IF(ISNUMBER(T854),T854,VALUE(LEFT(T854,LEN(T854)-1))/100))</f>
        <v>0.15</v>
      </c>
      <c r="W854" s="2" t="str">
        <f aca="false">IF(AND(V854&gt;=0,V854&lt;=0.25),"Valid","Invalid")</f>
        <v>Valid</v>
      </c>
      <c r="X854" s="2" t="n">
        <v>25021.83</v>
      </c>
      <c r="Y854" s="2" t="n">
        <f aca="false">R854*S854*(1-V854)</f>
        <v>25021.8325</v>
      </c>
      <c r="Z854" s="2" t="str">
        <f aca="false">IF(ABS(X854-Y854)&gt;1,"Mismatch","OK")</f>
        <v>OK</v>
      </c>
      <c r="AA854" s="2" t="n">
        <v>15544.44</v>
      </c>
      <c r="AB854" s="2" t="n">
        <v>9477.39</v>
      </c>
      <c r="AC854" s="2" t="n">
        <f aca="false">Y854-AA854</f>
        <v>9477.3925</v>
      </c>
      <c r="AD854" s="2" t="str">
        <f aca="false">IF(ABS(AB854-AC854)&gt;1,"Mismatch","OK")</f>
        <v>OK</v>
      </c>
      <c r="AE854" s="4" t="n">
        <f aca="false">IF(Y854=0,0,AC854/Y854)</f>
        <v>0.378764924591354</v>
      </c>
      <c r="AF854" s="2" t="s">
        <v>131</v>
      </c>
      <c r="AG854" s="2" t="s">
        <v>88</v>
      </c>
      <c r="AH854" s="2" t="str">
        <f aca="false">IF(AND(AG854="Completed",AF854&lt;&gt;"Paid"),"Inconsistent","OK")</f>
        <v>OK</v>
      </c>
      <c r="AI854" s="2" t="n">
        <f aca="false">IF(OR(ISBLANK(B854),ISBLANK(C854)),"",C854-B854)</f>
        <v>7</v>
      </c>
      <c r="AJ854" s="2" t="str">
        <f aca="false">IF(AI854="","Unknown",IF(AI854&lt;0,"Invalid","OK"))</f>
        <v>OK</v>
      </c>
      <c r="AK854" s="2" t="str">
        <f aca="false">IF(ISBLANK(B854),"",TEXT(B854,"mmm"))</f>
        <v>Apr</v>
      </c>
      <c r="AL854" s="2" t="n">
        <f aca="false">IF(ISBLANK(B854),"",YEAR(B854))</f>
        <v>2024</v>
      </c>
      <c r="AM854" s="2" t="s">
        <v>41</v>
      </c>
      <c r="AN854" s="2" t="str">
        <f aca="false">IF(OR(W854="Invalid",AJ854="Invalid",AH854="Inconsistent",Z854="Mismatch",AD854="Mismatch",AM854="Yes",D854="Yes",E854="Yes"),"Invalid",IF(OR(J854="Yes",Q854="Yes",U854="Yes"),"Warning","Clean"))</f>
        <v>Clean</v>
      </c>
    </row>
    <row r="855" customFormat="false" ht="15" hidden="false" customHeight="false" outlineLevel="0" collapsed="false">
      <c r="A855" s="2" t="s">
        <v>2656</v>
      </c>
      <c r="B855" s="3" t="n">
        <v>45793</v>
      </c>
      <c r="C855" s="3" t="n">
        <v>45799</v>
      </c>
      <c r="D855" s="2" t="s">
        <v>41</v>
      </c>
      <c r="E855" s="2" t="s">
        <v>41</v>
      </c>
      <c r="F855" s="2" t="s">
        <v>2657</v>
      </c>
      <c r="G855" s="2" t="s">
        <v>73</v>
      </c>
      <c r="H855" s="2" t="s">
        <v>110</v>
      </c>
      <c r="I855" s="2" t="s">
        <v>74</v>
      </c>
      <c r="J855" s="2" t="s">
        <v>41</v>
      </c>
      <c r="K855" s="2" t="s">
        <v>269</v>
      </c>
      <c r="L855" s="2" t="s">
        <v>270</v>
      </c>
      <c r="M855" s="2" t="s">
        <v>94</v>
      </c>
      <c r="N855" s="2" t="s">
        <v>95</v>
      </c>
      <c r="O855" s="2" t="s">
        <v>2658</v>
      </c>
      <c r="P855" s="2" t="s">
        <v>64</v>
      </c>
      <c r="Q855" s="2" t="s">
        <v>41</v>
      </c>
      <c r="R855" s="2" t="n">
        <v>8</v>
      </c>
      <c r="S855" s="2" t="n">
        <v>579.8</v>
      </c>
      <c r="T855" s="2" t="n">
        <v>0.2</v>
      </c>
      <c r="U855" s="2" t="str">
        <f aca="false">IF(ISBLANK(T855),"Yes","No")</f>
        <v>No</v>
      </c>
      <c r="V855" s="2" t="n">
        <f aca="false">IF(ISBLANK(T855),0,IF(ISNUMBER(T855),T855,VALUE(LEFT(T855,LEN(T855)-1))/100))</f>
        <v>0.2</v>
      </c>
      <c r="W855" s="2" t="str">
        <f aca="false">IF(AND(V855&gt;=0,V855&lt;=0.25),"Valid","Invalid")</f>
        <v>Valid</v>
      </c>
      <c r="X855" s="2" t="n">
        <v>3710.72</v>
      </c>
      <c r="Y855" s="2" t="n">
        <f aca="false">R855*S855*(1-V855)</f>
        <v>3710.72</v>
      </c>
      <c r="Z855" s="2" t="str">
        <f aca="false">IF(ABS(X855-Y855)&gt;1,"Mismatch","OK")</f>
        <v>OK</v>
      </c>
      <c r="AA855" s="2" t="n">
        <v>3115.29</v>
      </c>
      <c r="AB855" s="2" t="n">
        <v>595.43</v>
      </c>
      <c r="AC855" s="2" t="n">
        <f aca="false">Y855-AA855</f>
        <v>595.43</v>
      </c>
      <c r="AD855" s="2" t="str">
        <f aca="false">IF(ABS(AB855-AC855)&gt;1,"Mismatch","OK")</f>
        <v>OK</v>
      </c>
      <c r="AE855" s="4" t="n">
        <f aca="false">IF(Y855=0,0,AC855/Y855)</f>
        <v>0.160462120558813</v>
      </c>
      <c r="AF855" s="2" t="s">
        <v>52</v>
      </c>
      <c r="AG855" s="2" t="s">
        <v>53</v>
      </c>
      <c r="AH855" s="2" t="str">
        <f aca="false">IF(AND(AG855="Completed",AF855&lt;&gt;"Paid"),"Inconsistent","OK")</f>
        <v>OK</v>
      </c>
      <c r="AI855" s="2" t="n">
        <f aca="false">IF(OR(ISBLANK(B855),ISBLANK(C855)),"",C855-B855)</f>
        <v>6</v>
      </c>
      <c r="AJ855" s="2" t="str">
        <f aca="false">IF(AI855="","Unknown",IF(AI855&lt;0,"Invalid","OK"))</f>
        <v>OK</v>
      </c>
      <c r="AK855" s="2" t="str">
        <f aca="false">IF(ISBLANK(B855),"",TEXT(B855,"mmm"))</f>
        <v>May</v>
      </c>
      <c r="AL855" s="2" t="n">
        <f aca="false">IF(ISBLANK(B855),"",YEAR(B855))</f>
        <v>2025</v>
      </c>
      <c r="AM855" s="2" t="s">
        <v>41</v>
      </c>
      <c r="AN855" s="2" t="str">
        <f aca="false">IF(OR(W855="Invalid",AJ855="Invalid",AH855="Inconsistent",Z855="Mismatch",AD855="Mismatch",AM855="Yes",D855="Yes",E855="Yes"),"Invalid",IF(OR(J855="Yes",Q855="Yes",U855="Yes"),"Warning","Clean"))</f>
        <v>Clean</v>
      </c>
    </row>
    <row r="856" customFormat="false" ht="15" hidden="false" customHeight="false" outlineLevel="0" collapsed="false">
      <c r="A856" s="2" t="s">
        <v>2659</v>
      </c>
      <c r="B856" s="3" t="n">
        <v>45741</v>
      </c>
      <c r="C856" s="3" t="n">
        <v>45749</v>
      </c>
      <c r="D856" s="2" t="s">
        <v>41</v>
      </c>
      <c r="E856" s="2" t="s">
        <v>41</v>
      </c>
      <c r="F856" s="2" t="s">
        <v>2660</v>
      </c>
      <c r="G856" s="2" t="s">
        <v>134</v>
      </c>
      <c r="H856" s="2" t="s">
        <v>44</v>
      </c>
      <c r="I856" s="2" t="s">
        <v>74</v>
      </c>
      <c r="J856" s="2" t="s">
        <v>41</v>
      </c>
      <c r="K856" s="2" t="s">
        <v>195</v>
      </c>
      <c r="L856" s="2" t="s">
        <v>196</v>
      </c>
      <c r="M856" s="2" t="s">
        <v>61</v>
      </c>
      <c r="N856" s="2" t="s">
        <v>178</v>
      </c>
      <c r="O856" s="2" t="s">
        <v>2661</v>
      </c>
      <c r="P856" s="2" t="s">
        <v>51</v>
      </c>
      <c r="Q856" s="2" t="s">
        <v>41</v>
      </c>
      <c r="R856" s="2" t="n">
        <v>4</v>
      </c>
      <c r="S856" s="2" t="n">
        <v>2233.64</v>
      </c>
      <c r="T856" s="2" t="n">
        <v>0.05</v>
      </c>
      <c r="U856" s="2" t="str">
        <f aca="false">IF(ISBLANK(T856),"Yes","No")</f>
        <v>No</v>
      </c>
      <c r="V856" s="2" t="n">
        <f aca="false">IF(ISBLANK(T856),0,IF(ISNUMBER(T856),T856,VALUE(LEFT(T856,LEN(T856)-1))/100))</f>
        <v>0.05</v>
      </c>
      <c r="W856" s="2" t="str">
        <f aca="false">IF(AND(V856&gt;=0,V856&lt;=0.25),"Valid","Invalid")</f>
        <v>Valid</v>
      </c>
      <c r="X856" s="2" t="n">
        <v>8487.83</v>
      </c>
      <c r="Y856" s="2" t="n">
        <f aca="false">R856*S856*(1-V856)</f>
        <v>8487.832</v>
      </c>
      <c r="Z856" s="2" t="str">
        <f aca="false">IF(ABS(X856-Y856)&gt;1,"Mismatch","OK")</f>
        <v>OK</v>
      </c>
      <c r="AA856" s="2" t="n">
        <v>5245.72</v>
      </c>
      <c r="AB856" s="2" t="n">
        <v>3242.11</v>
      </c>
      <c r="AC856" s="2" t="n">
        <f aca="false">Y856-AA856</f>
        <v>3242.112</v>
      </c>
      <c r="AD856" s="2" t="str">
        <f aca="false">IF(ABS(AB856-AC856)&gt;1,"Mismatch","OK")</f>
        <v>OK</v>
      </c>
      <c r="AE856" s="4" t="n">
        <f aca="false">IF(Y856=0,0,AC856/Y856)</f>
        <v>0.381971744963849</v>
      </c>
      <c r="AF856" s="2" t="s">
        <v>52</v>
      </c>
      <c r="AG856" s="2" t="s">
        <v>53</v>
      </c>
      <c r="AH856" s="2" t="str">
        <f aca="false">IF(AND(AG856="Completed",AF856&lt;&gt;"Paid"),"Inconsistent","OK")</f>
        <v>OK</v>
      </c>
      <c r="AI856" s="2" t="n">
        <f aca="false">IF(OR(ISBLANK(B856),ISBLANK(C856)),"",C856-B856)</f>
        <v>8</v>
      </c>
      <c r="AJ856" s="2" t="str">
        <f aca="false">IF(AI856="","Unknown",IF(AI856&lt;0,"Invalid","OK"))</f>
        <v>OK</v>
      </c>
      <c r="AK856" s="2" t="str">
        <f aca="false">IF(ISBLANK(B856),"",TEXT(B856,"mmm"))</f>
        <v>Mar</v>
      </c>
      <c r="AL856" s="2" t="n">
        <f aca="false">IF(ISBLANK(B856),"",YEAR(B856))</f>
        <v>2025</v>
      </c>
      <c r="AM856" s="2" t="s">
        <v>41</v>
      </c>
      <c r="AN856" s="2" t="str">
        <f aca="false">IF(OR(W856="Invalid",AJ856="Invalid",AH856="Inconsistent",Z856="Mismatch",AD856="Mismatch",AM856="Yes",D856="Yes",E856="Yes"),"Invalid",IF(OR(J856="Yes",Q856="Yes",U856="Yes"),"Warning","Clean"))</f>
        <v>Clean</v>
      </c>
    </row>
    <row r="857" customFormat="false" ht="15" hidden="false" customHeight="false" outlineLevel="0" collapsed="false">
      <c r="A857" s="2" t="s">
        <v>2662</v>
      </c>
      <c r="B857" s="3" t="n">
        <v>45498</v>
      </c>
      <c r="C857" s="3" t="n">
        <v>45506</v>
      </c>
      <c r="D857" s="2" t="s">
        <v>41</v>
      </c>
      <c r="E857" s="2" t="s">
        <v>41</v>
      </c>
      <c r="F857" s="2" t="s">
        <v>1145</v>
      </c>
      <c r="G857" s="2" t="s">
        <v>138</v>
      </c>
      <c r="H857" s="2" t="s">
        <v>44</v>
      </c>
      <c r="I857" s="2" t="s">
        <v>45</v>
      </c>
      <c r="J857" s="2" t="s">
        <v>41</v>
      </c>
      <c r="K857" s="2" t="s">
        <v>46</v>
      </c>
      <c r="L857" s="2" t="s">
        <v>47</v>
      </c>
      <c r="M857" s="2" t="s">
        <v>48</v>
      </c>
      <c r="N857" s="2" t="s">
        <v>111</v>
      </c>
      <c r="O857" s="2" t="s">
        <v>2663</v>
      </c>
      <c r="P857" s="2" t="s">
        <v>51</v>
      </c>
      <c r="Q857" s="2" t="s">
        <v>41</v>
      </c>
      <c r="R857" s="2" t="n">
        <v>2</v>
      </c>
      <c r="S857" s="2" t="n">
        <v>2073.53</v>
      </c>
      <c r="T857" s="2" t="n">
        <v>0.25</v>
      </c>
      <c r="U857" s="2" t="str">
        <f aca="false">IF(ISBLANK(T857),"Yes","No")</f>
        <v>No</v>
      </c>
      <c r="V857" s="2" t="n">
        <f aca="false">IF(ISBLANK(T857),0,IF(ISNUMBER(T857),T857,VALUE(LEFT(T857,LEN(T857)-1))/100))</f>
        <v>0.25</v>
      </c>
      <c r="W857" s="2" t="str">
        <f aca="false">IF(AND(V857&gt;=0,V857&lt;=0.25),"Valid","Invalid")</f>
        <v>Valid</v>
      </c>
      <c r="X857" s="2" t="n">
        <v>3110.3</v>
      </c>
      <c r="Y857" s="2" t="n">
        <f aca="false">R857*S857*(1-V857)</f>
        <v>3110.295</v>
      </c>
      <c r="Z857" s="2" t="str">
        <f aca="false">IF(ABS(X857-Y857)&gt;1,"Mismatch","OK")</f>
        <v>OK</v>
      </c>
      <c r="AA857" s="2" t="n">
        <v>2101.03</v>
      </c>
      <c r="AB857" s="2" t="n">
        <v>1009.27</v>
      </c>
      <c r="AC857" s="2" t="n">
        <f aca="false">Y857-AA857</f>
        <v>1009.265</v>
      </c>
      <c r="AD857" s="2" t="str">
        <f aca="false">IF(ABS(AB857-AC857)&gt;1,"Mismatch","OK")</f>
        <v>OK</v>
      </c>
      <c r="AE857" s="4" t="n">
        <f aca="false">IF(Y857=0,0,AC857/Y857)</f>
        <v>0.324491728276578</v>
      </c>
      <c r="AF857" s="2" t="s">
        <v>52</v>
      </c>
      <c r="AG857" s="2" t="s">
        <v>53</v>
      </c>
      <c r="AH857" s="2" t="str">
        <f aca="false">IF(AND(AG857="Completed",AF857&lt;&gt;"Paid"),"Inconsistent","OK")</f>
        <v>OK</v>
      </c>
      <c r="AI857" s="2" t="n">
        <f aca="false">IF(OR(ISBLANK(B857),ISBLANK(C857)),"",C857-B857)</f>
        <v>8</v>
      </c>
      <c r="AJ857" s="2" t="str">
        <f aca="false">IF(AI857="","Unknown",IF(AI857&lt;0,"Invalid","OK"))</f>
        <v>OK</v>
      </c>
      <c r="AK857" s="2" t="str">
        <f aca="false">IF(ISBLANK(B857),"",TEXT(B857,"mmm"))</f>
        <v>Jul</v>
      </c>
      <c r="AL857" s="2" t="n">
        <f aca="false">IF(ISBLANK(B857),"",YEAR(B857))</f>
        <v>2024</v>
      </c>
      <c r="AM857" s="2" t="s">
        <v>41</v>
      </c>
      <c r="AN857" s="2" t="str">
        <f aca="false">IF(OR(W857="Invalid",AJ857="Invalid",AH857="Inconsistent",Z857="Mismatch",AD857="Mismatch",AM857="Yes",D857="Yes",E857="Yes"),"Invalid",IF(OR(J857="Yes",Q857="Yes",U857="Yes"),"Warning","Clean"))</f>
        <v>Clean</v>
      </c>
    </row>
    <row r="858" customFormat="false" ht="15" hidden="false" customHeight="false" outlineLevel="0" collapsed="false">
      <c r="A858" s="2" t="s">
        <v>2664</v>
      </c>
      <c r="B858" s="3" t="n">
        <v>45455</v>
      </c>
      <c r="C858" s="3" t="n">
        <v>45462</v>
      </c>
      <c r="D858" s="2" t="s">
        <v>41</v>
      </c>
      <c r="E858" s="2" t="s">
        <v>41</v>
      </c>
      <c r="F858" s="2" t="s">
        <v>1323</v>
      </c>
      <c r="G858" s="2" t="s">
        <v>161</v>
      </c>
      <c r="H858" s="2" t="s">
        <v>115</v>
      </c>
      <c r="I858" s="2" t="s">
        <v>74</v>
      </c>
      <c r="J858" s="2" t="s">
        <v>41</v>
      </c>
      <c r="K858" s="2" t="s">
        <v>269</v>
      </c>
      <c r="L858" s="2" t="s">
        <v>270</v>
      </c>
      <c r="M858" s="2" t="s">
        <v>48</v>
      </c>
      <c r="N858" s="2" t="s">
        <v>144</v>
      </c>
      <c r="O858" s="2" t="s">
        <v>2665</v>
      </c>
      <c r="P858" s="2" t="s">
        <v>79</v>
      </c>
      <c r="Q858" s="2" t="s">
        <v>41</v>
      </c>
      <c r="R858" s="2" t="n">
        <v>4</v>
      </c>
      <c r="S858" s="2" t="n">
        <v>395.1</v>
      </c>
      <c r="T858" s="2" t="n">
        <v>-0.16</v>
      </c>
      <c r="U858" s="2" t="str">
        <f aca="false">IF(ISBLANK(T858),"Yes","No")</f>
        <v>No</v>
      </c>
      <c r="V858" s="2" t="n">
        <f aca="false">IF(ISBLANK(T858),0,IF(ISNUMBER(T858),T858,VALUE(LEFT(T858,LEN(T858)-1))/100))</f>
        <v>-0.16</v>
      </c>
      <c r="W858" s="2" t="str">
        <f aca="false">IF(AND(V858&gt;=0,V858&lt;=0.25),"Valid","Invalid")</f>
        <v>Invalid</v>
      </c>
      <c r="X858" s="2" t="n">
        <v>1185.3</v>
      </c>
      <c r="Y858" s="2" t="n">
        <f aca="false">R858*S858*(1-V858)</f>
        <v>1833.264</v>
      </c>
      <c r="Z858" s="2" t="str">
        <f aca="false">IF(ABS(X858-Y858)&gt;1,"Mismatch","OK")</f>
        <v>Mismatch</v>
      </c>
      <c r="AA858" s="2" t="n">
        <v>966.55</v>
      </c>
      <c r="AB858" s="2" t="n">
        <v>218.75</v>
      </c>
      <c r="AC858" s="2" t="n">
        <f aca="false">Y858-AA858</f>
        <v>866.714</v>
      </c>
      <c r="AD858" s="2" t="str">
        <f aca="false">IF(ABS(AB858-AC858)&gt;1,"Mismatch","OK")</f>
        <v>Mismatch</v>
      </c>
      <c r="AE858" s="4" t="n">
        <f aca="false">IF(Y858=0,0,AC858/Y858)</f>
        <v>0.472770970247602</v>
      </c>
      <c r="AF858" s="2" t="s">
        <v>175</v>
      </c>
      <c r="AG858" s="2" t="s">
        <v>88</v>
      </c>
      <c r="AH858" s="2" t="str">
        <f aca="false">IF(AND(AG858="Completed",AF858&lt;&gt;"Paid"),"Inconsistent","OK")</f>
        <v>OK</v>
      </c>
      <c r="AI858" s="2" t="n">
        <f aca="false">IF(OR(ISBLANK(B858),ISBLANK(C858)),"",C858-B858)</f>
        <v>7</v>
      </c>
      <c r="AJ858" s="2" t="str">
        <f aca="false">IF(AI858="","Unknown",IF(AI858&lt;0,"Invalid","OK"))</f>
        <v>OK</v>
      </c>
      <c r="AK858" s="2" t="str">
        <f aca="false">IF(ISBLANK(B858),"",TEXT(B858,"mmm"))</f>
        <v>Jun</v>
      </c>
      <c r="AL858" s="2" t="n">
        <f aca="false">IF(ISBLANK(B858),"",YEAR(B858))</f>
        <v>2024</v>
      </c>
      <c r="AM858" s="2" t="s">
        <v>41</v>
      </c>
      <c r="AN858" s="2" t="str">
        <f aca="false">IF(OR(W858="Invalid",AJ858="Invalid",AH858="Inconsistent",Z858="Mismatch",AD858="Mismatch",AM858="Yes",D858="Yes",E858="Yes"),"Invalid",IF(OR(J858="Yes",Q858="Yes",U858="Yes"),"Warning","Clean"))</f>
        <v>Invalid</v>
      </c>
    </row>
    <row r="859" customFormat="false" ht="15" hidden="false" customHeight="false" outlineLevel="0" collapsed="false">
      <c r="A859" s="2" t="s">
        <v>2666</v>
      </c>
      <c r="B859" s="3" t="n">
        <v>45447</v>
      </c>
      <c r="C859" s="3" t="n">
        <v>45447</v>
      </c>
      <c r="D859" s="2" t="s">
        <v>41</v>
      </c>
      <c r="E859" s="2" t="s">
        <v>41</v>
      </c>
      <c r="F859" s="2" t="s">
        <v>2172</v>
      </c>
      <c r="G859" s="2" t="s">
        <v>152</v>
      </c>
      <c r="H859" s="2" t="s">
        <v>115</v>
      </c>
      <c r="I859" s="2" t="s">
        <v>74</v>
      </c>
      <c r="J859" s="2" t="s">
        <v>41</v>
      </c>
      <c r="K859" s="2" t="s">
        <v>205</v>
      </c>
      <c r="L859" s="2" t="s">
        <v>206</v>
      </c>
      <c r="M859" s="2" t="s">
        <v>48</v>
      </c>
      <c r="N859" s="2" t="s">
        <v>144</v>
      </c>
      <c r="O859" s="2" t="s">
        <v>2667</v>
      </c>
      <c r="P859" s="2" t="s">
        <v>70</v>
      </c>
      <c r="Q859" s="2" t="s">
        <v>41</v>
      </c>
      <c r="R859" s="2" t="n">
        <v>6</v>
      </c>
      <c r="S859" s="2" t="n">
        <v>2708.97</v>
      </c>
      <c r="T859" s="2" t="n">
        <v>0.25</v>
      </c>
      <c r="U859" s="2" t="str">
        <f aca="false">IF(ISBLANK(T859),"Yes","No")</f>
        <v>No</v>
      </c>
      <c r="V859" s="2" t="n">
        <f aca="false">IF(ISBLANK(T859),0,IF(ISNUMBER(T859),T859,VALUE(LEFT(T859,LEN(T859)-1))/100))</f>
        <v>0.25</v>
      </c>
      <c r="W859" s="2" t="str">
        <f aca="false">IF(AND(V859&gt;=0,V859&lt;=0.25),"Valid","Invalid")</f>
        <v>Valid</v>
      </c>
      <c r="X859" s="2" t="n">
        <v>12190.36</v>
      </c>
      <c r="Y859" s="2" t="n">
        <f aca="false">R859*S859*(1-V859)</f>
        <v>12190.365</v>
      </c>
      <c r="Z859" s="2" t="str">
        <f aca="false">IF(ABS(X859-Y859)&gt;1,"Mismatch","OK")</f>
        <v>OK</v>
      </c>
      <c r="AA859" s="2" t="n">
        <v>10176.99</v>
      </c>
      <c r="AB859" s="2" t="n">
        <v>2013.37</v>
      </c>
      <c r="AC859" s="2" t="n">
        <f aca="false">Y859-AA859</f>
        <v>2013.375</v>
      </c>
      <c r="AD859" s="2" t="str">
        <f aca="false">IF(ABS(AB859-AC859)&gt;1,"Mismatch","OK")</f>
        <v>OK</v>
      </c>
      <c r="AE859" s="4" t="n">
        <f aca="false">IF(Y859=0,0,AC859/Y859)</f>
        <v>0.165161174419306</v>
      </c>
      <c r="AF859" s="2" t="s">
        <v>52</v>
      </c>
      <c r="AG859" s="2" t="s">
        <v>53</v>
      </c>
      <c r="AH859" s="2" t="str">
        <f aca="false">IF(AND(AG859="Completed",AF859&lt;&gt;"Paid"),"Inconsistent","OK")</f>
        <v>OK</v>
      </c>
      <c r="AI859" s="2" t="n">
        <f aca="false">IF(OR(ISBLANK(B859),ISBLANK(C859)),"",C859-B859)</f>
        <v>0</v>
      </c>
      <c r="AJ859" s="2" t="str">
        <f aca="false">IF(AI859="","Unknown",IF(AI859&lt;0,"Invalid","OK"))</f>
        <v>OK</v>
      </c>
      <c r="AK859" s="2" t="str">
        <f aca="false">IF(ISBLANK(B859),"",TEXT(B859,"mmm"))</f>
        <v>Jun</v>
      </c>
      <c r="AL859" s="2" t="n">
        <f aca="false">IF(ISBLANK(B859),"",YEAR(B859))</f>
        <v>2024</v>
      </c>
      <c r="AM859" s="2" t="s">
        <v>41</v>
      </c>
      <c r="AN859" s="2" t="str">
        <f aca="false">IF(OR(W859="Invalid",AJ859="Invalid",AH859="Inconsistent",Z859="Mismatch",AD859="Mismatch",AM859="Yes",D859="Yes",E859="Yes"),"Invalid",IF(OR(J859="Yes",Q859="Yes",U859="Yes"),"Warning","Clean"))</f>
        <v>Clean</v>
      </c>
    </row>
    <row r="860" customFormat="false" ht="15" hidden="false" customHeight="false" outlineLevel="0" collapsed="false">
      <c r="A860" s="2" t="s">
        <v>2668</v>
      </c>
      <c r="B860" s="3" t="n">
        <v>45414</v>
      </c>
      <c r="C860" s="3" t="n">
        <v>45421</v>
      </c>
      <c r="D860" s="2" t="s">
        <v>41</v>
      </c>
      <c r="E860" s="2" t="s">
        <v>41</v>
      </c>
      <c r="F860" s="2" t="s">
        <v>2669</v>
      </c>
      <c r="G860" s="2" t="s">
        <v>73</v>
      </c>
      <c r="H860" s="2" t="s">
        <v>44</v>
      </c>
      <c r="I860" s="2" t="s">
        <v>58</v>
      </c>
      <c r="J860" s="2" t="s">
        <v>41</v>
      </c>
      <c r="K860" s="2" t="s">
        <v>59</v>
      </c>
      <c r="L860" s="2" t="s">
        <v>60</v>
      </c>
      <c r="M860" s="2" t="s">
        <v>94</v>
      </c>
      <c r="N860" s="2" t="s">
        <v>95</v>
      </c>
      <c r="O860" s="2" t="s">
        <v>2670</v>
      </c>
      <c r="P860" s="2" t="s">
        <v>51</v>
      </c>
      <c r="Q860" s="2" t="s">
        <v>41</v>
      </c>
      <c r="R860" s="2" t="n">
        <v>4</v>
      </c>
      <c r="S860" s="2" t="n">
        <v>2904.86</v>
      </c>
      <c r="T860" s="2" t="n">
        <v>0</v>
      </c>
      <c r="U860" s="2" t="str">
        <f aca="false">IF(ISBLANK(T860),"Yes","No")</f>
        <v>No</v>
      </c>
      <c r="V860" s="2" t="n">
        <f aca="false">IF(ISBLANK(T860),0,IF(ISNUMBER(T860),T860,VALUE(LEFT(T860,LEN(T860)-1))/100))</f>
        <v>0</v>
      </c>
      <c r="W860" s="2" t="str">
        <f aca="false">IF(AND(V860&gt;=0,V860&lt;=0.25),"Valid","Invalid")</f>
        <v>Valid</v>
      </c>
      <c r="X860" s="2" t="n">
        <v>11619.44</v>
      </c>
      <c r="Y860" s="2" t="n">
        <f aca="false">R860*S860*(1-V860)</f>
        <v>11619.44</v>
      </c>
      <c r="Z860" s="2" t="str">
        <f aca="false">IF(ABS(X860-Y860)&gt;1,"Mismatch","OK")</f>
        <v>OK</v>
      </c>
      <c r="AA860" s="2" t="n">
        <v>7184.32</v>
      </c>
      <c r="AB860" s="2" t="n">
        <v>4494.64</v>
      </c>
      <c r="AC860" s="2" t="n">
        <f aca="false">Y860-AA860</f>
        <v>4435.12</v>
      </c>
      <c r="AD860" s="2" t="str">
        <f aca="false">IF(ABS(AB860-AC860)&gt;1,"Mismatch","OK")</f>
        <v>Mismatch</v>
      </c>
      <c r="AE860" s="4" t="n">
        <f aca="false">IF(Y860=0,0,AC860/Y860)</f>
        <v>0.381698257403111</v>
      </c>
      <c r="AF860" s="2" t="s">
        <v>52</v>
      </c>
      <c r="AG860" s="2" t="s">
        <v>53</v>
      </c>
      <c r="AH860" s="2" t="str">
        <f aca="false">IF(AND(AG860="Completed",AF860&lt;&gt;"Paid"),"Inconsistent","OK")</f>
        <v>OK</v>
      </c>
      <c r="AI860" s="2" t="n">
        <f aca="false">IF(OR(ISBLANK(B860),ISBLANK(C860)),"",C860-B860)</f>
        <v>7</v>
      </c>
      <c r="AJ860" s="2" t="str">
        <f aca="false">IF(AI860="","Unknown",IF(AI860&lt;0,"Invalid","OK"))</f>
        <v>OK</v>
      </c>
      <c r="AK860" s="2" t="str">
        <f aca="false">IF(ISBLANK(B860),"",TEXT(B860,"mmm"))</f>
        <v>May</v>
      </c>
      <c r="AL860" s="2" t="n">
        <f aca="false">IF(ISBLANK(B860),"",YEAR(B860))</f>
        <v>2024</v>
      </c>
      <c r="AM860" s="2" t="s">
        <v>41</v>
      </c>
      <c r="AN860" s="2" t="str">
        <f aca="false">IF(OR(W860="Invalid",AJ860="Invalid",AH860="Inconsistent",Z860="Mismatch",AD860="Mismatch",AM860="Yes",D860="Yes",E860="Yes"),"Invalid",IF(OR(J860="Yes",Q860="Yes",U860="Yes"),"Warning","Clean"))</f>
        <v>Invalid</v>
      </c>
    </row>
    <row r="861" customFormat="false" ht="15" hidden="false" customHeight="false" outlineLevel="0" collapsed="false">
      <c r="A861" s="2" t="s">
        <v>2671</v>
      </c>
      <c r="B861" s="3" t="n">
        <v>45592</v>
      </c>
      <c r="C861" s="3" t="n">
        <v>45597</v>
      </c>
      <c r="D861" s="2" t="s">
        <v>41</v>
      </c>
      <c r="E861" s="2" t="s">
        <v>41</v>
      </c>
      <c r="F861" s="2" t="s">
        <v>2672</v>
      </c>
      <c r="G861" s="2" t="s">
        <v>109</v>
      </c>
      <c r="H861" s="2" t="s">
        <v>110</v>
      </c>
      <c r="I861" s="2" t="s">
        <v>74</v>
      </c>
      <c r="J861" s="2" t="s">
        <v>41</v>
      </c>
      <c r="K861" s="2" t="s">
        <v>269</v>
      </c>
      <c r="L861" s="2" t="s">
        <v>270</v>
      </c>
      <c r="M861" s="2" t="s">
        <v>94</v>
      </c>
      <c r="N861" s="2" t="s">
        <v>191</v>
      </c>
      <c r="O861" s="2" t="s">
        <v>2673</v>
      </c>
      <c r="P861" s="2" t="s">
        <v>79</v>
      </c>
      <c r="Q861" s="2" t="s">
        <v>41</v>
      </c>
      <c r="R861" s="2" t="n">
        <v>6</v>
      </c>
      <c r="S861" s="2" t="n">
        <v>4399.2</v>
      </c>
      <c r="T861" s="2" t="n">
        <v>0.05</v>
      </c>
      <c r="U861" s="2" t="str">
        <f aca="false">IF(ISBLANK(T861),"Yes","No")</f>
        <v>No</v>
      </c>
      <c r="V861" s="2" t="n">
        <f aca="false">IF(ISBLANK(T861),0,IF(ISNUMBER(T861),T861,VALUE(LEFT(T861,LEN(T861)-1))/100))</f>
        <v>0.05</v>
      </c>
      <c r="W861" s="2" t="str">
        <f aca="false">IF(AND(V861&gt;=0,V861&lt;=0.25),"Valid","Invalid")</f>
        <v>Valid</v>
      </c>
      <c r="X861" s="2" t="n">
        <v>25075.44</v>
      </c>
      <c r="Y861" s="2" t="n">
        <f aca="false">R861*S861*(1-V861)</f>
        <v>25075.44</v>
      </c>
      <c r="Z861" s="2" t="str">
        <f aca="false">IF(ABS(X861-Y861)&gt;1,"Mismatch","OK")</f>
        <v>OK</v>
      </c>
      <c r="AA861" s="2" t="n">
        <v>16282.74</v>
      </c>
      <c r="AB861" s="2" t="n">
        <v>8792.7</v>
      </c>
      <c r="AC861" s="2" t="n">
        <f aca="false">Y861-AA861</f>
        <v>8792.7</v>
      </c>
      <c r="AD861" s="2" t="str">
        <f aca="false">IF(ABS(AB861-AC861)&gt;1,"Mismatch","OK")</f>
        <v>OK</v>
      </c>
      <c r="AE861" s="4" t="n">
        <f aca="false">IF(Y861=0,0,AC861/Y861)</f>
        <v>0.350649878925355</v>
      </c>
      <c r="AF861" s="2" t="s">
        <v>52</v>
      </c>
      <c r="AG861" s="2" t="s">
        <v>53</v>
      </c>
      <c r="AH861" s="2" t="str">
        <f aca="false">IF(AND(AG861="Completed",AF861&lt;&gt;"Paid"),"Inconsistent","OK")</f>
        <v>OK</v>
      </c>
      <c r="AI861" s="2" t="n">
        <f aca="false">IF(OR(ISBLANK(B861),ISBLANK(C861)),"",C861-B861)</f>
        <v>5</v>
      </c>
      <c r="AJ861" s="2" t="str">
        <f aca="false">IF(AI861="","Unknown",IF(AI861&lt;0,"Invalid","OK"))</f>
        <v>OK</v>
      </c>
      <c r="AK861" s="2" t="str">
        <f aca="false">IF(ISBLANK(B861),"",TEXT(B861,"mmm"))</f>
        <v>Oct</v>
      </c>
      <c r="AL861" s="2" t="n">
        <f aca="false">IF(ISBLANK(B861),"",YEAR(B861))</f>
        <v>2024</v>
      </c>
      <c r="AM861" s="2" t="s">
        <v>41</v>
      </c>
      <c r="AN861" s="2" t="str">
        <f aca="false">IF(OR(W861="Invalid",AJ861="Invalid",AH861="Inconsistent",Z861="Mismatch",AD861="Mismatch",AM861="Yes",D861="Yes",E861="Yes"),"Invalid",IF(OR(J861="Yes",Q861="Yes",U861="Yes"),"Warning","Clean"))</f>
        <v>Clean</v>
      </c>
    </row>
    <row r="862" customFormat="false" ht="15" hidden="false" customHeight="false" outlineLevel="0" collapsed="false">
      <c r="A862" s="2" t="s">
        <v>2674</v>
      </c>
      <c r="B862" s="3" t="n">
        <v>45324</v>
      </c>
      <c r="C862" s="3" t="n">
        <v>45326</v>
      </c>
      <c r="D862" s="2" t="s">
        <v>41</v>
      </c>
      <c r="E862" s="2" t="s">
        <v>41</v>
      </c>
      <c r="F862" s="2" t="s">
        <v>2675</v>
      </c>
      <c r="G862" s="2" t="s">
        <v>91</v>
      </c>
      <c r="H862" s="2" t="s">
        <v>115</v>
      </c>
      <c r="I862" s="2" t="s">
        <v>45</v>
      </c>
      <c r="J862" s="2" t="s">
        <v>41</v>
      </c>
      <c r="K862" s="2" t="s">
        <v>156</v>
      </c>
      <c r="L862" s="2" t="s">
        <v>157</v>
      </c>
      <c r="M862" s="2" t="s">
        <v>48</v>
      </c>
      <c r="N862" s="2" t="s">
        <v>144</v>
      </c>
      <c r="O862" s="2" t="s">
        <v>2676</v>
      </c>
      <c r="P862" s="2" t="s">
        <v>51</v>
      </c>
      <c r="Q862" s="2" t="s">
        <v>41</v>
      </c>
      <c r="R862" s="2" t="n">
        <v>1</v>
      </c>
      <c r="S862" s="2" t="n">
        <v>4397.32</v>
      </c>
      <c r="T862" s="2" t="n">
        <v>0.05</v>
      </c>
      <c r="U862" s="2" t="str">
        <f aca="false">IF(ISBLANK(T862),"Yes","No")</f>
        <v>No</v>
      </c>
      <c r="V862" s="2" t="n">
        <f aca="false">IF(ISBLANK(T862),0,IF(ISNUMBER(T862),T862,VALUE(LEFT(T862,LEN(T862)-1))/100))</f>
        <v>0.05</v>
      </c>
      <c r="W862" s="2" t="str">
        <f aca="false">IF(AND(V862&gt;=0,V862&lt;=0.25),"Valid","Invalid")</f>
        <v>Valid</v>
      </c>
      <c r="X862" s="2" t="n">
        <v>4177.45</v>
      </c>
      <c r="Y862" s="2" t="n">
        <f aca="false">R862*S862*(1-V862)</f>
        <v>4177.454</v>
      </c>
      <c r="Z862" s="2" t="str">
        <f aca="false">IF(ABS(X862-Y862)&gt;1,"Mismatch","OK")</f>
        <v>OK</v>
      </c>
      <c r="AA862" s="2" t="n">
        <v>2299.5</v>
      </c>
      <c r="AB862" s="2" t="n">
        <v>1877.95</v>
      </c>
      <c r="AC862" s="2" t="n">
        <f aca="false">Y862-AA862</f>
        <v>1877.954</v>
      </c>
      <c r="AD862" s="2" t="str">
        <f aca="false">IF(ABS(AB862-AC862)&gt;1,"Mismatch","OK")</f>
        <v>OK</v>
      </c>
      <c r="AE862" s="4" t="n">
        <f aca="false">IF(Y862=0,0,AC862/Y862)</f>
        <v>0.449545105703139</v>
      </c>
      <c r="AF862" s="2" t="s">
        <v>52</v>
      </c>
      <c r="AG862" s="2" t="s">
        <v>53</v>
      </c>
      <c r="AH862" s="2" t="str">
        <f aca="false">IF(AND(AG862="Completed",AF862&lt;&gt;"Paid"),"Inconsistent","OK")</f>
        <v>OK</v>
      </c>
      <c r="AI862" s="2" t="n">
        <f aca="false">IF(OR(ISBLANK(B862),ISBLANK(C862)),"",C862-B862)</f>
        <v>2</v>
      </c>
      <c r="AJ862" s="2" t="str">
        <f aca="false">IF(AI862="","Unknown",IF(AI862&lt;0,"Invalid","OK"))</f>
        <v>OK</v>
      </c>
      <c r="AK862" s="2" t="str">
        <f aca="false">IF(ISBLANK(B862),"",TEXT(B862,"mmm"))</f>
        <v>Feb</v>
      </c>
      <c r="AL862" s="2" t="n">
        <f aca="false">IF(ISBLANK(B862),"",YEAR(B862))</f>
        <v>2024</v>
      </c>
      <c r="AM862" s="2" t="s">
        <v>41</v>
      </c>
      <c r="AN862" s="2" t="str">
        <f aca="false">IF(OR(W862="Invalid",AJ862="Invalid",AH862="Inconsistent",Z862="Mismatch",AD862="Mismatch",AM862="Yes",D862="Yes",E862="Yes"),"Invalid",IF(OR(J862="Yes",Q862="Yes",U862="Yes"),"Warning","Clean"))</f>
        <v>Clean</v>
      </c>
    </row>
    <row r="863" customFormat="false" ht="15" hidden="false" customHeight="false" outlineLevel="0" collapsed="false">
      <c r="A863" s="2" t="s">
        <v>2677</v>
      </c>
      <c r="B863" s="3" t="n">
        <v>45724</v>
      </c>
      <c r="C863" s="3" t="n">
        <v>45725</v>
      </c>
      <c r="D863" s="2" t="s">
        <v>41</v>
      </c>
      <c r="E863" s="2" t="s">
        <v>41</v>
      </c>
      <c r="F863" s="2" t="s">
        <v>2678</v>
      </c>
      <c r="G863" s="2" t="s">
        <v>134</v>
      </c>
      <c r="H863" s="2" t="s">
        <v>115</v>
      </c>
      <c r="I863" s="2" t="s">
        <v>45</v>
      </c>
      <c r="J863" s="2" t="s">
        <v>41</v>
      </c>
      <c r="K863" s="2" t="s">
        <v>372</v>
      </c>
      <c r="L863" s="2" t="s">
        <v>373</v>
      </c>
      <c r="M863" s="2" t="s">
        <v>61</v>
      </c>
      <c r="N863" s="2" t="s">
        <v>77</v>
      </c>
      <c r="O863" s="2" t="s">
        <v>2679</v>
      </c>
      <c r="P863" s="2" t="s">
        <v>64</v>
      </c>
      <c r="Q863" s="2" t="s">
        <v>41</v>
      </c>
      <c r="R863" s="2" t="n">
        <v>4</v>
      </c>
      <c r="S863" s="2" t="n">
        <v>3405.68</v>
      </c>
      <c r="T863" s="2" t="n">
        <v>0.2</v>
      </c>
      <c r="U863" s="2" t="str">
        <f aca="false">IF(ISBLANK(T863),"Yes","No")</f>
        <v>No</v>
      </c>
      <c r="V863" s="2" t="n">
        <f aca="false">IF(ISBLANK(T863),0,IF(ISNUMBER(T863),T863,VALUE(LEFT(T863,LEN(T863)-1))/100))</f>
        <v>0.2</v>
      </c>
      <c r="W863" s="2" t="str">
        <f aca="false">IF(AND(V863&gt;=0,V863&lt;=0.25),"Valid","Invalid")</f>
        <v>Valid</v>
      </c>
      <c r="X863" s="2" t="n">
        <v>10898.18</v>
      </c>
      <c r="Y863" s="2" t="n">
        <f aca="false">R863*S863*(1-V863)</f>
        <v>10898.176</v>
      </c>
      <c r="Z863" s="2" t="str">
        <f aca="false">IF(ABS(X863-Y863)&gt;1,"Mismatch","OK")</f>
        <v>OK</v>
      </c>
      <c r="AA863" s="2" t="n">
        <v>6231.41</v>
      </c>
      <c r="AB863" s="2" t="n">
        <v>4666.77</v>
      </c>
      <c r="AC863" s="2" t="n">
        <f aca="false">Y863-AA863</f>
        <v>4666.766</v>
      </c>
      <c r="AD863" s="2" t="str">
        <f aca="false">IF(ABS(AB863-AC863)&gt;1,"Mismatch","OK")</f>
        <v>OK</v>
      </c>
      <c r="AE863" s="4" t="n">
        <f aca="false">IF(Y863=0,0,AC863/Y863)</f>
        <v>0.428215327041883</v>
      </c>
      <c r="AF863" s="2" t="s">
        <v>52</v>
      </c>
      <c r="AG863" s="2" t="s">
        <v>53</v>
      </c>
      <c r="AH863" s="2" t="str">
        <f aca="false">IF(AND(AG863="Completed",AF863&lt;&gt;"Paid"),"Inconsistent","OK")</f>
        <v>OK</v>
      </c>
      <c r="AI863" s="2" t="n">
        <f aca="false">IF(OR(ISBLANK(B863),ISBLANK(C863)),"",C863-B863)</f>
        <v>1</v>
      </c>
      <c r="AJ863" s="2" t="str">
        <f aca="false">IF(AI863="","Unknown",IF(AI863&lt;0,"Invalid","OK"))</f>
        <v>OK</v>
      </c>
      <c r="AK863" s="2" t="str">
        <f aca="false">IF(ISBLANK(B863),"",TEXT(B863,"mmm"))</f>
        <v>Mar</v>
      </c>
      <c r="AL863" s="2" t="n">
        <f aca="false">IF(ISBLANK(B863),"",YEAR(B863))</f>
        <v>2025</v>
      </c>
      <c r="AM863" s="2" t="s">
        <v>41</v>
      </c>
      <c r="AN863" s="2" t="str">
        <f aca="false">IF(OR(W863="Invalid",AJ863="Invalid",AH863="Inconsistent",Z863="Mismatch",AD863="Mismatch",AM863="Yes",D863="Yes",E863="Yes"),"Invalid",IF(OR(J863="Yes",Q863="Yes",U863="Yes"),"Warning","Clean"))</f>
        <v>Clean</v>
      </c>
    </row>
    <row r="864" customFormat="false" ht="15" hidden="false" customHeight="false" outlineLevel="0" collapsed="false">
      <c r="A864" s="2" t="s">
        <v>2680</v>
      </c>
      <c r="B864" s="3" t="n">
        <v>45742</v>
      </c>
      <c r="C864" s="3" t="n">
        <v>45747</v>
      </c>
      <c r="D864" s="2" t="s">
        <v>41</v>
      </c>
      <c r="E864" s="2" t="s">
        <v>41</v>
      </c>
      <c r="F864" s="2" t="s">
        <v>2681</v>
      </c>
      <c r="G864" s="2" t="s">
        <v>134</v>
      </c>
      <c r="H864" s="2" t="s">
        <v>57</v>
      </c>
      <c r="I864" s="2" t="s">
        <v>58</v>
      </c>
      <c r="J864" s="2" t="s">
        <v>41</v>
      </c>
      <c r="K864" s="2" t="s">
        <v>250</v>
      </c>
      <c r="L864" s="2" t="s">
        <v>251</v>
      </c>
      <c r="M864" s="2" t="s">
        <v>48</v>
      </c>
      <c r="N864" s="2" t="s">
        <v>173</v>
      </c>
      <c r="O864" s="2" t="s">
        <v>2682</v>
      </c>
      <c r="P864" s="2" t="s">
        <v>70</v>
      </c>
      <c r="Q864" s="2" t="s">
        <v>41</v>
      </c>
      <c r="R864" s="2" t="n">
        <v>5</v>
      </c>
      <c r="S864" s="2" t="n">
        <v>1395.14</v>
      </c>
      <c r="T864" s="2" t="n">
        <v>0</v>
      </c>
      <c r="U864" s="2" t="str">
        <f aca="false">IF(ISBLANK(T864),"Yes","No")</f>
        <v>No</v>
      </c>
      <c r="V864" s="2" t="n">
        <f aca="false">IF(ISBLANK(T864),0,IF(ISNUMBER(T864),T864,VALUE(LEFT(T864,LEN(T864)-1))/100))</f>
        <v>0</v>
      </c>
      <c r="W864" s="2" t="str">
        <f aca="false">IF(AND(V864&gt;=0,V864&lt;=0.25),"Valid","Invalid")</f>
        <v>Valid</v>
      </c>
      <c r="X864" s="2" t="n">
        <v>6975.7</v>
      </c>
      <c r="Y864" s="2" t="n">
        <f aca="false">R864*S864*(1-V864)</f>
        <v>6975.7</v>
      </c>
      <c r="Z864" s="2" t="str">
        <f aca="false">IF(ABS(X864-Y864)&gt;1,"Mismatch","OK")</f>
        <v>OK</v>
      </c>
      <c r="AA864" s="2" t="n">
        <v>4797.88</v>
      </c>
      <c r="AB864" s="2" t="n">
        <v>2177.82</v>
      </c>
      <c r="AC864" s="2" t="n">
        <f aca="false">Y864-AA864</f>
        <v>2177.82</v>
      </c>
      <c r="AD864" s="2" t="str">
        <f aca="false">IF(ABS(AB864-AC864)&gt;1,"Mismatch","OK")</f>
        <v>OK</v>
      </c>
      <c r="AE864" s="4" t="n">
        <f aca="false">IF(Y864=0,0,AC864/Y864)</f>
        <v>0.312200926071936</v>
      </c>
      <c r="AF864" s="2" t="s">
        <v>52</v>
      </c>
      <c r="AG864" s="2" t="s">
        <v>88</v>
      </c>
      <c r="AH864" s="2" t="str">
        <f aca="false">IF(AND(AG864="Completed",AF864&lt;&gt;"Paid"),"Inconsistent","OK")</f>
        <v>OK</v>
      </c>
      <c r="AI864" s="2" t="n">
        <f aca="false">IF(OR(ISBLANK(B864),ISBLANK(C864)),"",C864-B864)</f>
        <v>5</v>
      </c>
      <c r="AJ864" s="2" t="str">
        <f aca="false">IF(AI864="","Unknown",IF(AI864&lt;0,"Invalid","OK"))</f>
        <v>OK</v>
      </c>
      <c r="AK864" s="2" t="str">
        <f aca="false">IF(ISBLANK(B864),"",TEXT(B864,"mmm"))</f>
        <v>Mar</v>
      </c>
      <c r="AL864" s="2" t="n">
        <f aca="false">IF(ISBLANK(B864),"",YEAR(B864))</f>
        <v>2025</v>
      </c>
      <c r="AM864" s="2" t="s">
        <v>41</v>
      </c>
      <c r="AN864" s="2" t="str">
        <f aca="false">IF(OR(W864="Invalid",AJ864="Invalid",AH864="Inconsistent",Z864="Mismatch",AD864="Mismatch",AM864="Yes",D864="Yes",E864="Yes"),"Invalid",IF(OR(J864="Yes",Q864="Yes",U864="Yes"),"Warning","Clean"))</f>
        <v>Clean</v>
      </c>
    </row>
    <row r="865" customFormat="false" ht="15" hidden="false" customHeight="false" outlineLevel="0" collapsed="false">
      <c r="A865" s="2" t="s">
        <v>2683</v>
      </c>
      <c r="B865" s="3" t="n">
        <v>45906</v>
      </c>
      <c r="C865" s="3" t="n">
        <v>45908</v>
      </c>
      <c r="D865" s="2" t="s">
        <v>41</v>
      </c>
      <c r="E865" s="2" t="s">
        <v>41</v>
      </c>
      <c r="F865" s="2" t="s">
        <v>2684</v>
      </c>
      <c r="G865" s="2" t="s">
        <v>148</v>
      </c>
      <c r="H865" s="2" t="s">
        <v>115</v>
      </c>
      <c r="I865" s="2" t="s">
        <v>83</v>
      </c>
      <c r="J865" s="2" t="s">
        <v>41</v>
      </c>
      <c r="K865" s="2" t="s">
        <v>92</v>
      </c>
      <c r="L865" s="2" t="s">
        <v>93</v>
      </c>
      <c r="M865" s="2" t="s">
        <v>61</v>
      </c>
      <c r="N865" s="2" t="s">
        <v>77</v>
      </c>
      <c r="O865" s="2" t="s">
        <v>2685</v>
      </c>
      <c r="P865" s="2" t="s">
        <v>64</v>
      </c>
      <c r="Q865" s="2" t="s">
        <v>41</v>
      </c>
      <c r="R865" s="2" t="n">
        <v>3</v>
      </c>
      <c r="S865" s="2" t="n">
        <v>2937.23</v>
      </c>
      <c r="T865" s="2" t="n">
        <v>0</v>
      </c>
      <c r="U865" s="2" t="str">
        <f aca="false">IF(ISBLANK(T865),"Yes","No")</f>
        <v>No</v>
      </c>
      <c r="V865" s="2" t="n">
        <f aca="false">IF(ISBLANK(T865),0,IF(ISNUMBER(T865),T865,VALUE(LEFT(T865,LEN(T865)-1))/100))</f>
        <v>0</v>
      </c>
      <c r="W865" s="2" t="str">
        <f aca="false">IF(AND(V865&gt;=0,V865&lt;=0.25),"Valid","Invalid")</f>
        <v>Valid</v>
      </c>
      <c r="X865" s="2" t="n">
        <v>8811.69</v>
      </c>
      <c r="Y865" s="2" t="n">
        <f aca="false">R865*S865*(1-V865)</f>
        <v>8811.69</v>
      </c>
      <c r="Z865" s="2" t="str">
        <f aca="false">IF(ABS(X865-Y865)&gt;1,"Mismatch","OK")</f>
        <v>OK</v>
      </c>
      <c r="AA865" s="2" t="n">
        <v>6765.91</v>
      </c>
      <c r="AB865" s="2" t="n">
        <v>2045.78</v>
      </c>
      <c r="AC865" s="2" t="n">
        <f aca="false">Y865-AA865</f>
        <v>2045.78</v>
      </c>
      <c r="AD865" s="2" t="str">
        <f aca="false">IF(ABS(AB865-AC865)&gt;1,"Mismatch","OK")</f>
        <v>OK</v>
      </c>
      <c r="AE865" s="4" t="n">
        <f aca="false">IF(Y865=0,0,AC865/Y865)</f>
        <v>0.232166587794169</v>
      </c>
      <c r="AF865" s="2" t="s">
        <v>52</v>
      </c>
      <c r="AG865" s="2" t="s">
        <v>53</v>
      </c>
      <c r="AH865" s="2" t="str">
        <f aca="false">IF(AND(AG865="Completed",AF865&lt;&gt;"Paid"),"Inconsistent","OK")</f>
        <v>OK</v>
      </c>
      <c r="AI865" s="2" t="n">
        <f aca="false">IF(OR(ISBLANK(B865),ISBLANK(C865)),"",C865-B865)</f>
        <v>2</v>
      </c>
      <c r="AJ865" s="2" t="str">
        <f aca="false">IF(AI865="","Unknown",IF(AI865&lt;0,"Invalid","OK"))</f>
        <v>OK</v>
      </c>
      <c r="AK865" s="2" t="str">
        <f aca="false">IF(ISBLANK(B865),"",TEXT(B865,"mmm"))</f>
        <v>Sep</v>
      </c>
      <c r="AL865" s="2" t="n">
        <f aca="false">IF(ISBLANK(B865),"",YEAR(B865))</f>
        <v>2025</v>
      </c>
      <c r="AM865" s="2" t="s">
        <v>41</v>
      </c>
      <c r="AN865" s="2" t="str">
        <f aca="false">IF(OR(W865="Invalid",AJ865="Invalid",AH865="Inconsistent",Z865="Mismatch",AD865="Mismatch",AM865="Yes",D865="Yes",E865="Yes"),"Invalid",IF(OR(J865="Yes",Q865="Yes",U865="Yes"),"Warning","Clean"))</f>
        <v>Clean</v>
      </c>
    </row>
    <row r="866" customFormat="false" ht="15" hidden="false" customHeight="false" outlineLevel="0" collapsed="false">
      <c r="A866" s="2" t="s">
        <v>2686</v>
      </c>
      <c r="B866" s="3" t="n">
        <v>45902</v>
      </c>
      <c r="C866" s="3" t="n">
        <v>45905</v>
      </c>
      <c r="D866" s="2" t="s">
        <v>41</v>
      </c>
      <c r="E866" s="2" t="s">
        <v>41</v>
      </c>
      <c r="F866" s="2" t="s">
        <v>2687</v>
      </c>
      <c r="G866" s="2" t="s">
        <v>91</v>
      </c>
      <c r="H866" s="2" t="s">
        <v>44</v>
      </c>
      <c r="I866" s="2" t="s">
        <v>74</v>
      </c>
      <c r="J866" s="2" t="s">
        <v>41</v>
      </c>
      <c r="K866" s="2" t="s">
        <v>269</v>
      </c>
      <c r="L866" s="2" t="s">
        <v>270</v>
      </c>
      <c r="M866" s="2" t="s">
        <v>94</v>
      </c>
      <c r="N866" s="2" t="s">
        <v>191</v>
      </c>
      <c r="O866" s="2" t="s">
        <v>2688</v>
      </c>
      <c r="P866" s="2" t="s">
        <v>70</v>
      </c>
      <c r="Q866" s="2" t="s">
        <v>41</v>
      </c>
      <c r="R866" s="2" t="n">
        <v>5</v>
      </c>
      <c r="S866" s="2" t="n">
        <v>3406.87</v>
      </c>
      <c r="T866" s="2" t="n">
        <v>0</v>
      </c>
      <c r="U866" s="2" t="str">
        <f aca="false">IF(ISBLANK(T866),"Yes","No")</f>
        <v>No</v>
      </c>
      <c r="V866" s="2" t="n">
        <f aca="false">IF(ISBLANK(T866),0,IF(ISNUMBER(T866),T866,VALUE(LEFT(T866,LEN(T866)-1))/100))</f>
        <v>0</v>
      </c>
      <c r="W866" s="2" t="str">
        <f aca="false">IF(AND(V866&gt;=0,V866&lt;=0.25),"Valid","Invalid")</f>
        <v>Valid</v>
      </c>
      <c r="X866" s="2" t="n">
        <v>17034.35</v>
      </c>
      <c r="Y866" s="2" t="n">
        <f aca="false">R866*S866*(1-V866)</f>
        <v>17034.35</v>
      </c>
      <c r="Z866" s="2" t="str">
        <f aca="false">IF(ABS(X866-Y866)&gt;1,"Mismatch","OK")</f>
        <v>OK</v>
      </c>
      <c r="AA866" s="2" t="n">
        <v>14631.36</v>
      </c>
      <c r="AB866" s="2" t="n">
        <v>2402.99</v>
      </c>
      <c r="AC866" s="2" t="n">
        <f aca="false">Y866-AA866</f>
        <v>2402.99</v>
      </c>
      <c r="AD866" s="2" t="str">
        <f aca="false">IF(ABS(AB866-AC866)&gt;1,"Mismatch","OK")</f>
        <v>OK</v>
      </c>
      <c r="AE866" s="4" t="n">
        <f aca="false">IF(Y866=0,0,AC866/Y866)</f>
        <v>0.141067313986151</v>
      </c>
      <c r="AF866" s="2" t="s">
        <v>52</v>
      </c>
      <c r="AG866" s="2" t="s">
        <v>53</v>
      </c>
      <c r="AH866" s="2" t="str">
        <f aca="false">IF(AND(AG866="Completed",AF866&lt;&gt;"Paid"),"Inconsistent","OK")</f>
        <v>OK</v>
      </c>
      <c r="AI866" s="2" t="n">
        <f aca="false">IF(OR(ISBLANK(B866),ISBLANK(C866)),"",C866-B866)</f>
        <v>3</v>
      </c>
      <c r="AJ866" s="2" t="str">
        <f aca="false">IF(AI866="","Unknown",IF(AI866&lt;0,"Invalid","OK"))</f>
        <v>OK</v>
      </c>
      <c r="AK866" s="2" t="str">
        <f aca="false">IF(ISBLANK(B866),"",TEXT(B866,"mmm"))</f>
        <v>Sep</v>
      </c>
      <c r="AL866" s="2" t="n">
        <f aca="false">IF(ISBLANK(B866),"",YEAR(B866))</f>
        <v>2025</v>
      </c>
      <c r="AM866" s="2" t="s">
        <v>41</v>
      </c>
      <c r="AN866" s="2" t="str">
        <f aca="false">IF(OR(W866="Invalid",AJ866="Invalid",AH866="Inconsistent",Z866="Mismatch",AD866="Mismatch",AM866="Yes",D866="Yes",E866="Yes"),"Invalid",IF(OR(J866="Yes",Q866="Yes",U866="Yes"),"Warning","Clean"))</f>
        <v>Clean</v>
      </c>
    </row>
    <row r="867" customFormat="false" ht="15" hidden="false" customHeight="false" outlineLevel="0" collapsed="false">
      <c r="A867" s="2" t="s">
        <v>2689</v>
      </c>
      <c r="B867" s="3" t="n">
        <v>45694</v>
      </c>
      <c r="C867" s="3" t="n">
        <v>45702</v>
      </c>
      <c r="D867" s="2" t="s">
        <v>41</v>
      </c>
      <c r="E867" s="2" t="s">
        <v>41</v>
      </c>
      <c r="F867" s="2" t="s">
        <v>2690</v>
      </c>
      <c r="G867" s="2" t="s">
        <v>286</v>
      </c>
      <c r="H867" s="2" t="s">
        <v>44</v>
      </c>
      <c r="I867" s="2" t="s">
        <v>83</v>
      </c>
      <c r="J867" s="2" t="s">
        <v>41</v>
      </c>
      <c r="K867" s="2" t="s">
        <v>84</v>
      </c>
      <c r="L867" s="2" t="s">
        <v>85</v>
      </c>
      <c r="M867" s="2" t="s">
        <v>48</v>
      </c>
      <c r="N867" s="2" t="s">
        <v>111</v>
      </c>
      <c r="O867" s="2" t="s">
        <v>2691</v>
      </c>
      <c r="P867" s="2" t="s">
        <v>51</v>
      </c>
      <c r="Q867" s="2" t="s">
        <v>41</v>
      </c>
      <c r="R867" s="2" t="n">
        <v>2</v>
      </c>
      <c r="S867" s="2" t="n">
        <v>3992.04</v>
      </c>
      <c r="T867" s="2" t="n">
        <v>0</v>
      </c>
      <c r="U867" s="2" t="str">
        <f aca="false">IF(ISBLANK(T867),"Yes","No")</f>
        <v>No</v>
      </c>
      <c r="V867" s="2" t="n">
        <f aca="false">IF(ISBLANK(T867),0,IF(ISNUMBER(T867),T867,VALUE(LEFT(T867,LEN(T867)-1))/100))</f>
        <v>0</v>
      </c>
      <c r="W867" s="2" t="str">
        <f aca="false">IF(AND(V867&gt;=0,V867&lt;=0.25),"Valid","Invalid")</f>
        <v>Valid</v>
      </c>
      <c r="X867" s="2" t="n">
        <v>7984.08</v>
      </c>
      <c r="Y867" s="2" t="n">
        <f aca="false">R867*S867*(1-V867)</f>
        <v>7984.08</v>
      </c>
      <c r="Z867" s="2" t="str">
        <f aca="false">IF(ABS(X867-Y867)&gt;1,"Mismatch","OK")</f>
        <v>OK</v>
      </c>
      <c r="AA867" s="2" t="n">
        <v>5658.05</v>
      </c>
      <c r="AB867" s="2" t="n">
        <v>2326.03</v>
      </c>
      <c r="AC867" s="2" t="n">
        <f aca="false">Y867-AA867</f>
        <v>2326.03</v>
      </c>
      <c r="AD867" s="2" t="str">
        <f aca="false">IF(ABS(AB867-AC867)&gt;1,"Mismatch","OK")</f>
        <v>OK</v>
      </c>
      <c r="AE867" s="4" t="n">
        <f aca="false">IF(Y867=0,0,AC867/Y867)</f>
        <v>0.291333503672308</v>
      </c>
      <c r="AF867" s="2" t="s">
        <v>52</v>
      </c>
      <c r="AG867" s="2" t="s">
        <v>53</v>
      </c>
      <c r="AH867" s="2" t="str">
        <f aca="false">IF(AND(AG867="Completed",AF867&lt;&gt;"Paid"),"Inconsistent","OK")</f>
        <v>OK</v>
      </c>
      <c r="AI867" s="2" t="n">
        <f aca="false">IF(OR(ISBLANK(B867),ISBLANK(C867)),"",C867-B867)</f>
        <v>8</v>
      </c>
      <c r="AJ867" s="2" t="str">
        <f aca="false">IF(AI867="","Unknown",IF(AI867&lt;0,"Invalid","OK"))</f>
        <v>OK</v>
      </c>
      <c r="AK867" s="2" t="str">
        <f aca="false">IF(ISBLANK(B867),"",TEXT(B867,"mmm"))</f>
        <v>Feb</v>
      </c>
      <c r="AL867" s="2" t="n">
        <f aca="false">IF(ISBLANK(B867),"",YEAR(B867))</f>
        <v>2025</v>
      </c>
      <c r="AM867" s="2" t="s">
        <v>41</v>
      </c>
      <c r="AN867" s="2" t="str">
        <f aca="false">IF(OR(W867="Invalid",AJ867="Invalid",AH867="Inconsistent",Z867="Mismatch",AD867="Mismatch",AM867="Yes",D867="Yes",E867="Yes"),"Invalid",IF(OR(J867="Yes",Q867="Yes",U867="Yes"),"Warning","Clean"))</f>
        <v>Clean</v>
      </c>
    </row>
    <row r="868" customFormat="false" ht="15" hidden="false" customHeight="false" outlineLevel="0" collapsed="false">
      <c r="A868" s="2" t="s">
        <v>2692</v>
      </c>
      <c r="B868" s="3" t="n">
        <v>45714</v>
      </c>
      <c r="C868" s="3" t="n">
        <v>45722</v>
      </c>
      <c r="D868" s="2" t="s">
        <v>41</v>
      </c>
      <c r="E868" s="2" t="s">
        <v>41</v>
      </c>
      <c r="F868" s="2" t="s">
        <v>2693</v>
      </c>
      <c r="G868" s="2" t="s">
        <v>134</v>
      </c>
      <c r="H868" s="2" t="s">
        <v>44</v>
      </c>
      <c r="I868" s="2" t="s">
        <v>58</v>
      </c>
      <c r="J868" s="2" t="s">
        <v>41</v>
      </c>
      <c r="K868" s="2" t="s">
        <v>165</v>
      </c>
      <c r="L868" s="2" t="s">
        <v>166</v>
      </c>
      <c r="M868" s="2" t="s">
        <v>61</v>
      </c>
      <c r="N868" s="2" t="s">
        <v>178</v>
      </c>
      <c r="O868" s="2" t="s">
        <v>2694</v>
      </c>
      <c r="P868" s="2" t="s">
        <v>70</v>
      </c>
      <c r="Q868" s="2" t="s">
        <v>41</v>
      </c>
      <c r="R868" s="2" t="n">
        <v>9</v>
      </c>
      <c r="S868" s="2" t="n">
        <v>3043.37</v>
      </c>
      <c r="T868" s="2" t="n">
        <v>0.2</v>
      </c>
      <c r="U868" s="2" t="str">
        <f aca="false">IF(ISBLANK(T868),"Yes","No")</f>
        <v>No</v>
      </c>
      <c r="V868" s="2" t="n">
        <f aca="false">IF(ISBLANK(T868),0,IF(ISNUMBER(T868),T868,VALUE(LEFT(T868,LEN(T868)-1))/100))</f>
        <v>0.2</v>
      </c>
      <c r="W868" s="2" t="str">
        <f aca="false">IF(AND(V868&gt;=0,V868&lt;=0.25),"Valid","Invalid")</f>
        <v>Valid</v>
      </c>
      <c r="X868" s="2" t="n">
        <v>21912.26</v>
      </c>
      <c r="Y868" s="2" t="n">
        <f aca="false">R868*S868*(1-V868)</f>
        <v>21912.264</v>
      </c>
      <c r="Z868" s="2" t="str">
        <f aca="false">IF(ABS(X868-Y868)&gt;1,"Mismatch","OK")</f>
        <v>OK</v>
      </c>
      <c r="AA868" s="2" t="n">
        <v>16367.78</v>
      </c>
      <c r="AB868" s="2" t="n">
        <v>5544.48</v>
      </c>
      <c r="AC868" s="2" t="n">
        <f aca="false">Y868-AA868</f>
        <v>5544.484</v>
      </c>
      <c r="AD868" s="2" t="str">
        <f aca="false">IF(ABS(AB868-AC868)&gt;1,"Mismatch","OK")</f>
        <v>OK</v>
      </c>
      <c r="AE868" s="4" t="n">
        <f aca="false">IF(Y868=0,0,AC868/Y868)</f>
        <v>0.25303108797886</v>
      </c>
      <c r="AF868" s="2" t="s">
        <v>131</v>
      </c>
      <c r="AG868" s="2" t="s">
        <v>88</v>
      </c>
      <c r="AH868" s="2" t="str">
        <f aca="false">IF(AND(AG868="Completed",AF868&lt;&gt;"Paid"),"Inconsistent","OK")</f>
        <v>OK</v>
      </c>
      <c r="AI868" s="2" t="n">
        <f aca="false">IF(OR(ISBLANK(B868),ISBLANK(C868)),"",C868-B868)</f>
        <v>8</v>
      </c>
      <c r="AJ868" s="2" t="str">
        <f aca="false">IF(AI868="","Unknown",IF(AI868&lt;0,"Invalid","OK"))</f>
        <v>OK</v>
      </c>
      <c r="AK868" s="2" t="str">
        <f aca="false">IF(ISBLANK(B868),"",TEXT(B868,"mmm"))</f>
        <v>Feb</v>
      </c>
      <c r="AL868" s="2" t="n">
        <f aca="false">IF(ISBLANK(B868),"",YEAR(B868))</f>
        <v>2025</v>
      </c>
      <c r="AM868" s="2" t="s">
        <v>41</v>
      </c>
      <c r="AN868" s="2" t="str">
        <f aca="false">IF(OR(W868="Invalid",AJ868="Invalid",AH868="Inconsistent",Z868="Mismatch",AD868="Mismatch",AM868="Yes",D868="Yes",E868="Yes"),"Invalid",IF(OR(J868="Yes",Q868="Yes",U868="Yes"),"Warning","Clean"))</f>
        <v>Clean</v>
      </c>
    </row>
    <row r="869" customFormat="false" ht="15" hidden="false" customHeight="false" outlineLevel="0" collapsed="false">
      <c r="A869" s="2" t="s">
        <v>2695</v>
      </c>
      <c r="B869" s="3" t="n">
        <v>45617</v>
      </c>
      <c r="C869" s="3" t="n">
        <v>45618</v>
      </c>
      <c r="D869" s="2" t="s">
        <v>41</v>
      </c>
      <c r="E869" s="2" t="s">
        <v>41</v>
      </c>
      <c r="F869" s="2" t="s">
        <v>2696</v>
      </c>
      <c r="G869" s="2" t="s">
        <v>138</v>
      </c>
      <c r="H869" s="2" t="s">
        <v>115</v>
      </c>
      <c r="I869" s="2" t="s">
        <v>74</v>
      </c>
      <c r="J869" s="2" t="s">
        <v>41</v>
      </c>
      <c r="K869" s="2" t="s">
        <v>104</v>
      </c>
      <c r="L869" s="2" t="s">
        <v>105</v>
      </c>
      <c r="M869" s="2" t="s">
        <v>94</v>
      </c>
      <c r="N869" s="2" t="s">
        <v>95</v>
      </c>
      <c r="O869" s="2" t="s">
        <v>2697</v>
      </c>
      <c r="P869" s="2" t="s">
        <v>64</v>
      </c>
      <c r="Q869" s="2" t="s">
        <v>41</v>
      </c>
      <c r="R869" s="2" t="n">
        <v>6</v>
      </c>
      <c r="S869" s="2" t="n">
        <v>1043.49</v>
      </c>
      <c r="T869" s="2" t="n">
        <v>0.25</v>
      </c>
      <c r="U869" s="2" t="str">
        <f aca="false">IF(ISBLANK(T869),"Yes","No")</f>
        <v>No</v>
      </c>
      <c r="V869" s="2" t="n">
        <f aca="false">IF(ISBLANK(T869),0,IF(ISNUMBER(T869),T869,VALUE(LEFT(T869,LEN(T869)-1))/100))</f>
        <v>0.25</v>
      </c>
      <c r="W869" s="2" t="str">
        <f aca="false">IF(AND(V869&gt;=0,V869&lt;=0.25),"Valid","Invalid")</f>
        <v>Valid</v>
      </c>
      <c r="X869" s="2" t="n">
        <v>4695.7</v>
      </c>
      <c r="Y869" s="2" t="n">
        <f aca="false">R869*S869*(1-V869)</f>
        <v>4695.705</v>
      </c>
      <c r="Z869" s="2" t="str">
        <f aca="false">IF(ABS(X869-Y869)&gt;1,"Mismatch","OK")</f>
        <v>OK</v>
      </c>
      <c r="AA869" s="2" t="n">
        <v>3871.69</v>
      </c>
      <c r="AB869" s="2" t="n">
        <v>824.01</v>
      </c>
      <c r="AC869" s="2" t="n">
        <f aca="false">Y869-AA869</f>
        <v>824.015</v>
      </c>
      <c r="AD869" s="2" t="str">
        <f aca="false">IF(ABS(AB869-AC869)&gt;1,"Mismatch","OK")</f>
        <v>OK</v>
      </c>
      <c r="AE869" s="4" t="n">
        <f aca="false">IF(Y869=0,0,AC869/Y869)</f>
        <v>0.175482701745531</v>
      </c>
      <c r="AF869" s="2" t="s">
        <v>175</v>
      </c>
      <c r="AG869" s="2" t="s">
        <v>88</v>
      </c>
      <c r="AH869" s="2" t="str">
        <f aca="false">IF(AND(AG869="Completed",AF869&lt;&gt;"Paid"),"Inconsistent","OK")</f>
        <v>OK</v>
      </c>
      <c r="AI869" s="2" t="n">
        <f aca="false">IF(OR(ISBLANK(B869),ISBLANK(C869)),"",C869-B869)</f>
        <v>1</v>
      </c>
      <c r="AJ869" s="2" t="str">
        <f aca="false">IF(AI869="","Unknown",IF(AI869&lt;0,"Invalid","OK"))</f>
        <v>OK</v>
      </c>
      <c r="AK869" s="2" t="str">
        <f aca="false">IF(ISBLANK(B869),"",TEXT(B869,"mmm"))</f>
        <v>Nov</v>
      </c>
      <c r="AL869" s="2" t="n">
        <f aca="false">IF(ISBLANK(B869),"",YEAR(B869))</f>
        <v>2024</v>
      </c>
      <c r="AM869" s="2" t="s">
        <v>41</v>
      </c>
      <c r="AN869" s="2" t="str">
        <f aca="false">IF(OR(W869="Invalid",AJ869="Invalid",AH869="Inconsistent",Z869="Mismatch",AD869="Mismatch",AM869="Yes",D869="Yes",E869="Yes"),"Invalid",IF(OR(J869="Yes",Q869="Yes",U869="Yes"),"Warning","Clean"))</f>
        <v>Clean</v>
      </c>
    </row>
    <row r="870" customFormat="false" ht="15" hidden="false" customHeight="false" outlineLevel="0" collapsed="false">
      <c r="A870" s="2" t="s">
        <v>2698</v>
      </c>
      <c r="B870" s="3" t="n">
        <v>45758</v>
      </c>
      <c r="C870" s="3" t="n">
        <v>45762</v>
      </c>
      <c r="D870" s="2" t="s">
        <v>41</v>
      </c>
      <c r="E870" s="2" t="s">
        <v>41</v>
      </c>
      <c r="F870" s="2" t="s">
        <v>2699</v>
      </c>
      <c r="G870" s="2" t="s">
        <v>91</v>
      </c>
      <c r="H870" s="2" t="s">
        <v>115</v>
      </c>
      <c r="I870" s="2" t="s">
        <v>74</v>
      </c>
      <c r="J870" s="2" t="s">
        <v>41</v>
      </c>
      <c r="K870" s="2" t="s">
        <v>195</v>
      </c>
      <c r="L870" s="2" t="s">
        <v>196</v>
      </c>
      <c r="M870" s="2" t="s">
        <v>48</v>
      </c>
      <c r="N870" s="2" t="s">
        <v>144</v>
      </c>
      <c r="O870" s="2" t="s">
        <v>2700</v>
      </c>
      <c r="P870" s="2" t="s">
        <v>64</v>
      </c>
      <c r="Q870" s="2" t="s">
        <v>41</v>
      </c>
      <c r="R870" s="2" t="n">
        <v>9</v>
      </c>
      <c r="S870" s="2" t="n">
        <v>224.94</v>
      </c>
      <c r="T870" s="2" t="n">
        <v>0.05</v>
      </c>
      <c r="U870" s="2" t="str">
        <f aca="false">IF(ISBLANK(T870),"Yes","No")</f>
        <v>No</v>
      </c>
      <c r="V870" s="2" t="n">
        <f aca="false">IF(ISBLANK(T870),0,IF(ISNUMBER(T870),T870,VALUE(LEFT(T870,LEN(T870)-1))/100))</f>
        <v>0.05</v>
      </c>
      <c r="W870" s="2" t="str">
        <f aca="false">IF(AND(V870&gt;=0,V870&lt;=0.25),"Valid","Invalid")</f>
        <v>Valid</v>
      </c>
      <c r="X870" s="2" t="n">
        <v>1923.24</v>
      </c>
      <c r="Y870" s="2" t="n">
        <f aca="false">R870*S870*(1-V870)</f>
        <v>1923.237</v>
      </c>
      <c r="Z870" s="2" t="str">
        <f aca="false">IF(ABS(X870-Y870)&gt;1,"Mismatch","OK")</f>
        <v>OK</v>
      </c>
      <c r="AA870" s="2" t="n">
        <v>1093.66</v>
      </c>
      <c r="AB870" s="2" t="n">
        <v>829.58</v>
      </c>
      <c r="AC870" s="2" t="n">
        <f aca="false">Y870-AA870</f>
        <v>829.577</v>
      </c>
      <c r="AD870" s="2" t="str">
        <f aca="false">IF(ABS(AB870-AC870)&gt;1,"Mismatch","OK")</f>
        <v>OK</v>
      </c>
      <c r="AE870" s="4" t="n">
        <f aca="false">IF(Y870=0,0,AC870/Y870)</f>
        <v>0.43134413491421</v>
      </c>
      <c r="AF870" s="2" t="s">
        <v>52</v>
      </c>
      <c r="AG870" s="2" t="s">
        <v>53</v>
      </c>
      <c r="AH870" s="2" t="str">
        <f aca="false">IF(AND(AG870="Completed",AF870&lt;&gt;"Paid"),"Inconsistent","OK")</f>
        <v>OK</v>
      </c>
      <c r="AI870" s="2" t="n">
        <f aca="false">IF(OR(ISBLANK(B870),ISBLANK(C870)),"",C870-B870)</f>
        <v>4</v>
      </c>
      <c r="AJ870" s="2" t="str">
        <f aca="false">IF(AI870="","Unknown",IF(AI870&lt;0,"Invalid","OK"))</f>
        <v>OK</v>
      </c>
      <c r="AK870" s="2" t="str">
        <f aca="false">IF(ISBLANK(B870),"",TEXT(B870,"mmm"))</f>
        <v>Apr</v>
      </c>
      <c r="AL870" s="2" t="n">
        <f aca="false">IF(ISBLANK(B870),"",YEAR(B870))</f>
        <v>2025</v>
      </c>
      <c r="AM870" s="2" t="s">
        <v>41</v>
      </c>
      <c r="AN870" s="2" t="str">
        <f aca="false">IF(OR(W870="Invalid",AJ870="Invalid",AH870="Inconsistent",Z870="Mismatch",AD870="Mismatch",AM870="Yes",D870="Yes",E870="Yes"),"Invalid",IF(OR(J870="Yes",Q870="Yes",U870="Yes"),"Warning","Clean"))</f>
        <v>Clean</v>
      </c>
    </row>
    <row r="871" customFormat="false" ht="15" hidden="false" customHeight="false" outlineLevel="0" collapsed="false">
      <c r="A871" s="2" t="s">
        <v>2701</v>
      </c>
      <c r="B871" s="3" t="n">
        <v>45722</v>
      </c>
      <c r="C871" s="3" t="n">
        <v>45723</v>
      </c>
      <c r="D871" s="2" t="s">
        <v>41</v>
      </c>
      <c r="E871" s="2" t="s">
        <v>41</v>
      </c>
      <c r="F871" s="2" t="s">
        <v>2702</v>
      </c>
      <c r="G871" s="2" t="s">
        <v>161</v>
      </c>
      <c r="H871" s="2" t="s">
        <v>115</v>
      </c>
      <c r="I871" s="2" t="s">
        <v>225</v>
      </c>
      <c r="J871" s="2" t="s">
        <v>226</v>
      </c>
      <c r="K871" s="2" t="s">
        <v>372</v>
      </c>
      <c r="L871" s="2" t="s">
        <v>373</v>
      </c>
      <c r="M871" s="2" t="s">
        <v>61</v>
      </c>
      <c r="N871" s="2" t="s">
        <v>86</v>
      </c>
      <c r="O871" s="2" t="s">
        <v>1170</v>
      </c>
      <c r="P871" s="2" t="s">
        <v>64</v>
      </c>
      <c r="Q871" s="2" t="s">
        <v>41</v>
      </c>
      <c r="R871" s="2" t="n">
        <v>6</v>
      </c>
      <c r="S871" s="2" t="n">
        <v>796.65</v>
      </c>
      <c r="T871" s="2" t="n">
        <v>0.1</v>
      </c>
      <c r="U871" s="2" t="str">
        <f aca="false">IF(ISBLANK(T871),"Yes","No")</f>
        <v>No</v>
      </c>
      <c r="V871" s="2" t="n">
        <f aca="false">IF(ISBLANK(T871),0,IF(ISNUMBER(T871),T871,VALUE(LEFT(T871,LEN(T871)-1))/100))</f>
        <v>0.1</v>
      </c>
      <c r="W871" s="2" t="str">
        <f aca="false">IF(AND(V871&gt;=0,V871&lt;=0.25),"Valid","Invalid")</f>
        <v>Valid</v>
      </c>
      <c r="X871" s="2" t="n">
        <v>4301.91</v>
      </c>
      <c r="Y871" s="2" t="n">
        <f aca="false">R871*S871*(1-V871)</f>
        <v>4301.91</v>
      </c>
      <c r="Z871" s="2" t="str">
        <f aca="false">IF(ABS(X871-Y871)&gt;1,"Mismatch","OK")</f>
        <v>OK</v>
      </c>
      <c r="AA871" s="2" t="n">
        <v>2374.4</v>
      </c>
      <c r="AB871" s="2" t="n">
        <v>1927.51</v>
      </c>
      <c r="AC871" s="2" t="n">
        <f aca="false">Y871-AA871</f>
        <v>1927.51</v>
      </c>
      <c r="AD871" s="2" t="str">
        <f aca="false">IF(ABS(AB871-AC871)&gt;1,"Mismatch","OK")</f>
        <v>OK</v>
      </c>
      <c r="AE871" s="4" t="n">
        <f aca="false">IF(Y871=0,0,AC871/Y871)</f>
        <v>0.448059117926688</v>
      </c>
      <c r="AF871" s="2" t="s">
        <v>52</v>
      </c>
      <c r="AG871" s="2" t="s">
        <v>53</v>
      </c>
      <c r="AH871" s="2" t="str">
        <f aca="false">IF(AND(AG871="Completed",AF871&lt;&gt;"Paid"),"Inconsistent","OK")</f>
        <v>OK</v>
      </c>
      <c r="AI871" s="2" t="n">
        <f aca="false">IF(OR(ISBLANK(B871),ISBLANK(C871)),"",C871-B871)</f>
        <v>1</v>
      </c>
      <c r="AJ871" s="2" t="str">
        <f aca="false">IF(AI871="","Unknown",IF(AI871&lt;0,"Invalid","OK"))</f>
        <v>OK</v>
      </c>
      <c r="AK871" s="2" t="str">
        <f aca="false">IF(ISBLANK(B871),"",TEXT(B871,"mmm"))</f>
        <v>Mar</v>
      </c>
      <c r="AL871" s="2" t="n">
        <f aca="false">IF(ISBLANK(B871),"",YEAR(B871))</f>
        <v>2025</v>
      </c>
      <c r="AM871" s="2" t="s">
        <v>41</v>
      </c>
      <c r="AN871" s="2" t="str">
        <f aca="false">IF(OR(W871="Invalid",AJ871="Invalid",AH871="Inconsistent",Z871="Mismatch",AD871="Mismatch",AM871="Yes",D871="Yes",E871="Yes"),"Invalid",IF(OR(J871="Yes",Q871="Yes",U871="Yes"),"Warning","Clean"))</f>
        <v>Warning</v>
      </c>
    </row>
    <row r="872" customFormat="false" ht="15" hidden="false" customHeight="false" outlineLevel="0" collapsed="false">
      <c r="A872" s="2" t="s">
        <v>2703</v>
      </c>
      <c r="B872" s="3" t="n">
        <v>45814</v>
      </c>
      <c r="C872" s="3" t="n">
        <v>45815</v>
      </c>
      <c r="D872" s="2" t="s">
        <v>41</v>
      </c>
      <c r="E872" s="2" t="s">
        <v>41</v>
      </c>
      <c r="F872" s="2" t="s">
        <v>2704</v>
      </c>
      <c r="G872" s="2" t="s">
        <v>91</v>
      </c>
      <c r="H872" s="2" t="s">
        <v>110</v>
      </c>
      <c r="I872" s="2" t="s">
        <v>83</v>
      </c>
      <c r="J872" s="2" t="s">
        <v>41</v>
      </c>
      <c r="K872" s="2" t="s">
        <v>210</v>
      </c>
      <c r="L872" s="2" t="s">
        <v>211</v>
      </c>
      <c r="M872" s="2" t="s">
        <v>61</v>
      </c>
      <c r="N872" s="2" t="s">
        <v>62</v>
      </c>
      <c r="O872" s="2" t="s">
        <v>2705</v>
      </c>
      <c r="P872" s="2" t="s">
        <v>79</v>
      </c>
      <c r="Q872" s="2" t="s">
        <v>41</v>
      </c>
      <c r="R872" s="2" t="n">
        <v>9</v>
      </c>
      <c r="S872" s="2" t="n">
        <v>2932.92</v>
      </c>
      <c r="T872" s="2" t="n">
        <v>0.15</v>
      </c>
      <c r="U872" s="2" t="str">
        <f aca="false">IF(ISBLANK(T872),"Yes","No")</f>
        <v>No</v>
      </c>
      <c r="V872" s="2" t="n">
        <f aca="false">IF(ISBLANK(T872),0,IF(ISNUMBER(T872),T872,VALUE(LEFT(T872,LEN(T872)-1))/100))</f>
        <v>0.15</v>
      </c>
      <c r="W872" s="2" t="str">
        <f aca="false">IF(AND(V872&gt;=0,V872&lt;=0.25),"Valid","Invalid")</f>
        <v>Valid</v>
      </c>
      <c r="X872" s="2" t="n">
        <v>22436.84</v>
      </c>
      <c r="Y872" s="2" t="n">
        <f aca="false">R872*S872*(1-V872)</f>
        <v>22436.838</v>
      </c>
      <c r="Z872" s="2" t="str">
        <f aca="false">IF(ABS(X872-Y872)&gt;1,"Mismatch","OK")</f>
        <v>OK</v>
      </c>
      <c r="AA872" s="2" t="n">
        <v>17454.67</v>
      </c>
      <c r="AB872" s="2" t="n">
        <v>4982.17</v>
      </c>
      <c r="AC872" s="2" t="n">
        <f aca="false">Y872-AA872</f>
        <v>4982.168</v>
      </c>
      <c r="AD872" s="2" t="str">
        <f aca="false">IF(ABS(AB872-AC872)&gt;1,"Mismatch","OK")</f>
        <v>OK</v>
      </c>
      <c r="AE872" s="4" t="n">
        <f aca="false">IF(Y872=0,0,AC872/Y872)</f>
        <v>0.222053036172031</v>
      </c>
      <c r="AF872" s="2" t="s">
        <v>52</v>
      </c>
      <c r="AG872" s="2" t="s">
        <v>88</v>
      </c>
      <c r="AH872" s="2" t="str">
        <f aca="false">IF(AND(AG872="Completed",AF872&lt;&gt;"Paid"),"Inconsistent","OK")</f>
        <v>OK</v>
      </c>
      <c r="AI872" s="2" t="n">
        <f aca="false">IF(OR(ISBLANK(B872),ISBLANK(C872)),"",C872-B872)</f>
        <v>1</v>
      </c>
      <c r="AJ872" s="2" t="str">
        <f aca="false">IF(AI872="","Unknown",IF(AI872&lt;0,"Invalid","OK"))</f>
        <v>OK</v>
      </c>
      <c r="AK872" s="2" t="str">
        <f aca="false">IF(ISBLANK(B872),"",TEXT(B872,"mmm"))</f>
        <v>Jun</v>
      </c>
      <c r="AL872" s="2" t="n">
        <f aca="false">IF(ISBLANK(B872),"",YEAR(B872))</f>
        <v>2025</v>
      </c>
      <c r="AM872" s="2" t="s">
        <v>41</v>
      </c>
      <c r="AN872" s="2" t="str">
        <f aca="false">IF(OR(W872="Invalid",AJ872="Invalid",AH872="Inconsistent",Z872="Mismatch",AD872="Mismatch",AM872="Yes",D872="Yes",E872="Yes"),"Invalid",IF(OR(J872="Yes",Q872="Yes",U872="Yes"),"Warning","Clean"))</f>
        <v>Clean</v>
      </c>
    </row>
    <row r="873" customFormat="false" ht="15" hidden="false" customHeight="false" outlineLevel="0" collapsed="false">
      <c r="A873" s="2" t="s">
        <v>2706</v>
      </c>
      <c r="B873" s="3" t="n">
        <v>45342</v>
      </c>
      <c r="C873" s="3" t="n">
        <v>45344</v>
      </c>
      <c r="D873" s="2" t="s">
        <v>41</v>
      </c>
      <c r="E873" s="2" t="s">
        <v>41</v>
      </c>
      <c r="F873" s="2" t="s">
        <v>2576</v>
      </c>
      <c r="G873" s="2" t="s">
        <v>99</v>
      </c>
      <c r="H873" s="2" t="s">
        <v>57</v>
      </c>
      <c r="I873" s="2" t="s">
        <v>74</v>
      </c>
      <c r="J873" s="2" t="s">
        <v>41</v>
      </c>
      <c r="K873" s="2" t="s">
        <v>75</v>
      </c>
      <c r="L873" s="2" t="s">
        <v>76</v>
      </c>
      <c r="M873" s="2" t="s">
        <v>94</v>
      </c>
      <c r="N873" s="2" t="s">
        <v>95</v>
      </c>
      <c r="O873" s="2" t="s">
        <v>2707</v>
      </c>
      <c r="P873" s="2" t="s">
        <v>70</v>
      </c>
      <c r="Q873" s="2" t="s">
        <v>41</v>
      </c>
      <c r="R873" s="2" t="n">
        <v>9</v>
      </c>
      <c r="S873" s="2" t="n">
        <v>2186.23</v>
      </c>
      <c r="T873" s="2" t="n">
        <v>0</v>
      </c>
      <c r="U873" s="2" t="str">
        <f aca="false">IF(ISBLANK(T873),"Yes","No")</f>
        <v>No</v>
      </c>
      <c r="V873" s="2" t="n">
        <f aca="false">IF(ISBLANK(T873),0,IF(ISNUMBER(T873),T873,VALUE(LEFT(T873,LEN(T873)-1))/100))</f>
        <v>0</v>
      </c>
      <c r="W873" s="2" t="str">
        <f aca="false">IF(AND(V873&gt;=0,V873&lt;=0.25),"Valid","Invalid")</f>
        <v>Valid</v>
      </c>
      <c r="X873" s="2" t="n">
        <v>19676.07</v>
      </c>
      <c r="Y873" s="2" t="n">
        <f aca="false">R873*S873*(1-V873)</f>
        <v>19676.07</v>
      </c>
      <c r="Z873" s="2" t="str">
        <f aca="false">IF(ABS(X873-Y873)&gt;1,"Mismatch","OK")</f>
        <v>OK</v>
      </c>
      <c r="AA873" s="2" t="n">
        <v>12458.62</v>
      </c>
      <c r="AB873" s="2" t="n">
        <v>7217.45</v>
      </c>
      <c r="AC873" s="2" t="n">
        <f aca="false">Y873-AA873</f>
        <v>7217.45</v>
      </c>
      <c r="AD873" s="2" t="str">
        <f aca="false">IF(ABS(AB873-AC873)&gt;1,"Mismatch","OK")</f>
        <v>OK</v>
      </c>
      <c r="AE873" s="4" t="n">
        <f aca="false">IF(Y873=0,0,AC873/Y873)</f>
        <v>0.366813596414325</v>
      </c>
      <c r="AF873" s="2" t="s">
        <v>122</v>
      </c>
      <c r="AG873" s="2" t="s">
        <v>88</v>
      </c>
      <c r="AH873" s="2" t="str">
        <f aca="false">IF(AND(AG873="Completed",AF873&lt;&gt;"Paid"),"Inconsistent","OK")</f>
        <v>OK</v>
      </c>
      <c r="AI873" s="2" t="n">
        <f aca="false">IF(OR(ISBLANK(B873),ISBLANK(C873)),"",C873-B873)</f>
        <v>2</v>
      </c>
      <c r="AJ873" s="2" t="str">
        <f aca="false">IF(AI873="","Unknown",IF(AI873&lt;0,"Invalid","OK"))</f>
        <v>OK</v>
      </c>
      <c r="AK873" s="2" t="str">
        <f aca="false">IF(ISBLANK(B873),"",TEXT(B873,"mmm"))</f>
        <v>Feb</v>
      </c>
      <c r="AL873" s="2" t="n">
        <f aca="false">IF(ISBLANK(B873),"",YEAR(B873))</f>
        <v>2024</v>
      </c>
      <c r="AM873" s="2" t="s">
        <v>41</v>
      </c>
      <c r="AN873" s="2" t="str">
        <f aca="false">IF(OR(W873="Invalid",AJ873="Invalid",AH873="Inconsistent",Z873="Mismatch",AD873="Mismatch",AM873="Yes",D873="Yes",E873="Yes"),"Invalid",IF(OR(J873="Yes",Q873="Yes",U873="Yes"),"Warning","Clean"))</f>
        <v>Clean</v>
      </c>
    </row>
    <row r="874" customFormat="false" ht="15" hidden="false" customHeight="false" outlineLevel="0" collapsed="false">
      <c r="A874" s="2" t="s">
        <v>2708</v>
      </c>
      <c r="B874" s="3" t="n">
        <v>45597</v>
      </c>
      <c r="C874" s="3" t="n">
        <v>45598</v>
      </c>
      <c r="D874" s="2" t="s">
        <v>41</v>
      </c>
      <c r="E874" s="2" t="s">
        <v>41</v>
      </c>
      <c r="F874" s="2" t="s">
        <v>1984</v>
      </c>
      <c r="G874" s="2" t="s">
        <v>43</v>
      </c>
      <c r="H874" s="2" t="s">
        <v>110</v>
      </c>
      <c r="I874" s="2" t="s">
        <v>58</v>
      </c>
      <c r="J874" s="2" t="s">
        <v>41</v>
      </c>
      <c r="K874" s="2" t="s">
        <v>119</v>
      </c>
      <c r="L874" s="2" t="s">
        <v>120</v>
      </c>
      <c r="M874" s="2" t="s">
        <v>61</v>
      </c>
      <c r="N874" s="2" t="s">
        <v>77</v>
      </c>
      <c r="O874" s="2" t="s">
        <v>2709</v>
      </c>
      <c r="P874" s="2" t="s">
        <v>79</v>
      </c>
      <c r="Q874" s="2" t="s">
        <v>41</v>
      </c>
      <c r="R874" s="2" t="n">
        <v>5</v>
      </c>
      <c r="S874" s="2" t="n">
        <v>2212.02</v>
      </c>
      <c r="T874" s="2" t="n">
        <v>0.2</v>
      </c>
      <c r="U874" s="2" t="str">
        <f aca="false">IF(ISBLANK(T874),"Yes","No")</f>
        <v>No</v>
      </c>
      <c r="V874" s="2" t="n">
        <f aca="false">IF(ISBLANK(T874),0,IF(ISNUMBER(T874),T874,VALUE(LEFT(T874,LEN(T874)-1))/100))</f>
        <v>0.2</v>
      </c>
      <c r="W874" s="2" t="str">
        <f aca="false">IF(AND(V874&gt;=0,V874&lt;=0.25),"Valid","Invalid")</f>
        <v>Valid</v>
      </c>
      <c r="X874" s="2" t="n">
        <v>8848.08</v>
      </c>
      <c r="Y874" s="2" t="n">
        <f aca="false">R874*S874*(1-V874)</f>
        <v>8848.08</v>
      </c>
      <c r="Z874" s="2" t="str">
        <f aca="false">IF(ABS(X874-Y874)&gt;1,"Mismatch","OK")</f>
        <v>OK</v>
      </c>
      <c r="AA874" s="2" t="n">
        <v>5691.56</v>
      </c>
      <c r="AB874" s="2" t="n">
        <v>3156.52</v>
      </c>
      <c r="AC874" s="2" t="n">
        <f aca="false">Y874-AA874</f>
        <v>3156.52</v>
      </c>
      <c r="AD874" s="2" t="str">
        <f aca="false">IF(ABS(AB874-AC874)&gt;1,"Mismatch","OK")</f>
        <v>OK</v>
      </c>
      <c r="AE874" s="4" t="n">
        <f aca="false">IF(Y874=0,0,AC874/Y874)</f>
        <v>0.356746322365982</v>
      </c>
      <c r="AF874" s="2" t="s">
        <v>52</v>
      </c>
      <c r="AG874" s="2" t="s">
        <v>53</v>
      </c>
      <c r="AH874" s="2" t="str">
        <f aca="false">IF(AND(AG874="Completed",AF874&lt;&gt;"Paid"),"Inconsistent","OK")</f>
        <v>OK</v>
      </c>
      <c r="AI874" s="2" t="n">
        <f aca="false">IF(OR(ISBLANK(B874),ISBLANK(C874)),"",C874-B874)</f>
        <v>1</v>
      </c>
      <c r="AJ874" s="2" t="str">
        <f aca="false">IF(AI874="","Unknown",IF(AI874&lt;0,"Invalid","OK"))</f>
        <v>OK</v>
      </c>
      <c r="AK874" s="2" t="str">
        <f aca="false">IF(ISBLANK(B874),"",TEXT(B874,"mmm"))</f>
        <v>Nov</v>
      </c>
      <c r="AL874" s="2" t="n">
        <f aca="false">IF(ISBLANK(B874),"",YEAR(B874))</f>
        <v>2024</v>
      </c>
      <c r="AM874" s="2" t="s">
        <v>41</v>
      </c>
      <c r="AN874" s="2" t="str">
        <f aca="false">IF(OR(W874="Invalid",AJ874="Invalid",AH874="Inconsistent",Z874="Mismatch",AD874="Mismatch",AM874="Yes",D874="Yes",E874="Yes"),"Invalid",IF(OR(J874="Yes",Q874="Yes",U874="Yes"),"Warning","Clean"))</f>
        <v>Clean</v>
      </c>
    </row>
    <row r="875" customFormat="false" ht="15" hidden="false" customHeight="false" outlineLevel="0" collapsed="false">
      <c r="A875" s="2" t="s">
        <v>2710</v>
      </c>
      <c r="B875" s="3" t="n">
        <v>45689</v>
      </c>
      <c r="C875" s="3" t="n">
        <v>45696</v>
      </c>
      <c r="D875" s="2" t="s">
        <v>41</v>
      </c>
      <c r="E875" s="2" t="s">
        <v>41</v>
      </c>
      <c r="F875" s="2" t="s">
        <v>2711</v>
      </c>
      <c r="G875" s="2" t="s">
        <v>109</v>
      </c>
      <c r="H875" s="2" t="s">
        <v>115</v>
      </c>
      <c r="I875" s="2" t="s">
        <v>83</v>
      </c>
      <c r="J875" s="2" t="s">
        <v>41</v>
      </c>
      <c r="K875" s="2" t="s">
        <v>200</v>
      </c>
      <c r="L875" s="2" t="s">
        <v>201</v>
      </c>
      <c r="M875" s="2" t="s">
        <v>48</v>
      </c>
      <c r="N875" s="2" t="s">
        <v>144</v>
      </c>
      <c r="O875" s="2" t="s">
        <v>2712</v>
      </c>
      <c r="P875" s="2" t="s">
        <v>51</v>
      </c>
      <c r="Q875" s="2" t="s">
        <v>41</v>
      </c>
      <c r="R875" s="2" t="n">
        <v>8</v>
      </c>
      <c r="S875" s="2" t="n">
        <v>623.31</v>
      </c>
      <c r="T875" s="2" t="n">
        <v>0.1</v>
      </c>
      <c r="U875" s="2" t="str">
        <f aca="false">IF(ISBLANK(T875),"Yes","No")</f>
        <v>No</v>
      </c>
      <c r="V875" s="2" t="n">
        <f aca="false">IF(ISBLANK(T875),0,IF(ISNUMBER(T875),T875,VALUE(LEFT(T875,LEN(T875)-1))/100))</f>
        <v>0.1</v>
      </c>
      <c r="W875" s="2" t="str">
        <f aca="false">IF(AND(V875&gt;=0,V875&lt;=0.25),"Valid","Invalid")</f>
        <v>Valid</v>
      </c>
      <c r="X875" s="2" t="n">
        <v>4487.83</v>
      </c>
      <c r="Y875" s="2" t="n">
        <f aca="false">R875*S875*(1-V875)</f>
        <v>4487.832</v>
      </c>
      <c r="Z875" s="2" t="str">
        <f aca="false">IF(ABS(X875-Y875)&gt;1,"Mismatch","OK")</f>
        <v>OK</v>
      </c>
      <c r="AA875" s="2" t="n">
        <v>2633.78</v>
      </c>
      <c r="AB875" s="2" t="n">
        <v>1854.05</v>
      </c>
      <c r="AC875" s="2" t="n">
        <f aca="false">Y875-AA875</f>
        <v>1854.052</v>
      </c>
      <c r="AD875" s="2" t="str">
        <f aca="false">IF(ABS(AB875-AC875)&gt;1,"Mismatch","OK")</f>
        <v>OK</v>
      </c>
      <c r="AE875" s="4" t="n">
        <f aca="false">IF(Y875=0,0,AC875/Y875)</f>
        <v>0.413128655439865</v>
      </c>
      <c r="AF875" s="2" t="s">
        <v>52</v>
      </c>
      <c r="AG875" s="2" t="s">
        <v>53</v>
      </c>
      <c r="AH875" s="2" t="str">
        <f aca="false">IF(AND(AG875="Completed",AF875&lt;&gt;"Paid"),"Inconsistent","OK")</f>
        <v>OK</v>
      </c>
      <c r="AI875" s="2" t="n">
        <f aca="false">IF(OR(ISBLANK(B875),ISBLANK(C875)),"",C875-B875)</f>
        <v>7</v>
      </c>
      <c r="AJ875" s="2" t="str">
        <f aca="false">IF(AI875="","Unknown",IF(AI875&lt;0,"Invalid","OK"))</f>
        <v>OK</v>
      </c>
      <c r="AK875" s="2" t="str">
        <f aca="false">IF(ISBLANK(B875),"",TEXT(B875,"mmm"))</f>
        <v>Feb</v>
      </c>
      <c r="AL875" s="2" t="n">
        <f aca="false">IF(ISBLANK(B875),"",YEAR(B875))</f>
        <v>2025</v>
      </c>
      <c r="AM875" s="2" t="s">
        <v>41</v>
      </c>
      <c r="AN875" s="2" t="str">
        <f aca="false">IF(OR(W875="Invalid",AJ875="Invalid",AH875="Inconsistent",Z875="Mismatch",AD875="Mismatch",AM875="Yes",D875="Yes",E875="Yes"),"Invalid",IF(OR(J875="Yes",Q875="Yes",U875="Yes"),"Warning","Clean"))</f>
        <v>Clean</v>
      </c>
    </row>
    <row r="876" customFormat="false" ht="15" hidden="false" customHeight="false" outlineLevel="0" collapsed="false">
      <c r="A876" s="2" t="s">
        <v>2713</v>
      </c>
      <c r="B876" s="3" t="n">
        <v>45853</v>
      </c>
      <c r="C876" s="3" t="n">
        <v>45854</v>
      </c>
      <c r="D876" s="2" t="s">
        <v>41</v>
      </c>
      <c r="E876" s="2" t="s">
        <v>41</v>
      </c>
      <c r="F876" s="2" t="s">
        <v>2714</v>
      </c>
      <c r="G876" s="2" t="s">
        <v>91</v>
      </c>
      <c r="H876" s="2" t="s">
        <v>57</v>
      </c>
      <c r="I876" s="2" t="s">
        <v>83</v>
      </c>
      <c r="J876" s="2" t="s">
        <v>41</v>
      </c>
      <c r="K876" s="2" t="s">
        <v>84</v>
      </c>
      <c r="L876" s="2" t="s">
        <v>85</v>
      </c>
      <c r="M876" s="2" t="s">
        <v>48</v>
      </c>
      <c r="N876" s="2" t="s">
        <v>49</v>
      </c>
      <c r="O876" s="2" t="s">
        <v>2715</v>
      </c>
      <c r="P876" s="2" t="s">
        <v>79</v>
      </c>
      <c r="Q876" s="2" t="s">
        <v>41</v>
      </c>
      <c r="R876" s="2" t="n">
        <v>8</v>
      </c>
      <c r="S876" s="2" t="n">
        <v>3924.88</v>
      </c>
      <c r="T876" s="2" t="n">
        <v>0.05</v>
      </c>
      <c r="U876" s="2" t="str">
        <f aca="false">IF(ISBLANK(T876),"Yes","No")</f>
        <v>No</v>
      </c>
      <c r="V876" s="2" t="n">
        <f aca="false">IF(ISBLANK(T876),0,IF(ISNUMBER(T876),T876,VALUE(LEFT(T876,LEN(T876)-1))/100))</f>
        <v>0.05</v>
      </c>
      <c r="W876" s="2" t="str">
        <f aca="false">IF(AND(V876&gt;=0,V876&lt;=0.25),"Valid","Invalid")</f>
        <v>Valid</v>
      </c>
      <c r="X876" s="2" t="n">
        <v>29829.09</v>
      </c>
      <c r="Y876" s="2" t="n">
        <f aca="false">R876*S876*(1-V876)</f>
        <v>29829.088</v>
      </c>
      <c r="Z876" s="2" t="str">
        <f aca="false">IF(ABS(X876-Y876)&gt;1,"Mismatch","OK")</f>
        <v>OK</v>
      </c>
      <c r="AA876" s="2" t="n">
        <v>20710.18</v>
      </c>
      <c r="AB876" s="2" t="n">
        <v>9118.91</v>
      </c>
      <c r="AC876" s="2" t="n">
        <f aca="false">Y876-AA876</f>
        <v>9118.908</v>
      </c>
      <c r="AD876" s="2" t="str">
        <f aca="false">IF(ABS(AB876-AC876)&gt;1,"Mismatch","OK")</f>
        <v>OK</v>
      </c>
      <c r="AE876" s="4" t="n">
        <f aca="false">IF(Y876=0,0,AC876/Y876)</f>
        <v>0.305705223035984</v>
      </c>
      <c r="AF876" s="2" t="s">
        <v>52</v>
      </c>
      <c r="AG876" s="2" t="s">
        <v>53</v>
      </c>
      <c r="AH876" s="2" t="str">
        <f aca="false">IF(AND(AG876="Completed",AF876&lt;&gt;"Paid"),"Inconsistent","OK")</f>
        <v>OK</v>
      </c>
      <c r="AI876" s="2" t="n">
        <f aca="false">IF(OR(ISBLANK(B876),ISBLANK(C876)),"",C876-B876)</f>
        <v>1</v>
      </c>
      <c r="AJ876" s="2" t="str">
        <f aca="false">IF(AI876="","Unknown",IF(AI876&lt;0,"Invalid","OK"))</f>
        <v>OK</v>
      </c>
      <c r="AK876" s="2" t="str">
        <f aca="false">IF(ISBLANK(B876),"",TEXT(B876,"mmm"))</f>
        <v>Jul</v>
      </c>
      <c r="AL876" s="2" t="n">
        <f aca="false">IF(ISBLANK(B876),"",YEAR(B876))</f>
        <v>2025</v>
      </c>
      <c r="AM876" s="2" t="s">
        <v>41</v>
      </c>
      <c r="AN876" s="2" t="str">
        <f aca="false">IF(OR(W876="Invalid",AJ876="Invalid",AH876="Inconsistent",Z876="Mismatch",AD876="Mismatch",AM876="Yes",D876="Yes",E876="Yes"),"Invalid",IF(OR(J876="Yes",Q876="Yes",U876="Yes"),"Warning","Clean"))</f>
        <v>Clean</v>
      </c>
    </row>
    <row r="877" customFormat="false" ht="15" hidden="false" customHeight="false" outlineLevel="0" collapsed="false">
      <c r="A877" s="2" t="s">
        <v>2716</v>
      </c>
      <c r="B877" s="3" t="n">
        <v>45514</v>
      </c>
      <c r="C877" s="3" t="n">
        <v>45515</v>
      </c>
      <c r="D877" s="2" t="s">
        <v>41</v>
      </c>
      <c r="E877" s="2" t="s">
        <v>41</v>
      </c>
      <c r="F877" s="2" t="s">
        <v>2717</v>
      </c>
      <c r="G877" s="2" t="s">
        <v>56</v>
      </c>
      <c r="H877" s="2" t="s">
        <v>110</v>
      </c>
      <c r="I877" s="2" t="s">
        <v>83</v>
      </c>
      <c r="J877" s="2" t="s">
        <v>41</v>
      </c>
      <c r="K877" s="2" t="s">
        <v>84</v>
      </c>
      <c r="L877" s="2" t="s">
        <v>85</v>
      </c>
      <c r="M877" s="2" t="s">
        <v>94</v>
      </c>
      <c r="N877" s="2" t="s">
        <v>100</v>
      </c>
      <c r="O877" s="2" t="s">
        <v>2718</v>
      </c>
      <c r="P877" s="2" t="s">
        <v>70</v>
      </c>
      <c r="Q877" s="2" t="s">
        <v>41</v>
      </c>
      <c r="R877" s="2" t="n">
        <v>7</v>
      </c>
      <c r="S877" s="2" t="n">
        <v>3852.62</v>
      </c>
      <c r="T877" s="2" t="n">
        <v>0.2</v>
      </c>
      <c r="U877" s="2" t="str">
        <f aca="false">IF(ISBLANK(T877),"Yes","No")</f>
        <v>No</v>
      </c>
      <c r="V877" s="2" t="n">
        <f aca="false">IF(ISBLANK(T877),0,IF(ISNUMBER(T877),T877,VALUE(LEFT(T877,LEN(T877)-1))/100))</f>
        <v>0.2</v>
      </c>
      <c r="W877" s="2" t="str">
        <f aca="false">IF(AND(V877&gt;=0,V877&lt;=0.25),"Valid","Invalid")</f>
        <v>Valid</v>
      </c>
      <c r="X877" s="2" t="n">
        <v>21574.67</v>
      </c>
      <c r="Y877" s="2" t="n">
        <f aca="false">R877*S877*(1-V877)</f>
        <v>21574.672</v>
      </c>
      <c r="Z877" s="2" t="str">
        <f aca="false">IF(ABS(X877-Y877)&gt;1,"Mismatch","OK")</f>
        <v>OK</v>
      </c>
      <c r="AA877" s="2" t="n">
        <v>14672.83</v>
      </c>
      <c r="AB877" s="2" t="n">
        <v>6901.84</v>
      </c>
      <c r="AC877" s="2" t="n">
        <f aca="false">Y877-AA877</f>
        <v>6901.842</v>
      </c>
      <c r="AD877" s="2" t="str">
        <f aca="false">IF(ABS(AB877-AC877)&gt;1,"Mismatch","OK")</f>
        <v>OK</v>
      </c>
      <c r="AE877" s="4" t="n">
        <f aca="false">IF(Y877=0,0,AC877/Y877)</f>
        <v>0.319904840268255</v>
      </c>
      <c r="AF877" s="2" t="s">
        <v>52</v>
      </c>
      <c r="AG877" s="2" t="s">
        <v>53</v>
      </c>
      <c r="AH877" s="2" t="str">
        <f aca="false">IF(AND(AG877="Completed",AF877&lt;&gt;"Paid"),"Inconsistent","OK")</f>
        <v>OK</v>
      </c>
      <c r="AI877" s="2" t="n">
        <f aca="false">IF(OR(ISBLANK(B877),ISBLANK(C877)),"",C877-B877)</f>
        <v>1</v>
      </c>
      <c r="AJ877" s="2" t="str">
        <f aca="false">IF(AI877="","Unknown",IF(AI877&lt;0,"Invalid","OK"))</f>
        <v>OK</v>
      </c>
      <c r="AK877" s="2" t="str">
        <f aca="false">IF(ISBLANK(B877),"",TEXT(B877,"mmm"))</f>
        <v>Aug</v>
      </c>
      <c r="AL877" s="2" t="n">
        <f aca="false">IF(ISBLANK(B877),"",YEAR(B877))</f>
        <v>2024</v>
      </c>
      <c r="AM877" s="2" t="s">
        <v>41</v>
      </c>
      <c r="AN877" s="2" t="str">
        <f aca="false">IF(OR(W877="Invalid",AJ877="Invalid",AH877="Inconsistent",Z877="Mismatch",AD877="Mismatch",AM877="Yes",D877="Yes",E877="Yes"),"Invalid",IF(OR(J877="Yes",Q877="Yes",U877="Yes"),"Warning","Clean"))</f>
        <v>Clean</v>
      </c>
    </row>
    <row r="878" customFormat="false" ht="15" hidden="false" customHeight="false" outlineLevel="0" collapsed="false">
      <c r="A878" s="2" t="s">
        <v>2719</v>
      </c>
      <c r="B878" s="3" t="n">
        <v>45614</v>
      </c>
      <c r="C878" s="3" t="n">
        <v>45616</v>
      </c>
      <c r="D878" s="2" t="s">
        <v>41</v>
      </c>
      <c r="E878" s="2" t="s">
        <v>41</v>
      </c>
      <c r="F878" s="2" t="s">
        <v>2720</v>
      </c>
      <c r="G878" s="2" t="s">
        <v>134</v>
      </c>
      <c r="H878" s="2" t="s">
        <v>44</v>
      </c>
      <c r="I878" s="2" t="s">
        <v>83</v>
      </c>
      <c r="J878" s="2" t="s">
        <v>41</v>
      </c>
      <c r="K878" s="2" t="s">
        <v>46</v>
      </c>
      <c r="L878" s="2" t="s">
        <v>129</v>
      </c>
      <c r="M878" s="2" t="s">
        <v>61</v>
      </c>
      <c r="N878" s="2" t="s">
        <v>86</v>
      </c>
      <c r="O878" s="2" t="s">
        <v>868</v>
      </c>
      <c r="P878" s="2" t="s">
        <v>70</v>
      </c>
      <c r="Q878" s="2" t="s">
        <v>41</v>
      </c>
      <c r="R878" s="2" t="n">
        <v>6</v>
      </c>
      <c r="S878" s="2" t="n">
        <v>3790.22</v>
      </c>
      <c r="T878" s="2" t="n">
        <v>0</v>
      </c>
      <c r="U878" s="2" t="str">
        <f aca="false">IF(ISBLANK(T878),"Yes","No")</f>
        <v>No</v>
      </c>
      <c r="V878" s="2" t="n">
        <f aca="false">IF(ISBLANK(T878),0,IF(ISNUMBER(T878),T878,VALUE(LEFT(T878,LEN(T878)-1))/100))</f>
        <v>0</v>
      </c>
      <c r="W878" s="2" t="str">
        <f aca="false">IF(AND(V878&gt;=0,V878&lt;=0.25),"Valid","Invalid")</f>
        <v>Valid</v>
      </c>
      <c r="X878" s="2" t="n">
        <v>22741.32</v>
      </c>
      <c r="Y878" s="2" t="n">
        <f aca="false">R878*S878*(1-V878)</f>
        <v>22741.32</v>
      </c>
      <c r="Z878" s="2" t="str">
        <f aca="false">IF(ABS(X878-Y878)&gt;1,"Mismatch","OK")</f>
        <v>OK</v>
      </c>
      <c r="AA878" s="2" t="n">
        <v>16388.57</v>
      </c>
      <c r="AB878" s="2" t="n">
        <v>6352.75</v>
      </c>
      <c r="AC878" s="2" t="n">
        <f aca="false">Y878-AA878</f>
        <v>6352.75</v>
      </c>
      <c r="AD878" s="2" t="str">
        <f aca="false">IF(ABS(AB878-AC878)&gt;1,"Mismatch","OK")</f>
        <v>OK</v>
      </c>
      <c r="AE878" s="4" t="n">
        <f aca="false">IF(Y878=0,0,AC878/Y878)</f>
        <v>0.279348340377779</v>
      </c>
      <c r="AF878" s="2" t="s">
        <v>52</v>
      </c>
      <c r="AG878" s="2" t="s">
        <v>53</v>
      </c>
      <c r="AH878" s="2" t="str">
        <f aca="false">IF(AND(AG878="Completed",AF878&lt;&gt;"Paid"),"Inconsistent","OK")</f>
        <v>OK</v>
      </c>
      <c r="AI878" s="2" t="n">
        <f aca="false">IF(OR(ISBLANK(B878),ISBLANK(C878)),"",C878-B878)</f>
        <v>2</v>
      </c>
      <c r="AJ878" s="2" t="str">
        <f aca="false">IF(AI878="","Unknown",IF(AI878&lt;0,"Invalid","OK"))</f>
        <v>OK</v>
      </c>
      <c r="AK878" s="2" t="str">
        <f aca="false">IF(ISBLANK(B878),"",TEXT(B878,"mmm"))</f>
        <v>Nov</v>
      </c>
      <c r="AL878" s="2" t="n">
        <f aca="false">IF(ISBLANK(B878),"",YEAR(B878))</f>
        <v>2024</v>
      </c>
      <c r="AM878" s="2" t="s">
        <v>41</v>
      </c>
      <c r="AN878" s="2" t="str">
        <f aca="false">IF(OR(W878="Invalid",AJ878="Invalid",AH878="Inconsistent",Z878="Mismatch",AD878="Mismatch",AM878="Yes",D878="Yes",E878="Yes"),"Invalid",IF(OR(J878="Yes",Q878="Yes",U878="Yes"),"Warning","Clean"))</f>
        <v>Clean</v>
      </c>
    </row>
    <row r="879" customFormat="false" ht="15" hidden="false" customHeight="false" outlineLevel="0" collapsed="false">
      <c r="A879" s="2" t="s">
        <v>2721</v>
      </c>
      <c r="B879" s="3" t="n">
        <v>45895</v>
      </c>
      <c r="C879" s="3" t="n">
        <v>45903</v>
      </c>
      <c r="D879" s="2" t="s">
        <v>41</v>
      </c>
      <c r="E879" s="2" t="s">
        <v>41</v>
      </c>
      <c r="F879" s="2" t="s">
        <v>2722</v>
      </c>
      <c r="G879" s="2" t="s">
        <v>148</v>
      </c>
      <c r="H879" s="2" t="s">
        <v>44</v>
      </c>
      <c r="I879" s="2" t="s">
        <v>83</v>
      </c>
      <c r="J879" s="2" t="s">
        <v>41</v>
      </c>
      <c r="K879" s="2" t="s">
        <v>46</v>
      </c>
      <c r="L879" s="2" t="s">
        <v>129</v>
      </c>
      <c r="M879" s="2" t="s">
        <v>48</v>
      </c>
      <c r="N879" s="2" t="s">
        <v>144</v>
      </c>
      <c r="O879" s="2" t="s">
        <v>2723</v>
      </c>
      <c r="P879" s="2" t="s">
        <v>51</v>
      </c>
      <c r="Q879" s="2" t="s">
        <v>41</v>
      </c>
      <c r="R879" s="2" t="n">
        <v>6</v>
      </c>
      <c r="S879" s="2" t="n">
        <v>674.36</v>
      </c>
      <c r="T879" s="2" t="n">
        <v>0.1</v>
      </c>
      <c r="U879" s="2" t="str">
        <f aca="false">IF(ISBLANK(T879),"Yes","No")</f>
        <v>No</v>
      </c>
      <c r="V879" s="2" t="n">
        <f aca="false">IF(ISBLANK(T879),0,IF(ISNUMBER(T879),T879,VALUE(LEFT(T879,LEN(T879)-1))/100))</f>
        <v>0.1</v>
      </c>
      <c r="W879" s="2" t="str">
        <f aca="false">IF(AND(V879&gt;=0,V879&lt;=0.25),"Valid","Invalid")</f>
        <v>Valid</v>
      </c>
      <c r="X879" s="2" t="n">
        <v>3641.54</v>
      </c>
      <c r="Y879" s="2" t="n">
        <f aca="false">R879*S879*(1-V879)</f>
        <v>3641.544</v>
      </c>
      <c r="Z879" s="2" t="str">
        <f aca="false">IF(ABS(X879-Y879)&gt;1,"Mismatch","OK")</f>
        <v>OK</v>
      </c>
      <c r="AA879" s="2" t="n">
        <v>2690.37</v>
      </c>
      <c r="AB879" s="2" t="n">
        <v>951.17</v>
      </c>
      <c r="AC879" s="2" t="n">
        <f aca="false">Y879-AA879</f>
        <v>951.174</v>
      </c>
      <c r="AD879" s="2" t="str">
        <f aca="false">IF(ABS(AB879-AC879)&gt;1,"Mismatch","OK")</f>
        <v>OK</v>
      </c>
      <c r="AE879" s="4" t="n">
        <f aca="false">IF(Y879=0,0,AC879/Y879)</f>
        <v>0.261200743420923</v>
      </c>
      <c r="AF879" s="2" t="s">
        <v>52</v>
      </c>
      <c r="AG879" s="2" t="s">
        <v>53</v>
      </c>
      <c r="AH879" s="2" t="str">
        <f aca="false">IF(AND(AG879="Completed",AF879&lt;&gt;"Paid"),"Inconsistent","OK")</f>
        <v>OK</v>
      </c>
      <c r="AI879" s="2" t="n">
        <f aca="false">IF(OR(ISBLANK(B879),ISBLANK(C879)),"",C879-B879)</f>
        <v>8</v>
      </c>
      <c r="AJ879" s="2" t="str">
        <f aca="false">IF(AI879="","Unknown",IF(AI879&lt;0,"Invalid","OK"))</f>
        <v>OK</v>
      </c>
      <c r="AK879" s="2" t="str">
        <f aca="false">IF(ISBLANK(B879),"",TEXT(B879,"mmm"))</f>
        <v>Aug</v>
      </c>
      <c r="AL879" s="2" t="n">
        <f aca="false">IF(ISBLANK(B879),"",YEAR(B879))</f>
        <v>2025</v>
      </c>
      <c r="AM879" s="2" t="s">
        <v>41</v>
      </c>
      <c r="AN879" s="2" t="str">
        <f aca="false">IF(OR(W879="Invalid",AJ879="Invalid",AH879="Inconsistent",Z879="Mismatch",AD879="Mismatch",AM879="Yes",D879="Yes",E879="Yes"),"Invalid",IF(OR(J879="Yes",Q879="Yes",U879="Yes"),"Warning","Clean"))</f>
        <v>Clean</v>
      </c>
    </row>
    <row r="880" customFormat="false" ht="15" hidden="false" customHeight="false" outlineLevel="0" collapsed="false">
      <c r="A880" s="2" t="s">
        <v>2724</v>
      </c>
      <c r="B880" s="3" t="n">
        <v>45313</v>
      </c>
      <c r="C880" s="3" t="n">
        <v>45313</v>
      </c>
      <c r="D880" s="2" t="s">
        <v>41</v>
      </c>
      <c r="E880" s="2" t="s">
        <v>41</v>
      </c>
      <c r="F880" s="2" t="s">
        <v>2725</v>
      </c>
      <c r="G880" s="2" t="s">
        <v>43</v>
      </c>
      <c r="H880" s="2" t="s">
        <v>110</v>
      </c>
      <c r="I880" s="2" t="s">
        <v>58</v>
      </c>
      <c r="J880" s="2" t="s">
        <v>41</v>
      </c>
      <c r="K880" s="2" t="s">
        <v>119</v>
      </c>
      <c r="L880" s="2" t="s">
        <v>120</v>
      </c>
      <c r="M880" s="2" t="s">
        <v>48</v>
      </c>
      <c r="N880" s="2" t="s">
        <v>49</v>
      </c>
      <c r="O880" s="2" t="s">
        <v>2726</v>
      </c>
      <c r="P880" s="2" t="s">
        <v>70</v>
      </c>
      <c r="Q880" s="2" t="s">
        <v>41</v>
      </c>
      <c r="R880" s="2" t="n">
        <v>8</v>
      </c>
      <c r="S880" s="2" t="n">
        <v>1557.21</v>
      </c>
      <c r="T880" s="2" t="n">
        <v>0.05</v>
      </c>
      <c r="U880" s="2" t="str">
        <f aca="false">IF(ISBLANK(T880),"Yes","No")</f>
        <v>No</v>
      </c>
      <c r="V880" s="2" t="n">
        <f aca="false">IF(ISBLANK(T880),0,IF(ISNUMBER(T880),T880,VALUE(LEFT(T880,LEN(T880)-1))/100))</f>
        <v>0.05</v>
      </c>
      <c r="W880" s="2" t="str">
        <f aca="false">IF(AND(V880&gt;=0,V880&lt;=0.25),"Valid","Invalid")</f>
        <v>Valid</v>
      </c>
      <c r="X880" s="2" t="n">
        <v>11834.8</v>
      </c>
      <c r="Y880" s="2" t="n">
        <f aca="false">R880*S880*(1-V880)</f>
        <v>11834.796</v>
      </c>
      <c r="Z880" s="2" t="str">
        <f aca="false">IF(ABS(X880-Y880)&gt;1,"Mismatch","OK")</f>
        <v>OK</v>
      </c>
      <c r="AA880" s="2" t="n">
        <v>9322.36</v>
      </c>
      <c r="AB880" s="2" t="n">
        <v>2512.44</v>
      </c>
      <c r="AC880" s="2" t="n">
        <f aca="false">Y880-AA880</f>
        <v>2512.436</v>
      </c>
      <c r="AD880" s="2" t="str">
        <f aca="false">IF(ABS(AB880-AC880)&gt;1,"Mismatch","OK")</f>
        <v>OK</v>
      </c>
      <c r="AE880" s="4" t="n">
        <f aca="false">IF(Y880=0,0,AC880/Y880)</f>
        <v>0.212292294687631</v>
      </c>
      <c r="AF880" s="2" t="s">
        <v>52</v>
      </c>
      <c r="AG880" s="2" t="s">
        <v>53</v>
      </c>
      <c r="AH880" s="2" t="str">
        <f aca="false">IF(AND(AG880="Completed",AF880&lt;&gt;"Paid"),"Inconsistent","OK")</f>
        <v>OK</v>
      </c>
      <c r="AI880" s="2" t="n">
        <f aca="false">IF(OR(ISBLANK(B880),ISBLANK(C880)),"",C880-B880)</f>
        <v>0</v>
      </c>
      <c r="AJ880" s="2" t="str">
        <f aca="false">IF(AI880="","Unknown",IF(AI880&lt;0,"Invalid","OK"))</f>
        <v>OK</v>
      </c>
      <c r="AK880" s="2" t="str">
        <f aca="false">IF(ISBLANK(B880),"",TEXT(B880,"mmm"))</f>
        <v>Jan</v>
      </c>
      <c r="AL880" s="2" t="n">
        <f aca="false">IF(ISBLANK(B880),"",YEAR(B880))</f>
        <v>2024</v>
      </c>
      <c r="AM880" s="2" t="s">
        <v>41</v>
      </c>
      <c r="AN880" s="2" t="str">
        <f aca="false">IF(OR(W880="Invalid",AJ880="Invalid",AH880="Inconsistent",Z880="Mismatch",AD880="Mismatch",AM880="Yes",D880="Yes",E880="Yes"),"Invalid",IF(OR(J880="Yes",Q880="Yes",U880="Yes"),"Warning","Clean"))</f>
        <v>Clean</v>
      </c>
    </row>
    <row r="881" customFormat="false" ht="15" hidden="false" customHeight="false" outlineLevel="0" collapsed="false">
      <c r="A881" s="2" t="s">
        <v>2727</v>
      </c>
      <c r="B881" s="3" t="n">
        <v>45896</v>
      </c>
      <c r="C881" s="3" t="n">
        <v>45897</v>
      </c>
      <c r="D881" s="2" t="s">
        <v>41</v>
      </c>
      <c r="E881" s="2" t="s">
        <v>41</v>
      </c>
      <c r="F881" s="2" t="s">
        <v>2728</v>
      </c>
      <c r="G881" s="2" t="s">
        <v>82</v>
      </c>
      <c r="H881" s="2" t="s">
        <v>115</v>
      </c>
      <c r="I881" s="2" t="s">
        <v>45</v>
      </c>
      <c r="J881" s="2" t="s">
        <v>41</v>
      </c>
      <c r="K881" s="2" t="s">
        <v>156</v>
      </c>
      <c r="L881" s="2" t="s">
        <v>157</v>
      </c>
      <c r="M881" s="2" t="s">
        <v>48</v>
      </c>
      <c r="N881" s="2" t="s">
        <v>68</v>
      </c>
      <c r="O881" s="2" t="s">
        <v>2729</v>
      </c>
      <c r="P881" s="2" t="s">
        <v>79</v>
      </c>
      <c r="Q881" s="2" t="s">
        <v>41</v>
      </c>
      <c r="R881" s="2" t="n">
        <v>6</v>
      </c>
      <c r="S881" s="2" t="n">
        <v>1182.03</v>
      </c>
      <c r="T881" s="2" t="n">
        <v>0.15</v>
      </c>
      <c r="U881" s="2" t="str">
        <f aca="false">IF(ISBLANK(T881),"Yes","No")</f>
        <v>No</v>
      </c>
      <c r="V881" s="2" t="n">
        <f aca="false">IF(ISBLANK(T881),0,IF(ISNUMBER(T881),T881,VALUE(LEFT(T881,LEN(T881)-1))/100))</f>
        <v>0.15</v>
      </c>
      <c r="W881" s="2" t="str">
        <f aca="false">IF(AND(V881&gt;=0,V881&lt;=0.25),"Valid","Invalid")</f>
        <v>Valid</v>
      </c>
      <c r="X881" s="2" t="n">
        <v>6028.35</v>
      </c>
      <c r="Y881" s="2" t="n">
        <f aca="false">R881*S881*(1-V881)</f>
        <v>6028.353</v>
      </c>
      <c r="Z881" s="2" t="str">
        <f aca="false">IF(ABS(X881-Y881)&gt;1,"Mismatch","OK")</f>
        <v>OK</v>
      </c>
      <c r="AA881" s="2" t="n">
        <v>4433.63</v>
      </c>
      <c r="AB881" s="2" t="n">
        <v>1594.72</v>
      </c>
      <c r="AC881" s="2" t="n">
        <f aca="false">Y881-AA881</f>
        <v>1594.723</v>
      </c>
      <c r="AD881" s="2" t="str">
        <f aca="false">IF(ABS(AB881-AC881)&gt;1,"Mismatch","OK")</f>
        <v>OK</v>
      </c>
      <c r="AE881" s="4" t="n">
        <f aca="false">IF(Y881=0,0,AC881/Y881)</f>
        <v>0.264537096616605</v>
      </c>
      <c r="AF881" s="2" t="s">
        <v>52</v>
      </c>
      <c r="AG881" s="2" t="s">
        <v>53</v>
      </c>
      <c r="AH881" s="2" t="str">
        <f aca="false">IF(AND(AG881="Completed",AF881&lt;&gt;"Paid"),"Inconsistent","OK")</f>
        <v>OK</v>
      </c>
      <c r="AI881" s="2" t="n">
        <f aca="false">IF(OR(ISBLANK(B881),ISBLANK(C881)),"",C881-B881)</f>
        <v>1</v>
      </c>
      <c r="AJ881" s="2" t="str">
        <f aca="false">IF(AI881="","Unknown",IF(AI881&lt;0,"Invalid","OK"))</f>
        <v>OK</v>
      </c>
      <c r="AK881" s="2" t="str">
        <f aca="false">IF(ISBLANK(B881),"",TEXT(B881,"mmm"))</f>
        <v>Aug</v>
      </c>
      <c r="AL881" s="2" t="n">
        <f aca="false">IF(ISBLANK(B881),"",YEAR(B881))</f>
        <v>2025</v>
      </c>
      <c r="AM881" s="2" t="s">
        <v>41</v>
      </c>
      <c r="AN881" s="2" t="str">
        <f aca="false">IF(OR(W881="Invalid",AJ881="Invalid",AH881="Inconsistent",Z881="Mismatch",AD881="Mismatch",AM881="Yes",D881="Yes",E881="Yes"),"Invalid",IF(OR(J881="Yes",Q881="Yes",U881="Yes"),"Warning","Clean"))</f>
        <v>Clean</v>
      </c>
    </row>
    <row r="882" customFormat="false" ht="15" hidden="false" customHeight="false" outlineLevel="0" collapsed="false">
      <c r="A882" s="2" t="s">
        <v>2730</v>
      </c>
      <c r="B882" s="3" t="n">
        <v>45359</v>
      </c>
      <c r="C882" s="3" t="n">
        <v>45366</v>
      </c>
      <c r="D882" s="2" t="s">
        <v>41</v>
      </c>
      <c r="E882" s="2" t="s">
        <v>41</v>
      </c>
      <c r="F882" s="2" t="s">
        <v>2731</v>
      </c>
      <c r="G882" s="2" t="s">
        <v>148</v>
      </c>
      <c r="H882" s="2" t="s">
        <v>57</v>
      </c>
      <c r="I882" s="2" t="s">
        <v>225</v>
      </c>
      <c r="J882" s="2" t="s">
        <v>226</v>
      </c>
      <c r="K882" s="2" t="s">
        <v>142</v>
      </c>
      <c r="L882" s="2" t="s">
        <v>143</v>
      </c>
      <c r="M882" s="2" t="s">
        <v>61</v>
      </c>
      <c r="N882" s="2" t="s">
        <v>86</v>
      </c>
      <c r="O882" s="2" t="s">
        <v>2732</v>
      </c>
      <c r="P882" s="2" t="s">
        <v>70</v>
      </c>
      <c r="Q882" s="2" t="s">
        <v>41</v>
      </c>
      <c r="R882" s="2" t="n">
        <v>5</v>
      </c>
      <c r="S882" s="2" t="n">
        <v>3234.77</v>
      </c>
      <c r="T882" s="2" t="n">
        <v>0</v>
      </c>
      <c r="U882" s="2" t="str">
        <f aca="false">IF(ISBLANK(T882),"Yes","No")</f>
        <v>No</v>
      </c>
      <c r="V882" s="2" t="n">
        <f aca="false">IF(ISBLANK(T882),0,IF(ISNUMBER(T882),T882,VALUE(LEFT(T882,LEN(T882)-1))/100))</f>
        <v>0</v>
      </c>
      <c r="W882" s="2" t="str">
        <f aca="false">IF(AND(V882&gt;=0,V882&lt;=0.25),"Valid","Invalid")</f>
        <v>Valid</v>
      </c>
      <c r="X882" s="2" t="n">
        <v>16173.85</v>
      </c>
      <c r="Y882" s="2" t="n">
        <f aca="false">R882*S882*(1-V882)</f>
        <v>16173.85</v>
      </c>
      <c r="Z882" s="2" t="str">
        <f aca="false">IF(ABS(X882-Y882)&gt;1,"Mismatch","OK")</f>
        <v>OK</v>
      </c>
      <c r="AA882" s="2" t="n">
        <v>13636.34</v>
      </c>
      <c r="AB882" s="2" t="n">
        <v>2537.51</v>
      </c>
      <c r="AC882" s="2" t="n">
        <f aca="false">Y882-AA882</f>
        <v>2537.51</v>
      </c>
      <c r="AD882" s="2" t="str">
        <f aca="false">IF(ABS(AB882-AC882)&gt;1,"Mismatch","OK")</f>
        <v>OK</v>
      </c>
      <c r="AE882" s="4" t="n">
        <f aca="false">IF(Y882=0,0,AC882/Y882)</f>
        <v>0.156889670672103</v>
      </c>
      <c r="AF882" s="2" t="s">
        <v>52</v>
      </c>
      <c r="AG882" s="2" t="s">
        <v>53</v>
      </c>
      <c r="AH882" s="2" t="str">
        <f aca="false">IF(AND(AG882="Completed",AF882&lt;&gt;"Paid"),"Inconsistent","OK")</f>
        <v>OK</v>
      </c>
      <c r="AI882" s="2" t="n">
        <f aca="false">IF(OR(ISBLANK(B882),ISBLANK(C882)),"",C882-B882)</f>
        <v>7</v>
      </c>
      <c r="AJ882" s="2" t="str">
        <f aca="false">IF(AI882="","Unknown",IF(AI882&lt;0,"Invalid","OK"))</f>
        <v>OK</v>
      </c>
      <c r="AK882" s="2" t="str">
        <f aca="false">IF(ISBLANK(B882),"",TEXT(B882,"mmm"))</f>
        <v>Mar</v>
      </c>
      <c r="AL882" s="2" t="n">
        <f aca="false">IF(ISBLANK(B882),"",YEAR(B882))</f>
        <v>2024</v>
      </c>
      <c r="AM882" s="2" t="s">
        <v>41</v>
      </c>
      <c r="AN882" s="2" t="str">
        <f aca="false">IF(OR(W882="Invalid",AJ882="Invalid",AH882="Inconsistent",Z882="Mismatch",AD882="Mismatch",AM882="Yes",D882="Yes",E882="Yes"),"Invalid",IF(OR(J882="Yes",Q882="Yes",U882="Yes"),"Warning","Clean"))</f>
        <v>Warning</v>
      </c>
    </row>
    <row r="883" customFormat="false" ht="15" hidden="false" customHeight="false" outlineLevel="0" collapsed="false">
      <c r="A883" s="2" t="s">
        <v>2733</v>
      </c>
      <c r="B883" s="3" t="n">
        <v>45627</v>
      </c>
      <c r="C883" s="3" t="n">
        <v>45631</v>
      </c>
      <c r="D883" s="2" t="s">
        <v>41</v>
      </c>
      <c r="E883" s="2" t="s">
        <v>41</v>
      </c>
      <c r="F883" s="2" t="s">
        <v>2734</v>
      </c>
      <c r="G883" s="2" t="s">
        <v>82</v>
      </c>
      <c r="H883" s="2" t="s">
        <v>57</v>
      </c>
      <c r="I883" s="2" t="s">
        <v>74</v>
      </c>
      <c r="J883" s="2" t="s">
        <v>41</v>
      </c>
      <c r="K883" s="2" t="s">
        <v>104</v>
      </c>
      <c r="L883" s="2" t="s">
        <v>105</v>
      </c>
      <c r="M883" s="2" t="s">
        <v>94</v>
      </c>
      <c r="N883" s="2" t="s">
        <v>100</v>
      </c>
      <c r="O883" s="2" t="s">
        <v>2735</v>
      </c>
      <c r="P883" s="2" t="s">
        <v>51</v>
      </c>
      <c r="Q883" s="2" t="s">
        <v>41</v>
      </c>
      <c r="R883" s="2" t="n">
        <v>9</v>
      </c>
      <c r="S883" s="2" t="n">
        <v>3726.75</v>
      </c>
      <c r="T883" s="2" t="n">
        <v>0.25</v>
      </c>
      <c r="U883" s="2" t="str">
        <f aca="false">IF(ISBLANK(T883),"Yes","No")</f>
        <v>No</v>
      </c>
      <c r="V883" s="2" t="n">
        <f aca="false">IF(ISBLANK(T883),0,IF(ISNUMBER(T883),T883,VALUE(LEFT(T883,LEN(T883)-1))/100))</f>
        <v>0.25</v>
      </c>
      <c r="W883" s="2" t="str">
        <f aca="false">IF(AND(V883&gt;=0,V883&lt;=0.25),"Valid","Invalid")</f>
        <v>Valid</v>
      </c>
      <c r="X883" s="2" t="n">
        <v>25155.56</v>
      </c>
      <c r="Y883" s="2" t="n">
        <f aca="false">R883*S883*(1-V883)</f>
        <v>25155.5625</v>
      </c>
      <c r="Z883" s="2" t="str">
        <f aca="false">IF(ABS(X883-Y883)&gt;1,"Mismatch","OK")</f>
        <v>OK</v>
      </c>
      <c r="AA883" s="2" t="n">
        <v>17592.69</v>
      </c>
      <c r="AB883" s="2" t="n">
        <v>7562.87</v>
      </c>
      <c r="AC883" s="2" t="n">
        <f aca="false">Y883-AA883</f>
        <v>7562.8725</v>
      </c>
      <c r="AD883" s="2" t="str">
        <f aca="false">IF(ABS(AB883-AC883)&gt;1,"Mismatch","OK")</f>
        <v>OK</v>
      </c>
      <c r="AE883" s="4" t="n">
        <f aca="false">IF(Y883=0,0,AC883/Y883)</f>
        <v>0.300644141827479</v>
      </c>
      <c r="AF883" s="2" t="s">
        <v>52</v>
      </c>
      <c r="AG883" s="2" t="s">
        <v>53</v>
      </c>
      <c r="AH883" s="2" t="str">
        <f aca="false">IF(AND(AG883="Completed",AF883&lt;&gt;"Paid"),"Inconsistent","OK")</f>
        <v>OK</v>
      </c>
      <c r="AI883" s="2" t="n">
        <f aca="false">IF(OR(ISBLANK(B883),ISBLANK(C883)),"",C883-B883)</f>
        <v>4</v>
      </c>
      <c r="AJ883" s="2" t="str">
        <f aca="false">IF(AI883="","Unknown",IF(AI883&lt;0,"Invalid","OK"))</f>
        <v>OK</v>
      </c>
      <c r="AK883" s="2" t="str">
        <f aca="false">IF(ISBLANK(B883),"",TEXT(B883,"mmm"))</f>
        <v>Dec</v>
      </c>
      <c r="AL883" s="2" t="n">
        <f aca="false">IF(ISBLANK(B883),"",YEAR(B883))</f>
        <v>2024</v>
      </c>
      <c r="AM883" s="2" t="s">
        <v>41</v>
      </c>
      <c r="AN883" s="2" t="str">
        <f aca="false">IF(OR(W883="Invalid",AJ883="Invalid",AH883="Inconsistent",Z883="Mismatch",AD883="Mismatch",AM883="Yes",D883="Yes",E883="Yes"),"Invalid",IF(OR(J883="Yes",Q883="Yes",U883="Yes"),"Warning","Clean"))</f>
        <v>Clean</v>
      </c>
    </row>
    <row r="884" customFormat="false" ht="15" hidden="false" customHeight="false" outlineLevel="0" collapsed="false">
      <c r="A884" s="2" t="s">
        <v>2736</v>
      </c>
      <c r="B884" s="3" t="n">
        <v>45690</v>
      </c>
      <c r="C884" s="3" t="n">
        <v>45698</v>
      </c>
      <c r="D884" s="2" t="s">
        <v>41</v>
      </c>
      <c r="E884" s="2" t="s">
        <v>41</v>
      </c>
      <c r="F884" s="2" t="s">
        <v>2737</v>
      </c>
      <c r="G884" s="2" t="s">
        <v>152</v>
      </c>
      <c r="H884" s="2" t="s">
        <v>110</v>
      </c>
      <c r="I884" s="2" t="s">
        <v>58</v>
      </c>
      <c r="J884" s="2" t="s">
        <v>41</v>
      </c>
      <c r="K884" s="2" t="s">
        <v>165</v>
      </c>
      <c r="L884" s="2" t="s">
        <v>166</v>
      </c>
      <c r="M884" s="2" t="s">
        <v>94</v>
      </c>
      <c r="N884" s="2" t="s">
        <v>95</v>
      </c>
      <c r="O884" s="2" t="s">
        <v>2738</v>
      </c>
      <c r="P884" s="2" t="s">
        <v>79</v>
      </c>
      <c r="Q884" s="2" t="s">
        <v>41</v>
      </c>
      <c r="R884" s="2" t="n">
        <v>4</v>
      </c>
      <c r="S884" s="2" t="n">
        <v>1912.45</v>
      </c>
      <c r="T884" s="2" t="n">
        <v>0</v>
      </c>
      <c r="U884" s="2" t="str">
        <f aca="false">IF(ISBLANK(T884),"Yes","No")</f>
        <v>No</v>
      </c>
      <c r="V884" s="2" t="n">
        <f aca="false">IF(ISBLANK(T884),0,IF(ISNUMBER(T884),T884,VALUE(LEFT(T884,LEN(T884)-1))/100))</f>
        <v>0</v>
      </c>
      <c r="W884" s="2" t="str">
        <f aca="false">IF(AND(V884&gt;=0,V884&lt;=0.25),"Valid","Invalid")</f>
        <v>Valid</v>
      </c>
      <c r="X884" s="2" t="n">
        <v>7649.8</v>
      </c>
      <c r="Y884" s="2" t="n">
        <f aca="false">R884*S884*(1-V884)</f>
        <v>7649.8</v>
      </c>
      <c r="Z884" s="2" t="str">
        <f aca="false">IF(ABS(X884-Y884)&gt;1,"Mismatch","OK")</f>
        <v>OK</v>
      </c>
      <c r="AA884" s="2" t="n">
        <v>4894.53</v>
      </c>
      <c r="AB884" s="2" t="n">
        <v>2755.27</v>
      </c>
      <c r="AC884" s="2" t="n">
        <f aca="false">Y884-AA884</f>
        <v>2755.27</v>
      </c>
      <c r="AD884" s="2" t="str">
        <f aca="false">IF(ABS(AB884-AC884)&gt;1,"Mismatch","OK")</f>
        <v>OK</v>
      </c>
      <c r="AE884" s="4" t="n">
        <f aca="false">IF(Y884=0,0,AC884/Y884)</f>
        <v>0.360175429422992</v>
      </c>
      <c r="AF884" s="2" t="s">
        <v>131</v>
      </c>
      <c r="AG884" s="2" t="s">
        <v>123</v>
      </c>
      <c r="AH884" s="2" t="str">
        <f aca="false">IF(AND(AG884="Completed",AF884&lt;&gt;"Paid"),"Inconsistent","OK")</f>
        <v>OK</v>
      </c>
      <c r="AI884" s="2" t="n">
        <f aca="false">IF(OR(ISBLANK(B884),ISBLANK(C884)),"",C884-B884)</f>
        <v>8</v>
      </c>
      <c r="AJ884" s="2" t="str">
        <f aca="false">IF(AI884="","Unknown",IF(AI884&lt;0,"Invalid","OK"))</f>
        <v>OK</v>
      </c>
      <c r="AK884" s="2" t="str">
        <f aca="false">IF(ISBLANK(B884),"",TEXT(B884,"mmm"))</f>
        <v>Feb</v>
      </c>
      <c r="AL884" s="2" t="n">
        <f aca="false">IF(ISBLANK(B884),"",YEAR(B884))</f>
        <v>2025</v>
      </c>
      <c r="AM884" s="2" t="s">
        <v>41</v>
      </c>
      <c r="AN884" s="2" t="str">
        <f aca="false">IF(OR(W884="Invalid",AJ884="Invalid",AH884="Inconsistent",Z884="Mismatch",AD884="Mismatch",AM884="Yes",D884="Yes",E884="Yes"),"Invalid",IF(OR(J884="Yes",Q884="Yes",U884="Yes"),"Warning","Clean"))</f>
        <v>Clean</v>
      </c>
    </row>
    <row r="885" customFormat="false" ht="15" hidden="false" customHeight="false" outlineLevel="0" collapsed="false">
      <c r="A885" s="2" t="s">
        <v>2739</v>
      </c>
      <c r="B885" s="3" t="n">
        <v>45775</v>
      </c>
      <c r="C885" s="3" t="n">
        <v>45778</v>
      </c>
      <c r="D885" s="2" t="s">
        <v>41</v>
      </c>
      <c r="E885" s="2" t="s">
        <v>41</v>
      </c>
      <c r="F885" s="2" t="s">
        <v>2740</v>
      </c>
      <c r="G885" s="2" t="s">
        <v>148</v>
      </c>
      <c r="H885" s="2" t="s">
        <v>57</v>
      </c>
      <c r="I885" s="2" t="s">
        <v>83</v>
      </c>
      <c r="J885" s="2" t="s">
        <v>41</v>
      </c>
      <c r="K885" s="2" t="s">
        <v>210</v>
      </c>
      <c r="L885" s="2" t="s">
        <v>211</v>
      </c>
      <c r="M885" s="2" t="s">
        <v>48</v>
      </c>
      <c r="N885" s="2" t="s">
        <v>144</v>
      </c>
      <c r="O885" s="2" t="s">
        <v>2741</v>
      </c>
      <c r="P885" s="2" t="s">
        <v>64</v>
      </c>
      <c r="Q885" s="2" t="s">
        <v>41</v>
      </c>
      <c r="R885" s="2" t="n">
        <v>1</v>
      </c>
      <c r="S885" s="2" t="n">
        <v>1620.87</v>
      </c>
      <c r="T885" s="2" t="n">
        <v>0</v>
      </c>
      <c r="U885" s="2" t="str">
        <f aca="false">IF(ISBLANK(T885),"Yes","No")</f>
        <v>No</v>
      </c>
      <c r="V885" s="2" t="n">
        <f aca="false">IF(ISBLANK(T885),0,IF(ISNUMBER(T885),T885,VALUE(LEFT(T885,LEN(T885)-1))/100))</f>
        <v>0</v>
      </c>
      <c r="W885" s="2" t="str">
        <f aca="false">IF(AND(V885&gt;=0,V885&lt;=0.25),"Valid","Invalid")</f>
        <v>Valid</v>
      </c>
      <c r="X885" s="2" t="n">
        <v>1620.87</v>
      </c>
      <c r="Y885" s="2" t="n">
        <f aca="false">R885*S885*(1-V885)</f>
        <v>1620.87</v>
      </c>
      <c r="Z885" s="2" t="str">
        <f aca="false">IF(ABS(X885-Y885)&gt;1,"Mismatch","OK")</f>
        <v>OK</v>
      </c>
      <c r="AA885" s="2" t="n">
        <v>1103.61</v>
      </c>
      <c r="AB885" s="2" t="n">
        <v>517.26</v>
      </c>
      <c r="AC885" s="2" t="n">
        <f aca="false">Y885-AA885</f>
        <v>517.26</v>
      </c>
      <c r="AD885" s="2" t="str">
        <f aca="false">IF(ABS(AB885-AC885)&gt;1,"Mismatch","OK")</f>
        <v>OK</v>
      </c>
      <c r="AE885" s="4" t="n">
        <f aca="false">IF(Y885=0,0,AC885/Y885)</f>
        <v>0.319124914397823</v>
      </c>
      <c r="AF885" s="2" t="s">
        <v>52</v>
      </c>
      <c r="AG885" s="2" t="s">
        <v>53</v>
      </c>
      <c r="AH885" s="2" t="str">
        <f aca="false">IF(AND(AG885="Completed",AF885&lt;&gt;"Paid"),"Inconsistent","OK")</f>
        <v>OK</v>
      </c>
      <c r="AI885" s="2" t="n">
        <f aca="false">IF(OR(ISBLANK(B885),ISBLANK(C885)),"",C885-B885)</f>
        <v>3</v>
      </c>
      <c r="AJ885" s="2" t="str">
        <f aca="false">IF(AI885="","Unknown",IF(AI885&lt;0,"Invalid","OK"))</f>
        <v>OK</v>
      </c>
      <c r="AK885" s="2" t="str">
        <f aca="false">IF(ISBLANK(B885),"",TEXT(B885,"mmm"))</f>
        <v>Apr</v>
      </c>
      <c r="AL885" s="2" t="n">
        <f aca="false">IF(ISBLANK(B885),"",YEAR(B885))</f>
        <v>2025</v>
      </c>
      <c r="AM885" s="2" t="s">
        <v>41</v>
      </c>
      <c r="AN885" s="2" t="str">
        <f aca="false">IF(OR(W885="Invalid",AJ885="Invalid",AH885="Inconsistent",Z885="Mismatch",AD885="Mismatch",AM885="Yes",D885="Yes",E885="Yes"),"Invalid",IF(OR(J885="Yes",Q885="Yes",U885="Yes"),"Warning","Clean"))</f>
        <v>Clean</v>
      </c>
    </row>
    <row r="886" customFormat="false" ht="15" hidden="false" customHeight="false" outlineLevel="0" collapsed="false">
      <c r="A886" s="2" t="s">
        <v>2742</v>
      </c>
      <c r="B886" s="3" t="n">
        <v>45675</v>
      </c>
      <c r="C886" s="3" t="n">
        <v>45682</v>
      </c>
      <c r="D886" s="2" t="s">
        <v>41</v>
      </c>
      <c r="E886" s="2" t="s">
        <v>41</v>
      </c>
      <c r="F886" s="2" t="s">
        <v>2743</v>
      </c>
      <c r="G886" s="2" t="s">
        <v>99</v>
      </c>
      <c r="H886" s="2" t="s">
        <v>115</v>
      </c>
      <c r="I886" s="2" t="s">
        <v>74</v>
      </c>
      <c r="J886" s="2" t="s">
        <v>41</v>
      </c>
      <c r="K886" s="2" t="s">
        <v>195</v>
      </c>
      <c r="L886" s="2" t="s">
        <v>196</v>
      </c>
      <c r="M886" s="2" t="s">
        <v>48</v>
      </c>
      <c r="N886" s="2" t="s">
        <v>144</v>
      </c>
      <c r="O886" s="2" t="s">
        <v>2744</v>
      </c>
      <c r="P886" s="2" t="s">
        <v>64</v>
      </c>
      <c r="Q886" s="2" t="s">
        <v>41</v>
      </c>
      <c r="R886" s="2" t="n">
        <v>2</v>
      </c>
      <c r="S886" s="2" t="n">
        <v>2098.54</v>
      </c>
      <c r="T886" s="2" t="n">
        <v>0.15</v>
      </c>
      <c r="U886" s="2" t="str">
        <f aca="false">IF(ISBLANK(T886),"Yes","No")</f>
        <v>No</v>
      </c>
      <c r="V886" s="2" t="n">
        <f aca="false">IF(ISBLANK(T886),0,IF(ISNUMBER(T886),T886,VALUE(LEFT(T886,LEN(T886)-1))/100))</f>
        <v>0.15</v>
      </c>
      <c r="W886" s="2" t="str">
        <f aca="false">IF(AND(V886&gt;=0,V886&lt;=0.25),"Valid","Invalid")</f>
        <v>Valid</v>
      </c>
      <c r="X886" s="2" t="n">
        <v>3567.52</v>
      </c>
      <c r="Y886" s="2" t="n">
        <f aca="false">R886*S886*(1-V886)</f>
        <v>3567.518</v>
      </c>
      <c r="Z886" s="2" t="str">
        <f aca="false">IF(ABS(X886-Y886)&gt;1,"Mismatch","OK")</f>
        <v>OK</v>
      </c>
      <c r="AA886" s="2" t="n">
        <v>2411.8</v>
      </c>
      <c r="AB886" s="2" t="n">
        <v>1155.72</v>
      </c>
      <c r="AC886" s="2" t="n">
        <f aca="false">Y886-AA886</f>
        <v>1155.718</v>
      </c>
      <c r="AD886" s="2" t="str">
        <f aca="false">IF(ABS(AB886-AC886)&gt;1,"Mismatch","OK")</f>
        <v>OK</v>
      </c>
      <c r="AE886" s="4" t="n">
        <f aca="false">IF(Y886=0,0,AC886/Y886)</f>
        <v>0.323955758597434</v>
      </c>
      <c r="AF886" s="2" t="s">
        <v>52</v>
      </c>
      <c r="AG886" s="2" t="s">
        <v>53</v>
      </c>
      <c r="AH886" s="2" t="str">
        <f aca="false">IF(AND(AG886="Completed",AF886&lt;&gt;"Paid"),"Inconsistent","OK")</f>
        <v>OK</v>
      </c>
      <c r="AI886" s="2" t="n">
        <f aca="false">IF(OR(ISBLANK(B886),ISBLANK(C886)),"",C886-B886)</f>
        <v>7</v>
      </c>
      <c r="AJ886" s="2" t="str">
        <f aca="false">IF(AI886="","Unknown",IF(AI886&lt;0,"Invalid","OK"))</f>
        <v>OK</v>
      </c>
      <c r="AK886" s="2" t="str">
        <f aca="false">IF(ISBLANK(B886),"",TEXT(B886,"mmm"))</f>
        <v>Jan</v>
      </c>
      <c r="AL886" s="2" t="n">
        <f aca="false">IF(ISBLANK(B886),"",YEAR(B886))</f>
        <v>2025</v>
      </c>
      <c r="AM886" s="2" t="s">
        <v>41</v>
      </c>
      <c r="AN886" s="2" t="str">
        <f aca="false">IF(OR(W886="Invalid",AJ886="Invalid",AH886="Inconsistent",Z886="Mismatch",AD886="Mismatch",AM886="Yes",D886="Yes",E886="Yes"),"Invalid",IF(OR(J886="Yes",Q886="Yes",U886="Yes"),"Warning","Clean"))</f>
        <v>Clean</v>
      </c>
    </row>
    <row r="887" customFormat="false" ht="15" hidden="false" customHeight="false" outlineLevel="0" collapsed="false">
      <c r="A887" s="2" t="s">
        <v>2745</v>
      </c>
      <c r="B887" s="3" t="n">
        <v>45296</v>
      </c>
      <c r="C887" s="3" t="n">
        <v>45296</v>
      </c>
      <c r="D887" s="2" t="s">
        <v>41</v>
      </c>
      <c r="E887" s="2" t="s">
        <v>41</v>
      </c>
      <c r="F887" s="2" t="s">
        <v>2746</v>
      </c>
      <c r="G887" s="2" t="s">
        <v>182</v>
      </c>
      <c r="H887" s="2" t="s">
        <v>44</v>
      </c>
      <c r="I887" s="2" t="s">
        <v>45</v>
      </c>
      <c r="J887" s="2" t="s">
        <v>41</v>
      </c>
      <c r="K887" s="2" t="s">
        <v>46</v>
      </c>
      <c r="L887" s="2" t="s">
        <v>47</v>
      </c>
      <c r="M887" s="2" t="s">
        <v>61</v>
      </c>
      <c r="N887" s="2" t="s">
        <v>62</v>
      </c>
      <c r="O887" s="2" t="s">
        <v>2747</v>
      </c>
      <c r="P887" s="2" t="s">
        <v>79</v>
      </c>
      <c r="Q887" s="2" t="s">
        <v>41</v>
      </c>
      <c r="R887" s="2" t="n">
        <v>1</v>
      </c>
      <c r="S887" s="2" t="n">
        <v>2167.08</v>
      </c>
      <c r="T887" s="2" t="n">
        <v>0.25</v>
      </c>
      <c r="U887" s="2" t="str">
        <f aca="false">IF(ISBLANK(T887),"Yes","No")</f>
        <v>No</v>
      </c>
      <c r="V887" s="2" t="n">
        <f aca="false">IF(ISBLANK(T887),0,IF(ISNUMBER(T887),T887,VALUE(LEFT(T887,LEN(T887)-1))/100))</f>
        <v>0.25</v>
      </c>
      <c r="W887" s="2" t="str">
        <f aca="false">IF(AND(V887&gt;=0,V887&lt;=0.25),"Valid","Invalid")</f>
        <v>Valid</v>
      </c>
      <c r="X887" s="2" t="n">
        <v>1625.31</v>
      </c>
      <c r="Y887" s="2" t="n">
        <f aca="false">R887*S887*(1-V887)</f>
        <v>1625.31</v>
      </c>
      <c r="Z887" s="2" t="str">
        <f aca="false">IF(ABS(X887-Y887)&gt;1,"Mismatch","OK")</f>
        <v>OK</v>
      </c>
      <c r="AA887" s="2" t="n">
        <v>1157.89</v>
      </c>
      <c r="AB887" s="2" t="n">
        <v>467.42</v>
      </c>
      <c r="AC887" s="2" t="n">
        <f aca="false">Y887-AA887</f>
        <v>467.42</v>
      </c>
      <c r="AD887" s="2" t="str">
        <f aca="false">IF(ABS(AB887-AC887)&gt;1,"Mismatch","OK")</f>
        <v>OK</v>
      </c>
      <c r="AE887" s="4" t="n">
        <f aca="false">IF(Y887=0,0,AC887/Y887)</f>
        <v>0.287588213940725</v>
      </c>
      <c r="AF887" s="2" t="s">
        <v>52</v>
      </c>
      <c r="AG887" s="2" t="s">
        <v>53</v>
      </c>
      <c r="AH887" s="2" t="str">
        <f aca="false">IF(AND(AG887="Completed",AF887&lt;&gt;"Paid"),"Inconsistent","OK")</f>
        <v>OK</v>
      </c>
      <c r="AI887" s="2" t="n">
        <f aca="false">IF(OR(ISBLANK(B887),ISBLANK(C887)),"",C887-B887)</f>
        <v>0</v>
      </c>
      <c r="AJ887" s="2" t="str">
        <f aca="false">IF(AI887="","Unknown",IF(AI887&lt;0,"Invalid","OK"))</f>
        <v>OK</v>
      </c>
      <c r="AK887" s="2" t="str">
        <f aca="false">IF(ISBLANK(B887),"",TEXT(B887,"mmm"))</f>
        <v>Jan</v>
      </c>
      <c r="AL887" s="2" t="n">
        <f aca="false">IF(ISBLANK(B887),"",YEAR(B887))</f>
        <v>2024</v>
      </c>
      <c r="AM887" s="2" t="s">
        <v>41</v>
      </c>
      <c r="AN887" s="2" t="str">
        <f aca="false">IF(OR(W887="Invalid",AJ887="Invalid",AH887="Inconsistent",Z887="Mismatch",AD887="Mismatch",AM887="Yes",D887="Yes",E887="Yes"),"Invalid",IF(OR(J887="Yes",Q887="Yes",U887="Yes"),"Warning","Clean"))</f>
        <v>Clean</v>
      </c>
    </row>
    <row r="888" customFormat="false" ht="15" hidden="false" customHeight="false" outlineLevel="0" collapsed="false">
      <c r="A888" s="2" t="s">
        <v>2748</v>
      </c>
      <c r="B888" s="3" t="n">
        <v>45773</v>
      </c>
      <c r="C888" s="3" t="n">
        <v>45780</v>
      </c>
      <c r="D888" s="2" t="s">
        <v>41</v>
      </c>
      <c r="E888" s="2" t="s">
        <v>41</v>
      </c>
      <c r="F888" s="2" t="s">
        <v>2749</v>
      </c>
      <c r="G888" s="2" t="s">
        <v>73</v>
      </c>
      <c r="H888" s="2" t="s">
        <v>115</v>
      </c>
      <c r="I888" s="2" t="s">
        <v>74</v>
      </c>
      <c r="J888" s="2" t="s">
        <v>41</v>
      </c>
      <c r="K888" s="2" t="s">
        <v>269</v>
      </c>
      <c r="L888" s="2" t="s">
        <v>270</v>
      </c>
      <c r="M888" s="2" t="s">
        <v>94</v>
      </c>
      <c r="N888" s="2" t="s">
        <v>95</v>
      </c>
      <c r="O888" s="2" t="s">
        <v>2750</v>
      </c>
      <c r="P888" s="2" t="s">
        <v>70</v>
      </c>
      <c r="Q888" s="2" t="s">
        <v>41</v>
      </c>
      <c r="R888" s="2" t="n">
        <v>7</v>
      </c>
      <c r="S888" s="2" t="n">
        <v>3989.9</v>
      </c>
      <c r="T888" s="2" t="n">
        <v>0.15</v>
      </c>
      <c r="U888" s="2" t="str">
        <f aca="false">IF(ISBLANK(T888),"Yes","No")</f>
        <v>No</v>
      </c>
      <c r="V888" s="2" t="n">
        <f aca="false">IF(ISBLANK(T888),0,IF(ISNUMBER(T888),T888,VALUE(LEFT(T888,LEN(T888)-1))/100))</f>
        <v>0.15</v>
      </c>
      <c r="W888" s="2" t="str">
        <f aca="false">IF(AND(V888&gt;=0,V888&lt;=0.25),"Valid","Invalid")</f>
        <v>Valid</v>
      </c>
      <c r="X888" s="2" t="n">
        <v>23739.9</v>
      </c>
      <c r="Y888" s="2" t="n">
        <f aca="false">R888*S888*(1-V888)</f>
        <v>23739.905</v>
      </c>
      <c r="Z888" s="2" t="str">
        <f aca="false">IF(ABS(X888-Y888)&gt;1,"Mismatch","OK")</f>
        <v>OK</v>
      </c>
      <c r="AA888" s="2" t="n">
        <v>17716.52</v>
      </c>
      <c r="AB888" s="2" t="n">
        <v>6023.38</v>
      </c>
      <c r="AC888" s="2" t="n">
        <f aca="false">Y888-AA888</f>
        <v>6023.385</v>
      </c>
      <c r="AD888" s="2" t="str">
        <f aca="false">IF(ABS(AB888-AC888)&gt;1,"Mismatch","OK")</f>
        <v>OK</v>
      </c>
      <c r="AE888" s="4" t="n">
        <f aca="false">IF(Y888=0,0,AC888/Y888)</f>
        <v>0.25372405660427</v>
      </c>
      <c r="AF888" s="2" t="s">
        <v>52</v>
      </c>
      <c r="AG888" s="2" t="s">
        <v>88</v>
      </c>
      <c r="AH888" s="2" t="str">
        <f aca="false">IF(AND(AG888="Completed",AF888&lt;&gt;"Paid"),"Inconsistent","OK")</f>
        <v>OK</v>
      </c>
      <c r="AI888" s="2" t="n">
        <f aca="false">IF(OR(ISBLANK(B888),ISBLANK(C888)),"",C888-B888)</f>
        <v>7</v>
      </c>
      <c r="AJ888" s="2" t="str">
        <f aca="false">IF(AI888="","Unknown",IF(AI888&lt;0,"Invalid","OK"))</f>
        <v>OK</v>
      </c>
      <c r="AK888" s="2" t="str">
        <f aca="false">IF(ISBLANK(B888),"",TEXT(B888,"mmm"))</f>
        <v>Apr</v>
      </c>
      <c r="AL888" s="2" t="n">
        <f aca="false">IF(ISBLANK(B888),"",YEAR(B888))</f>
        <v>2025</v>
      </c>
      <c r="AM888" s="2" t="s">
        <v>41</v>
      </c>
      <c r="AN888" s="2" t="str">
        <f aca="false">IF(OR(W888="Invalid",AJ888="Invalid",AH888="Inconsistent",Z888="Mismatch",AD888="Mismatch",AM888="Yes",D888="Yes",E888="Yes"),"Invalid",IF(OR(J888="Yes",Q888="Yes",U888="Yes"),"Warning","Clean"))</f>
        <v>Clean</v>
      </c>
    </row>
    <row r="889" customFormat="false" ht="15" hidden="false" customHeight="false" outlineLevel="0" collapsed="false">
      <c r="A889" s="2" t="s">
        <v>2751</v>
      </c>
      <c r="B889" s="3" t="n">
        <v>45455</v>
      </c>
      <c r="C889" s="3" t="n">
        <v>45461</v>
      </c>
      <c r="D889" s="2" t="s">
        <v>41</v>
      </c>
      <c r="E889" s="2" t="s">
        <v>41</v>
      </c>
      <c r="F889" s="2" t="s">
        <v>2752</v>
      </c>
      <c r="G889" s="2" t="s">
        <v>148</v>
      </c>
      <c r="H889" s="2" t="s">
        <v>57</v>
      </c>
      <c r="I889" s="2" t="s">
        <v>74</v>
      </c>
      <c r="J889" s="2" t="s">
        <v>41</v>
      </c>
      <c r="K889" s="2" t="s">
        <v>104</v>
      </c>
      <c r="L889" s="2" t="s">
        <v>105</v>
      </c>
      <c r="M889" s="2" t="s">
        <v>48</v>
      </c>
      <c r="N889" s="2" t="s">
        <v>68</v>
      </c>
      <c r="O889" s="2" t="s">
        <v>2753</v>
      </c>
      <c r="P889" s="2" t="s">
        <v>79</v>
      </c>
      <c r="Q889" s="2" t="s">
        <v>41</v>
      </c>
      <c r="R889" s="2" t="n">
        <v>4</v>
      </c>
      <c r="S889" s="2" t="n">
        <v>4176.13</v>
      </c>
      <c r="T889" s="2" t="n">
        <v>0</v>
      </c>
      <c r="U889" s="2" t="str">
        <f aca="false">IF(ISBLANK(T889),"Yes","No")</f>
        <v>No</v>
      </c>
      <c r="V889" s="2" t="n">
        <f aca="false">IF(ISBLANK(T889),0,IF(ISNUMBER(T889),T889,VALUE(LEFT(T889,LEN(T889)-1))/100))</f>
        <v>0</v>
      </c>
      <c r="W889" s="2" t="str">
        <f aca="false">IF(AND(V889&gt;=0,V889&lt;=0.25),"Valid","Invalid")</f>
        <v>Valid</v>
      </c>
      <c r="X889" s="2" t="n">
        <v>16704.52</v>
      </c>
      <c r="Y889" s="2" t="n">
        <f aca="false">R889*S889*(1-V889)</f>
        <v>16704.52</v>
      </c>
      <c r="Z889" s="2" t="str">
        <f aca="false">IF(ABS(X889-Y889)&gt;1,"Mismatch","OK")</f>
        <v>OK</v>
      </c>
      <c r="AA889" s="2" t="n">
        <v>10158.28</v>
      </c>
      <c r="AB889" s="2" t="n">
        <v>6546.24</v>
      </c>
      <c r="AC889" s="2" t="n">
        <f aca="false">Y889-AA889</f>
        <v>6546.24</v>
      </c>
      <c r="AD889" s="2" t="str">
        <f aca="false">IF(ABS(AB889-AC889)&gt;1,"Mismatch","OK")</f>
        <v>OK</v>
      </c>
      <c r="AE889" s="4" t="n">
        <f aca="false">IF(Y889=0,0,AC889/Y889)</f>
        <v>0.391884352259149</v>
      </c>
      <c r="AF889" s="2" t="s">
        <v>52</v>
      </c>
      <c r="AG889" s="2" t="s">
        <v>53</v>
      </c>
      <c r="AH889" s="2" t="str">
        <f aca="false">IF(AND(AG889="Completed",AF889&lt;&gt;"Paid"),"Inconsistent","OK")</f>
        <v>OK</v>
      </c>
      <c r="AI889" s="2" t="n">
        <f aca="false">IF(OR(ISBLANK(B889),ISBLANK(C889)),"",C889-B889)</f>
        <v>6</v>
      </c>
      <c r="AJ889" s="2" t="str">
        <f aca="false">IF(AI889="","Unknown",IF(AI889&lt;0,"Invalid","OK"))</f>
        <v>OK</v>
      </c>
      <c r="AK889" s="2" t="str">
        <f aca="false">IF(ISBLANK(B889),"",TEXT(B889,"mmm"))</f>
        <v>Jun</v>
      </c>
      <c r="AL889" s="2" t="n">
        <f aca="false">IF(ISBLANK(B889),"",YEAR(B889))</f>
        <v>2024</v>
      </c>
      <c r="AM889" s="2" t="s">
        <v>41</v>
      </c>
      <c r="AN889" s="2" t="str">
        <f aca="false">IF(OR(W889="Invalid",AJ889="Invalid",AH889="Inconsistent",Z889="Mismatch",AD889="Mismatch",AM889="Yes",D889="Yes",E889="Yes"),"Invalid",IF(OR(J889="Yes",Q889="Yes",U889="Yes"),"Warning","Clean"))</f>
        <v>Clean</v>
      </c>
    </row>
    <row r="890" customFormat="false" ht="15" hidden="false" customHeight="false" outlineLevel="0" collapsed="false">
      <c r="A890" s="2" t="s">
        <v>2754</v>
      </c>
      <c r="B890" s="3" t="n">
        <v>45875</v>
      </c>
      <c r="C890" s="3" t="n">
        <v>45876</v>
      </c>
      <c r="D890" s="2" t="s">
        <v>41</v>
      </c>
      <c r="E890" s="2" t="s">
        <v>41</v>
      </c>
      <c r="F890" s="2" t="s">
        <v>2755</v>
      </c>
      <c r="G890" s="2" t="s">
        <v>138</v>
      </c>
      <c r="H890" s="2" t="s">
        <v>57</v>
      </c>
      <c r="I890" s="2" t="s">
        <v>83</v>
      </c>
      <c r="J890" s="2" t="s">
        <v>41</v>
      </c>
      <c r="K890" s="2" t="s">
        <v>84</v>
      </c>
      <c r="L890" s="2" t="s">
        <v>85</v>
      </c>
      <c r="M890" s="2" t="s">
        <v>48</v>
      </c>
      <c r="N890" s="2" t="s">
        <v>68</v>
      </c>
      <c r="O890" s="2" t="s">
        <v>2756</v>
      </c>
      <c r="P890" s="2" t="s">
        <v>79</v>
      </c>
      <c r="Q890" s="2" t="s">
        <v>41</v>
      </c>
      <c r="R890" s="2" t="n">
        <v>4</v>
      </c>
      <c r="S890" s="2" t="n">
        <v>3523.64</v>
      </c>
      <c r="T890" s="2" t="n">
        <v>0.1</v>
      </c>
      <c r="U890" s="2" t="str">
        <f aca="false">IF(ISBLANK(T890),"Yes","No")</f>
        <v>No</v>
      </c>
      <c r="V890" s="2" t="n">
        <f aca="false">IF(ISBLANK(T890),0,IF(ISNUMBER(T890),T890,VALUE(LEFT(T890,LEN(T890)-1))/100))</f>
        <v>0.1</v>
      </c>
      <c r="W890" s="2" t="str">
        <f aca="false">IF(AND(V890&gt;=0,V890&lt;=0.25),"Valid","Invalid")</f>
        <v>Valid</v>
      </c>
      <c r="X890" s="2" t="n">
        <v>12685.1</v>
      </c>
      <c r="Y890" s="2" t="n">
        <f aca="false">R890*S890*(1-V890)</f>
        <v>12685.104</v>
      </c>
      <c r="Z890" s="2" t="str">
        <f aca="false">IF(ABS(X890-Y890)&gt;1,"Mismatch","OK")</f>
        <v>OK</v>
      </c>
      <c r="AA890" s="2" t="n">
        <v>10779.56</v>
      </c>
      <c r="AB890" s="2" t="n">
        <v>1905.54</v>
      </c>
      <c r="AC890" s="2" t="n">
        <f aca="false">Y890-AA890</f>
        <v>1905.544</v>
      </c>
      <c r="AD890" s="2" t="str">
        <f aca="false">IF(ABS(AB890-AC890)&gt;1,"Mismatch","OK")</f>
        <v>OK</v>
      </c>
      <c r="AE890" s="4" t="n">
        <f aca="false">IF(Y890=0,0,AC890/Y890)</f>
        <v>0.150219028555067</v>
      </c>
      <c r="AF890" s="2" t="s">
        <v>122</v>
      </c>
      <c r="AG890" s="2" t="s">
        <v>88</v>
      </c>
      <c r="AH890" s="2" t="str">
        <f aca="false">IF(AND(AG890="Completed",AF890&lt;&gt;"Paid"),"Inconsistent","OK")</f>
        <v>OK</v>
      </c>
      <c r="AI890" s="2" t="n">
        <f aca="false">IF(OR(ISBLANK(B890),ISBLANK(C890)),"",C890-B890)</f>
        <v>1</v>
      </c>
      <c r="AJ890" s="2" t="str">
        <f aca="false">IF(AI890="","Unknown",IF(AI890&lt;0,"Invalid","OK"))</f>
        <v>OK</v>
      </c>
      <c r="AK890" s="2" t="str">
        <f aca="false">IF(ISBLANK(B890),"",TEXT(B890,"mmm"))</f>
        <v>Aug</v>
      </c>
      <c r="AL890" s="2" t="n">
        <f aca="false">IF(ISBLANK(B890),"",YEAR(B890))</f>
        <v>2025</v>
      </c>
      <c r="AM890" s="2" t="s">
        <v>41</v>
      </c>
      <c r="AN890" s="2" t="str">
        <f aca="false">IF(OR(W890="Invalid",AJ890="Invalid",AH890="Inconsistent",Z890="Mismatch",AD890="Mismatch",AM890="Yes",D890="Yes",E890="Yes"),"Invalid",IF(OR(J890="Yes",Q890="Yes",U890="Yes"),"Warning","Clean"))</f>
        <v>Clean</v>
      </c>
    </row>
    <row r="891" customFormat="false" ht="15" hidden="false" customHeight="false" outlineLevel="0" collapsed="false">
      <c r="A891" s="2" t="s">
        <v>2757</v>
      </c>
      <c r="B891" s="3" t="n">
        <v>45726</v>
      </c>
      <c r="C891" s="3" t="n">
        <v>45727</v>
      </c>
      <c r="D891" s="2" t="s">
        <v>41</v>
      </c>
      <c r="E891" s="2" t="s">
        <v>41</v>
      </c>
      <c r="F891" s="2" t="s">
        <v>906</v>
      </c>
      <c r="G891" s="2" t="s">
        <v>109</v>
      </c>
      <c r="H891" s="2" t="s">
        <v>115</v>
      </c>
      <c r="I891" s="2" t="s">
        <v>83</v>
      </c>
      <c r="J891" s="2" t="s">
        <v>41</v>
      </c>
      <c r="K891" s="2" t="s">
        <v>92</v>
      </c>
      <c r="L891" s="2" t="s">
        <v>93</v>
      </c>
      <c r="M891" s="2" t="s">
        <v>48</v>
      </c>
      <c r="N891" s="2" t="s">
        <v>144</v>
      </c>
      <c r="O891" s="2" t="s">
        <v>2758</v>
      </c>
      <c r="P891" s="2" t="s">
        <v>70</v>
      </c>
      <c r="Q891" s="2" t="s">
        <v>41</v>
      </c>
      <c r="R891" s="2" t="n">
        <v>2</v>
      </c>
      <c r="S891" s="2" t="n">
        <v>3922.08</v>
      </c>
      <c r="T891" s="2" t="n">
        <v>0.25</v>
      </c>
      <c r="U891" s="2" t="str">
        <f aca="false">IF(ISBLANK(T891),"Yes","No")</f>
        <v>No</v>
      </c>
      <c r="V891" s="2" t="n">
        <f aca="false">IF(ISBLANK(T891),0,IF(ISNUMBER(T891),T891,VALUE(LEFT(T891,LEN(T891)-1))/100))</f>
        <v>0.25</v>
      </c>
      <c r="W891" s="2" t="str">
        <f aca="false">IF(AND(V891&gt;=0,V891&lt;=0.25),"Valid","Invalid")</f>
        <v>Valid</v>
      </c>
      <c r="X891" s="2" t="n">
        <v>5883.12</v>
      </c>
      <c r="Y891" s="2" t="n">
        <f aca="false">R891*S891*(1-V891)</f>
        <v>5883.12</v>
      </c>
      <c r="Z891" s="2" t="str">
        <f aca="false">IF(ABS(X891-Y891)&gt;1,"Mismatch","OK")</f>
        <v>OK</v>
      </c>
      <c r="AA891" s="2" t="n">
        <v>4647.91</v>
      </c>
      <c r="AB891" s="2" t="n">
        <v>1235.21</v>
      </c>
      <c r="AC891" s="2" t="n">
        <f aca="false">Y891-AA891</f>
        <v>1235.21</v>
      </c>
      <c r="AD891" s="2" t="str">
        <f aca="false">IF(ABS(AB891-AC891)&gt;1,"Mismatch","OK")</f>
        <v>OK</v>
      </c>
      <c r="AE891" s="4" t="n">
        <f aca="false">IF(Y891=0,0,AC891/Y891)</f>
        <v>0.209958321434885</v>
      </c>
      <c r="AF891" s="2" t="s">
        <v>52</v>
      </c>
      <c r="AG891" s="2" t="s">
        <v>123</v>
      </c>
      <c r="AH891" s="2" t="str">
        <f aca="false">IF(AND(AG891="Completed",AF891&lt;&gt;"Paid"),"Inconsistent","OK")</f>
        <v>OK</v>
      </c>
      <c r="AI891" s="2" t="n">
        <f aca="false">IF(OR(ISBLANK(B891),ISBLANK(C891)),"",C891-B891)</f>
        <v>1</v>
      </c>
      <c r="AJ891" s="2" t="str">
        <f aca="false">IF(AI891="","Unknown",IF(AI891&lt;0,"Invalid","OK"))</f>
        <v>OK</v>
      </c>
      <c r="AK891" s="2" t="str">
        <f aca="false">IF(ISBLANK(B891),"",TEXT(B891,"mmm"))</f>
        <v>Mar</v>
      </c>
      <c r="AL891" s="2" t="n">
        <f aca="false">IF(ISBLANK(B891),"",YEAR(B891))</f>
        <v>2025</v>
      </c>
      <c r="AM891" s="2" t="s">
        <v>41</v>
      </c>
      <c r="AN891" s="2" t="str">
        <f aca="false">IF(OR(W891="Invalid",AJ891="Invalid",AH891="Inconsistent",Z891="Mismatch",AD891="Mismatch",AM891="Yes",D891="Yes",E891="Yes"),"Invalid",IF(OR(J891="Yes",Q891="Yes",U891="Yes"),"Warning","Clean"))</f>
        <v>Clean</v>
      </c>
    </row>
    <row r="892" customFormat="false" ht="15" hidden="false" customHeight="false" outlineLevel="0" collapsed="false">
      <c r="A892" s="2" t="s">
        <v>2759</v>
      </c>
      <c r="B892" s="3" t="n">
        <v>45427</v>
      </c>
      <c r="C892" s="3" t="n">
        <v>45433</v>
      </c>
      <c r="D892" s="2" t="s">
        <v>41</v>
      </c>
      <c r="E892" s="2" t="s">
        <v>41</v>
      </c>
      <c r="F892" s="2" t="s">
        <v>2760</v>
      </c>
      <c r="G892" s="2" t="s">
        <v>43</v>
      </c>
      <c r="H892" s="2" t="s">
        <v>44</v>
      </c>
      <c r="I892" s="2" t="s">
        <v>83</v>
      </c>
      <c r="J892" s="2" t="s">
        <v>41</v>
      </c>
      <c r="K892" s="2" t="s">
        <v>210</v>
      </c>
      <c r="L892" s="2" t="s">
        <v>211</v>
      </c>
      <c r="M892" s="2" t="s">
        <v>48</v>
      </c>
      <c r="N892" s="2" t="s">
        <v>144</v>
      </c>
      <c r="O892" s="2" t="s">
        <v>2761</v>
      </c>
      <c r="P892" s="2" t="s">
        <v>79</v>
      </c>
      <c r="Q892" s="2" t="s">
        <v>41</v>
      </c>
      <c r="R892" s="2" t="n">
        <v>6</v>
      </c>
      <c r="S892" s="2" t="n">
        <v>2909.56</v>
      </c>
      <c r="T892" s="2" t="n">
        <v>0.2</v>
      </c>
      <c r="U892" s="2" t="str">
        <f aca="false">IF(ISBLANK(T892),"Yes","No")</f>
        <v>No</v>
      </c>
      <c r="V892" s="2" t="n">
        <f aca="false">IF(ISBLANK(T892),0,IF(ISNUMBER(T892),T892,VALUE(LEFT(T892,LEN(T892)-1))/100))</f>
        <v>0.2</v>
      </c>
      <c r="W892" s="2" t="str">
        <f aca="false">IF(AND(V892&gt;=0,V892&lt;=0.25),"Valid","Invalid")</f>
        <v>Valid</v>
      </c>
      <c r="X892" s="2" t="n">
        <v>13965.89</v>
      </c>
      <c r="Y892" s="2" t="n">
        <f aca="false">R892*S892*(1-V892)</f>
        <v>13965.888</v>
      </c>
      <c r="Z892" s="2" t="str">
        <f aca="false">IF(ABS(X892-Y892)&gt;1,"Mismatch","OK")</f>
        <v>OK</v>
      </c>
      <c r="AA892" s="2" t="n">
        <v>11646.12</v>
      </c>
      <c r="AB892" s="2" t="n">
        <v>2319.77</v>
      </c>
      <c r="AC892" s="2" t="n">
        <f aca="false">Y892-AA892</f>
        <v>2319.768</v>
      </c>
      <c r="AD892" s="2" t="str">
        <f aca="false">IF(ABS(AB892-AC892)&gt;1,"Mismatch","OK")</f>
        <v>OK</v>
      </c>
      <c r="AE892" s="4" t="n">
        <f aca="false">IF(Y892=0,0,AC892/Y892)</f>
        <v>0.166102434732399</v>
      </c>
      <c r="AF892" s="2" t="s">
        <v>52</v>
      </c>
      <c r="AG892" s="2" t="s">
        <v>53</v>
      </c>
      <c r="AH892" s="2" t="str">
        <f aca="false">IF(AND(AG892="Completed",AF892&lt;&gt;"Paid"),"Inconsistent","OK")</f>
        <v>OK</v>
      </c>
      <c r="AI892" s="2" t="n">
        <f aca="false">IF(OR(ISBLANK(B892),ISBLANK(C892)),"",C892-B892)</f>
        <v>6</v>
      </c>
      <c r="AJ892" s="2" t="str">
        <f aca="false">IF(AI892="","Unknown",IF(AI892&lt;0,"Invalid","OK"))</f>
        <v>OK</v>
      </c>
      <c r="AK892" s="2" t="str">
        <f aca="false">IF(ISBLANK(B892),"",TEXT(B892,"mmm"))</f>
        <v>May</v>
      </c>
      <c r="AL892" s="2" t="n">
        <f aca="false">IF(ISBLANK(B892),"",YEAR(B892))</f>
        <v>2024</v>
      </c>
      <c r="AM892" s="2" t="s">
        <v>41</v>
      </c>
      <c r="AN892" s="2" t="str">
        <f aca="false">IF(OR(W892="Invalid",AJ892="Invalid",AH892="Inconsistent",Z892="Mismatch",AD892="Mismatch",AM892="Yes",D892="Yes",E892="Yes"),"Invalid",IF(OR(J892="Yes",Q892="Yes",U892="Yes"),"Warning","Clean"))</f>
        <v>Clean</v>
      </c>
    </row>
    <row r="893" customFormat="false" ht="15" hidden="false" customHeight="false" outlineLevel="0" collapsed="false">
      <c r="A893" s="2" t="s">
        <v>2762</v>
      </c>
      <c r="B893" s="3" t="n">
        <v>45573</v>
      </c>
      <c r="C893" s="3" t="n">
        <v>45574</v>
      </c>
      <c r="D893" s="2" t="s">
        <v>41</v>
      </c>
      <c r="E893" s="2" t="s">
        <v>41</v>
      </c>
      <c r="F893" s="2" t="s">
        <v>2763</v>
      </c>
      <c r="G893" s="2" t="s">
        <v>286</v>
      </c>
      <c r="H893" s="2" t="s">
        <v>110</v>
      </c>
      <c r="I893" s="2" t="s">
        <v>74</v>
      </c>
      <c r="J893" s="2" t="s">
        <v>41</v>
      </c>
      <c r="K893" s="2" t="s">
        <v>269</v>
      </c>
      <c r="L893" s="2" t="s">
        <v>270</v>
      </c>
      <c r="M893" s="2" t="s">
        <v>94</v>
      </c>
      <c r="N893" s="2" t="s">
        <v>296</v>
      </c>
      <c r="O893" s="2" t="s">
        <v>2764</v>
      </c>
      <c r="P893" s="2" t="s">
        <v>64</v>
      </c>
      <c r="Q893" s="2" t="s">
        <v>41</v>
      </c>
      <c r="R893" s="2" t="n">
        <v>5</v>
      </c>
      <c r="S893" s="2" t="n">
        <v>2407.97</v>
      </c>
      <c r="T893" s="2" t="n">
        <v>0.1</v>
      </c>
      <c r="U893" s="2" t="str">
        <f aca="false">IF(ISBLANK(T893),"Yes","No")</f>
        <v>No</v>
      </c>
      <c r="V893" s="2" t="n">
        <f aca="false">IF(ISBLANK(T893),0,IF(ISNUMBER(T893),T893,VALUE(LEFT(T893,LEN(T893)-1))/100))</f>
        <v>0.1</v>
      </c>
      <c r="W893" s="2" t="str">
        <f aca="false">IF(AND(V893&gt;=0,V893&lt;=0.25),"Valid","Invalid")</f>
        <v>Valid</v>
      </c>
      <c r="X893" s="2" t="n">
        <v>10835.86</v>
      </c>
      <c r="Y893" s="2" t="n">
        <f aca="false">R893*S893*(1-V893)</f>
        <v>10835.865</v>
      </c>
      <c r="Z893" s="2" t="str">
        <f aca="false">IF(ABS(X893-Y893)&gt;1,"Mismatch","OK")</f>
        <v>OK</v>
      </c>
      <c r="AA893" s="2" t="n">
        <v>6419.92</v>
      </c>
      <c r="AB893" s="2" t="n">
        <v>4415.94</v>
      </c>
      <c r="AC893" s="2" t="n">
        <f aca="false">Y893-AA893</f>
        <v>4415.945</v>
      </c>
      <c r="AD893" s="2" t="str">
        <f aca="false">IF(ABS(AB893-AC893)&gt;1,"Mismatch","OK")</f>
        <v>OK</v>
      </c>
      <c r="AE893" s="4" t="n">
        <f aca="false">IF(Y893=0,0,AC893/Y893)</f>
        <v>0.407530455575074</v>
      </c>
      <c r="AF893" s="2" t="s">
        <v>175</v>
      </c>
      <c r="AG893" s="2" t="s">
        <v>88</v>
      </c>
      <c r="AH893" s="2" t="str">
        <f aca="false">IF(AND(AG893="Completed",AF893&lt;&gt;"Paid"),"Inconsistent","OK")</f>
        <v>OK</v>
      </c>
      <c r="AI893" s="2" t="n">
        <f aca="false">IF(OR(ISBLANK(B893),ISBLANK(C893)),"",C893-B893)</f>
        <v>1</v>
      </c>
      <c r="AJ893" s="2" t="str">
        <f aca="false">IF(AI893="","Unknown",IF(AI893&lt;0,"Invalid","OK"))</f>
        <v>OK</v>
      </c>
      <c r="AK893" s="2" t="str">
        <f aca="false">IF(ISBLANK(B893),"",TEXT(B893,"mmm"))</f>
        <v>Oct</v>
      </c>
      <c r="AL893" s="2" t="n">
        <f aca="false">IF(ISBLANK(B893),"",YEAR(B893))</f>
        <v>2024</v>
      </c>
      <c r="AM893" s="2" t="s">
        <v>41</v>
      </c>
      <c r="AN893" s="2" t="str">
        <f aca="false">IF(OR(W893="Invalid",AJ893="Invalid",AH893="Inconsistent",Z893="Mismatch",AD893="Mismatch",AM893="Yes",D893="Yes",E893="Yes"),"Invalid",IF(OR(J893="Yes",Q893="Yes",U893="Yes"),"Warning","Clean"))</f>
        <v>Clean</v>
      </c>
    </row>
    <row r="894" customFormat="false" ht="15" hidden="false" customHeight="false" outlineLevel="0" collapsed="false">
      <c r="A894" s="2" t="s">
        <v>2765</v>
      </c>
      <c r="B894" s="3" t="n">
        <v>45759</v>
      </c>
      <c r="C894" s="3" t="n">
        <v>45765</v>
      </c>
      <c r="D894" s="2" t="s">
        <v>41</v>
      </c>
      <c r="E894" s="2" t="s">
        <v>41</v>
      </c>
      <c r="F894" s="2" t="s">
        <v>2766</v>
      </c>
      <c r="G894" s="2" t="s">
        <v>67</v>
      </c>
      <c r="H894" s="2" t="s">
        <v>57</v>
      </c>
      <c r="I894" s="2" t="s">
        <v>58</v>
      </c>
      <c r="J894" s="2" t="s">
        <v>41</v>
      </c>
      <c r="K894" s="2" t="s">
        <v>250</v>
      </c>
      <c r="L894" s="2" t="s">
        <v>251</v>
      </c>
      <c r="M894" s="2" t="s">
        <v>94</v>
      </c>
      <c r="N894" s="2" t="s">
        <v>100</v>
      </c>
      <c r="O894" s="2" t="s">
        <v>2767</v>
      </c>
      <c r="P894" s="2" t="s">
        <v>64</v>
      </c>
      <c r="Q894" s="2" t="s">
        <v>41</v>
      </c>
      <c r="R894" s="2" t="n">
        <v>1</v>
      </c>
      <c r="S894" s="2" t="n">
        <v>726.89</v>
      </c>
      <c r="T894" s="2" t="n">
        <v>0.2</v>
      </c>
      <c r="U894" s="2" t="str">
        <f aca="false">IF(ISBLANK(T894),"Yes","No")</f>
        <v>No</v>
      </c>
      <c r="V894" s="2" t="n">
        <f aca="false">IF(ISBLANK(T894),0,IF(ISNUMBER(T894),T894,VALUE(LEFT(T894,LEN(T894)-1))/100))</f>
        <v>0.2</v>
      </c>
      <c r="W894" s="2" t="str">
        <f aca="false">IF(AND(V894&gt;=0,V894&lt;=0.25),"Valid","Invalid")</f>
        <v>Valid</v>
      </c>
      <c r="X894" s="2" t="n">
        <v>581.51</v>
      </c>
      <c r="Y894" s="2" t="n">
        <f aca="false">R894*S894*(1-V894)</f>
        <v>581.512</v>
      </c>
      <c r="Z894" s="2" t="str">
        <f aca="false">IF(ABS(X894-Y894)&gt;1,"Mismatch","OK")</f>
        <v>OK</v>
      </c>
      <c r="AA894" s="2" t="n">
        <v>423.86</v>
      </c>
      <c r="AB894" s="2" t="n">
        <v>157.65</v>
      </c>
      <c r="AC894" s="2" t="n">
        <f aca="false">Y894-AA894</f>
        <v>157.652</v>
      </c>
      <c r="AD894" s="2" t="str">
        <f aca="false">IF(ABS(AB894-AC894)&gt;1,"Mismatch","OK")</f>
        <v>OK</v>
      </c>
      <c r="AE894" s="4" t="n">
        <f aca="false">IF(Y894=0,0,AC894/Y894)</f>
        <v>0.271107045082475</v>
      </c>
      <c r="AF894" s="2" t="s">
        <v>52</v>
      </c>
      <c r="AG894" s="2" t="s">
        <v>53</v>
      </c>
      <c r="AH894" s="2" t="str">
        <f aca="false">IF(AND(AG894="Completed",AF894&lt;&gt;"Paid"),"Inconsistent","OK")</f>
        <v>OK</v>
      </c>
      <c r="AI894" s="2" t="n">
        <f aca="false">IF(OR(ISBLANK(B894),ISBLANK(C894)),"",C894-B894)</f>
        <v>6</v>
      </c>
      <c r="AJ894" s="2" t="str">
        <f aca="false">IF(AI894="","Unknown",IF(AI894&lt;0,"Invalid","OK"))</f>
        <v>OK</v>
      </c>
      <c r="AK894" s="2" t="str">
        <f aca="false">IF(ISBLANK(B894),"",TEXT(B894,"mmm"))</f>
        <v>Apr</v>
      </c>
      <c r="AL894" s="2" t="n">
        <f aca="false">IF(ISBLANK(B894),"",YEAR(B894))</f>
        <v>2025</v>
      </c>
      <c r="AM894" s="2" t="s">
        <v>41</v>
      </c>
      <c r="AN894" s="2" t="str">
        <f aca="false">IF(OR(W894="Invalid",AJ894="Invalid",AH894="Inconsistent",Z894="Mismatch",AD894="Mismatch",AM894="Yes",D894="Yes",E894="Yes"),"Invalid",IF(OR(J894="Yes",Q894="Yes",U894="Yes"),"Warning","Clean"))</f>
        <v>Clean</v>
      </c>
    </row>
    <row r="895" customFormat="false" ht="15" hidden="false" customHeight="false" outlineLevel="0" collapsed="false">
      <c r="A895" s="2" t="s">
        <v>2768</v>
      </c>
      <c r="B895" s="3" t="n">
        <v>45449</v>
      </c>
      <c r="C895" s="3" t="n">
        <v>45451</v>
      </c>
      <c r="D895" s="2" t="s">
        <v>41</v>
      </c>
      <c r="E895" s="2" t="s">
        <v>41</v>
      </c>
      <c r="F895" s="2" t="s">
        <v>2769</v>
      </c>
      <c r="G895" s="2" t="s">
        <v>148</v>
      </c>
      <c r="H895" s="2" t="s">
        <v>110</v>
      </c>
      <c r="I895" s="2" t="s">
        <v>74</v>
      </c>
      <c r="J895" s="2" t="s">
        <v>41</v>
      </c>
      <c r="K895" s="2" t="s">
        <v>195</v>
      </c>
      <c r="L895" s="2" t="s">
        <v>196</v>
      </c>
      <c r="M895" s="2" t="s">
        <v>61</v>
      </c>
      <c r="N895" s="2" t="s">
        <v>62</v>
      </c>
      <c r="O895" s="2" t="s">
        <v>2770</v>
      </c>
      <c r="P895" s="2" t="s">
        <v>51</v>
      </c>
      <c r="Q895" s="2" t="s">
        <v>41</v>
      </c>
      <c r="R895" s="2" t="n">
        <v>3</v>
      </c>
      <c r="S895" s="2" t="n">
        <v>395.49</v>
      </c>
      <c r="T895" s="2" t="n">
        <v>0.05</v>
      </c>
      <c r="U895" s="2" t="str">
        <f aca="false">IF(ISBLANK(T895),"Yes","No")</f>
        <v>No</v>
      </c>
      <c r="V895" s="2" t="n">
        <f aca="false">IF(ISBLANK(T895),0,IF(ISNUMBER(T895),T895,VALUE(LEFT(T895,LEN(T895)-1))/100))</f>
        <v>0.05</v>
      </c>
      <c r="W895" s="2" t="str">
        <f aca="false">IF(AND(V895&gt;=0,V895&lt;=0.25),"Valid","Invalid")</f>
        <v>Valid</v>
      </c>
      <c r="X895" s="2" t="n">
        <v>1127.15</v>
      </c>
      <c r="Y895" s="2" t="n">
        <f aca="false">R895*S895*(1-V895)</f>
        <v>1127.1465</v>
      </c>
      <c r="Z895" s="2" t="str">
        <f aca="false">IF(ABS(X895-Y895)&gt;1,"Mismatch","OK")</f>
        <v>OK</v>
      </c>
      <c r="AA895" s="2" t="n">
        <v>845.62</v>
      </c>
      <c r="AB895" s="2" t="n">
        <v>281.53</v>
      </c>
      <c r="AC895" s="2" t="n">
        <f aca="false">Y895-AA895</f>
        <v>281.5265</v>
      </c>
      <c r="AD895" s="2" t="str">
        <f aca="false">IF(ABS(AB895-AC895)&gt;1,"Mismatch","OK")</f>
        <v>OK</v>
      </c>
      <c r="AE895" s="4" t="n">
        <f aca="false">IF(Y895=0,0,AC895/Y895)</f>
        <v>0.249769218109625</v>
      </c>
      <c r="AF895" s="2" t="s">
        <v>52</v>
      </c>
      <c r="AG895" s="2" t="s">
        <v>123</v>
      </c>
      <c r="AH895" s="2" t="str">
        <f aca="false">IF(AND(AG895="Completed",AF895&lt;&gt;"Paid"),"Inconsistent","OK")</f>
        <v>OK</v>
      </c>
      <c r="AI895" s="2" t="n">
        <f aca="false">IF(OR(ISBLANK(B895),ISBLANK(C895)),"",C895-B895)</f>
        <v>2</v>
      </c>
      <c r="AJ895" s="2" t="str">
        <f aca="false">IF(AI895="","Unknown",IF(AI895&lt;0,"Invalid","OK"))</f>
        <v>OK</v>
      </c>
      <c r="AK895" s="2" t="str">
        <f aca="false">IF(ISBLANK(B895),"",TEXT(B895,"mmm"))</f>
        <v>Jun</v>
      </c>
      <c r="AL895" s="2" t="n">
        <f aca="false">IF(ISBLANK(B895),"",YEAR(B895))</f>
        <v>2024</v>
      </c>
      <c r="AM895" s="2" t="s">
        <v>41</v>
      </c>
      <c r="AN895" s="2" t="str">
        <f aca="false">IF(OR(W895="Invalid",AJ895="Invalid",AH895="Inconsistent",Z895="Mismatch",AD895="Mismatch",AM895="Yes",D895="Yes",E895="Yes"),"Invalid",IF(OR(J895="Yes",Q895="Yes",U895="Yes"),"Warning","Clean"))</f>
        <v>Clean</v>
      </c>
    </row>
    <row r="896" customFormat="false" ht="15" hidden="false" customHeight="false" outlineLevel="0" collapsed="false">
      <c r="A896" s="2" t="s">
        <v>2771</v>
      </c>
      <c r="B896" s="3" t="n">
        <v>45344</v>
      </c>
      <c r="C896" s="3" t="n">
        <v>45351</v>
      </c>
      <c r="D896" s="2" t="s">
        <v>41</v>
      </c>
      <c r="E896" s="2" t="s">
        <v>41</v>
      </c>
      <c r="F896" s="2" t="s">
        <v>2772</v>
      </c>
      <c r="G896" s="2" t="s">
        <v>67</v>
      </c>
      <c r="H896" s="2" t="s">
        <v>115</v>
      </c>
      <c r="I896" s="2" t="s">
        <v>74</v>
      </c>
      <c r="J896" s="2" t="s">
        <v>41</v>
      </c>
      <c r="K896" s="2" t="s">
        <v>75</v>
      </c>
      <c r="L896" s="2" t="s">
        <v>76</v>
      </c>
      <c r="M896" s="2" t="s">
        <v>61</v>
      </c>
      <c r="N896" s="2" t="s">
        <v>62</v>
      </c>
      <c r="O896" s="2" t="s">
        <v>2773</v>
      </c>
      <c r="P896" s="2" t="s">
        <v>70</v>
      </c>
      <c r="Q896" s="2" t="s">
        <v>41</v>
      </c>
      <c r="R896" s="2" t="n">
        <v>6</v>
      </c>
      <c r="S896" s="2" t="n">
        <v>4254.05</v>
      </c>
      <c r="T896" s="2" t="n">
        <v>0</v>
      </c>
      <c r="U896" s="2" t="str">
        <f aca="false">IF(ISBLANK(T896),"Yes","No")</f>
        <v>No</v>
      </c>
      <c r="V896" s="2" t="n">
        <f aca="false">IF(ISBLANK(T896),0,IF(ISNUMBER(T896),T896,VALUE(LEFT(T896,LEN(T896)-1))/100))</f>
        <v>0</v>
      </c>
      <c r="W896" s="2" t="str">
        <f aca="false">IF(AND(V896&gt;=0,V896&lt;=0.25),"Valid","Invalid")</f>
        <v>Valid</v>
      </c>
      <c r="X896" s="2" t="n">
        <v>25524.3</v>
      </c>
      <c r="Y896" s="2" t="n">
        <f aca="false">R896*S896*(1-V896)</f>
        <v>25524.3</v>
      </c>
      <c r="Z896" s="2" t="str">
        <f aca="false">IF(ABS(X896-Y896)&gt;1,"Mismatch","OK")</f>
        <v>OK</v>
      </c>
      <c r="AA896" s="2" t="n">
        <v>16711.93</v>
      </c>
      <c r="AB896" s="2" t="n">
        <v>8812.37</v>
      </c>
      <c r="AC896" s="2" t="n">
        <f aca="false">Y896-AA896</f>
        <v>8812.37</v>
      </c>
      <c r="AD896" s="2" t="str">
        <f aca="false">IF(ABS(AB896-AC896)&gt;1,"Mismatch","OK")</f>
        <v>OK</v>
      </c>
      <c r="AE896" s="4" t="n">
        <f aca="false">IF(Y896=0,0,AC896/Y896)</f>
        <v>0.345254130377719</v>
      </c>
      <c r="AF896" s="2" t="s">
        <v>52</v>
      </c>
      <c r="AG896" s="2" t="s">
        <v>53</v>
      </c>
      <c r="AH896" s="2" t="str">
        <f aca="false">IF(AND(AG896="Completed",AF896&lt;&gt;"Paid"),"Inconsistent","OK")</f>
        <v>OK</v>
      </c>
      <c r="AI896" s="2" t="n">
        <f aca="false">IF(OR(ISBLANK(B896),ISBLANK(C896)),"",C896-B896)</f>
        <v>7</v>
      </c>
      <c r="AJ896" s="2" t="str">
        <f aca="false">IF(AI896="","Unknown",IF(AI896&lt;0,"Invalid","OK"))</f>
        <v>OK</v>
      </c>
      <c r="AK896" s="2" t="str">
        <f aca="false">IF(ISBLANK(B896),"",TEXT(B896,"mmm"))</f>
        <v>Feb</v>
      </c>
      <c r="AL896" s="2" t="n">
        <f aca="false">IF(ISBLANK(B896),"",YEAR(B896))</f>
        <v>2024</v>
      </c>
      <c r="AM896" s="2" t="s">
        <v>41</v>
      </c>
      <c r="AN896" s="2" t="str">
        <f aca="false">IF(OR(W896="Invalid",AJ896="Invalid",AH896="Inconsistent",Z896="Mismatch",AD896="Mismatch",AM896="Yes",D896="Yes",E896="Yes"),"Invalid",IF(OR(J896="Yes",Q896="Yes",U896="Yes"),"Warning","Clean"))</f>
        <v>Clean</v>
      </c>
    </row>
    <row r="897" customFormat="false" ht="15" hidden="false" customHeight="false" outlineLevel="0" collapsed="false">
      <c r="A897" s="2" t="s">
        <v>2774</v>
      </c>
      <c r="B897" s="3" t="n">
        <v>45601</v>
      </c>
      <c r="C897" s="3" t="n">
        <v>45606</v>
      </c>
      <c r="D897" s="2" t="s">
        <v>41</v>
      </c>
      <c r="E897" s="2" t="s">
        <v>41</v>
      </c>
      <c r="F897" s="2" t="s">
        <v>2775</v>
      </c>
      <c r="G897" s="2" t="s">
        <v>73</v>
      </c>
      <c r="H897" s="2" t="s">
        <v>44</v>
      </c>
      <c r="I897" s="2" t="s">
        <v>74</v>
      </c>
      <c r="J897" s="2" t="s">
        <v>41</v>
      </c>
      <c r="K897" s="2" t="s">
        <v>205</v>
      </c>
      <c r="L897" s="2" t="s">
        <v>206</v>
      </c>
      <c r="M897" s="2" t="s">
        <v>61</v>
      </c>
      <c r="N897" s="2" t="s">
        <v>86</v>
      </c>
      <c r="O897" s="2" t="s">
        <v>2776</v>
      </c>
      <c r="P897" s="2" t="s">
        <v>64</v>
      </c>
      <c r="Q897" s="2" t="s">
        <v>41</v>
      </c>
      <c r="R897" s="2" t="n">
        <v>4</v>
      </c>
      <c r="S897" s="2" t="n">
        <v>711.18</v>
      </c>
      <c r="T897" s="2" t="n">
        <v>0.15</v>
      </c>
      <c r="U897" s="2" t="str">
        <f aca="false">IF(ISBLANK(T897),"Yes","No")</f>
        <v>No</v>
      </c>
      <c r="V897" s="2" t="n">
        <f aca="false">IF(ISBLANK(T897),0,IF(ISNUMBER(T897),T897,VALUE(LEFT(T897,LEN(T897)-1))/100))</f>
        <v>0.15</v>
      </c>
      <c r="W897" s="2" t="str">
        <f aca="false">IF(AND(V897&gt;=0,V897&lt;=0.25),"Valid","Invalid")</f>
        <v>Valid</v>
      </c>
      <c r="X897" s="2" t="n">
        <v>2418.01</v>
      </c>
      <c r="Y897" s="2" t="n">
        <f aca="false">R897*S897*(1-V897)</f>
        <v>2418.012</v>
      </c>
      <c r="Z897" s="2" t="str">
        <f aca="false">IF(ABS(X897-Y897)&gt;1,"Mismatch","OK")</f>
        <v>OK</v>
      </c>
      <c r="AA897" s="2" t="n">
        <v>1441.89</v>
      </c>
      <c r="AB897" s="2" t="n">
        <v>976.12</v>
      </c>
      <c r="AC897" s="2" t="n">
        <f aca="false">Y897-AA897</f>
        <v>976.122</v>
      </c>
      <c r="AD897" s="2" t="str">
        <f aca="false">IF(ABS(AB897-AC897)&gt;1,"Mismatch","OK")</f>
        <v>OK</v>
      </c>
      <c r="AE897" s="4" t="n">
        <f aca="false">IF(Y897=0,0,AC897/Y897)</f>
        <v>0.403687822889216</v>
      </c>
      <c r="AF897" s="2" t="s">
        <v>131</v>
      </c>
      <c r="AG897" s="2" t="s">
        <v>123</v>
      </c>
      <c r="AH897" s="2" t="str">
        <f aca="false">IF(AND(AG897="Completed",AF897&lt;&gt;"Paid"),"Inconsistent","OK")</f>
        <v>OK</v>
      </c>
      <c r="AI897" s="2" t="n">
        <f aca="false">IF(OR(ISBLANK(B897),ISBLANK(C897)),"",C897-B897)</f>
        <v>5</v>
      </c>
      <c r="AJ897" s="2" t="str">
        <f aca="false">IF(AI897="","Unknown",IF(AI897&lt;0,"Invalid","OK"))</f>
        <v>OK</v>
      </c>
      <c r="AK897" s="2" t="str">
        <f aca="false">IF(ISBLANK(B897),"",TEXT(B897,"mmm"))</f>
        <v>Nov</v>
      </c>
      <c r="AL897" s="2" t="n">
        <f aca="false">IF(ISBLANK(B897),"",YEAR(B897))</f>
        <v>2024</v>
      </c>
      <c r="AM897" s="2" t="s">
        <v>41</v>
      </c>
      <c r="AN897" s="2" t="str">
        <f aca="false">IF(OR(W897="Invalid",AJ897="Invalid",AH897="Inconsistent",Z897="Mismatch",AD897="Mismatch",AM897="Yes",D897="Yes",E897="Yes"),"Invalid",IF(OR(J897="Yes",Q897="Yes",U897="Yes"),"Warning","Clean"))</f>
        <v>Clean</v>
      </c>
    </row>
    <row r="898" customFormat="false" ht="15" hidden="false" customHeight="false" outlineLevel="0" collapsed="false">
      <c r="A898" s="2" t="s">
        <v>2777</v>
      </c>
      <c r="B898" s="3" t="n">
        <v>45650</v>
      </c>
      <c r="C898" s="3" t="n">
        <v>45651</v>
      </c>
      <c r="D898" s="2" t="s">
        <v>41</v>
      </c>
      <c r="E898" s="2" t="s">
        <v>41</v>
      </c>
      <c r="F898" s="2" t="s">
        <v>2778</v>
      </c>
      <c r="G898" s="2" t="s">
        <v>82</v>
      </c>
      <c r="H898" s="2" t="s">
        <v>57</v>
      </c>
      <c r="I898" s="2" t="s">
        <v>74</v>
      </c>
      <c r="J898" s="2" t="s">
        <v>41</v>
      </c>
      <c r="K898" s="2" t="s">
        <v>269</v>
      </c>
      <c r="L898" s="2" t="s">
        <v>270</v>
      </c>
      <c r="M898" s="2" t="s">
        <v>94</v>
      </c>
      <c r="N898" s="2" t="s">
        <v>100</v>
      </c>
      <c r="O898" s="2" t="s">
        <v>2779</v>
      </c>
      <c r="P898" s="2" t="s">
        <v>51</v>
      </c>
      <c r="Q898" s="2" t="s">
        <v>41</v>
      </c>
      <c r="R898" s="2" t="n">
        <v>1</v>
      </c>
      <c r="S898" s="2" t="n">
        <v>3693.03</v>
      </c>
      <c r="T898" s="2" t="n">
        <v>0.05</v>
      </c>
      <c r="U898" s="2" t="str">
        <f aca="false">IF(ISBLANK(T898),"Yes","No")</f>
        <v>No</v>
      </c>
      <c r="V898" s="2" t="n">
        <f aca="false">IF(ISBLANK(T898),0,IF(ISNUMBER(T898),T898,VALUE(LEFT(T898,LEN(T898)-1))/100))</f>
        <v>0.05</v>
      </c>
      <c r="W898" s="2" t="str">
        <f aca="false">IF(AND(V898&gt;=0,V898&lt;=0.25),"Valid","Invalid")</f>
        <v>Valid</v>
      </c>
      <c r="X898" s="2" t="n">
        <v>3508.38</v>
      </c>
      <c r="Y898" s="2" t="n">
        <f aca="false">R898*S898*(1-V898)</f>
        <v>3508.3785</v>
      </c>
      <c r="Z898" s="2" t="str">
        <f aca="false">IF(ABS(X898-Y898)&gt;1,"Mismatch","OK")</f>
        <v>OK</v>
      </c>
      <c r="AA898" s="2" t="n">
        <v>2828.06</v>
      </c>
      <c r="AB898" s="2" t="n">
        <v>680.32</v>
      </c>
      <c r="AC898" s="2" t="n">
        <f aca="false">Y898-AA898</f>
        <v>680.3185</v>
      </c>
      <c r="AD898" s="2" t="str">
        <f aca="false">IF(ABS(AB898-AC898)&gt;1,"Mismatch","OK")</f>
        <v>OK</v>
      </c>
      <c r="AE898" s="4" t="n">
        <f aca="false">IF(Y898=0,0,AC898/Y898)</f>
        <v>0.193912515425573</v>
      </c>
      <c r="AF898" s="2" t="s">
        <v>175</v>
      </c>
      <c r="AG898" s="2" t="s">
        <v>123</v>
      </c>
      <c r="AH898" s="2" t="str">
        <f aca="false">IF(AND(AG898="Completed",AF898&lt;&gt;"Paid"),"Inconsistent","OK")</f>
        <v>OK</v>
      </c>
      <c r="AI898" s="2" t="n">
        <f aca="false">IF(OR(ISBLANK(B898),ISBLANK(C898)),"",C898-B898)</f>
        <v>1</v>
      </c>
      <c r="AJ898" s="2" t="str">
        <f aca="false">IF(AI898="","Unknown",IF(AI898&lt;0,"Invalid","OK"))</f>
        <v>OK</v>
      </c>
      <c r="AK898" s="2" t="str">
        <f aca="false">IF(ISBLANK(B898),"",TEXT(B898,"mmm"))</f>
        <v>Dec</v>
      </c>
      <c r="AL898" s="2" t="n">
        <f aca="false">IF(ISBLANK(B898),"",YEAR(B898))</f>
        <v>2024</v>
      </c>
      <c r="AM898" s="2" t="s">
        <v>41</v>
      </c>
      <c r="AN898" s="2" t="str">
        <f aca="false">IF(OR(W898="Invalid",AJ898="Invalid",AH898="Inconsistent",Z898="Mismatch",AD898="Mismatch",AM898="Yes",D898="Yes",E898="Yes"),"Invalid",IF(OR(J898="Yes",Q898="Yes",U898="Yes"),"Warning","Clean"))</f>
        <v>Clean</v>
      </c>
    </row>
    <row r="899" customFormat="false" ht="15" hidden="false" customHeight="false" outlineLevel="0" collapsed="false">
      <c r="A899" s="2" t="s">
        <v>2780</v>
      </c>
      <c r="B899" s="3" t="n">
        <v>45776</v>
      </c>
      <c r="C899" s="3" t="n">
        <v>45780</v>
      </c>
      <c r="D899" s="2" t="s">
        <v>41</v>
      </c>
      <c r="E899" s="2" t="s">
        <v>41</v>
      </c>
      <c r="F899" s="2" t="s">
        <v>2145</v>
      </c>
      <c r="G899" s="2" t="s">
        <v>161</v>
      </c>
      <c r="H899" s="2" t="s">
        <v>110</v>
      </c>
      <c r="I899" s="2" t="s">
        <v>45</v>
      </c>
      <c r="J899" s="2" t="s">
        <v>41</v>
      </c>
      <c r="K899" s="2" t="s">
        <v>258</v>
      </c>
      <c r="L899" s="2" t="s">
        <v>259</v>
      </c>
      <c r="M899" s="2" t="s">
        <v>48</v>
      </c>
      <c r="N899" s="2" t="s">
        <v>49</v>
      </c>
      <c r="O899" s="2" t="s">
        <v>2781</v>
      </c>
      <c r="P899" s="2" t="s">
        <v>70</v>
      </c>
      <c r="Q899" s="2" t="s">
        <v>41</v>
      </c>
      <c r="R899" s="2" t="n">
        <v>4</v>
      </c>
      <c r="S899" s="2" t="n">
        <v>1786.65</v>
      </c>
      <c r="T899" s="2" t="n">
        <v>0.05</v>
      </c>
      <c r="U899" s="2" t="str">
        <f aca="false">IF(ISBLANK(T899),"Yes","No")</f>
        <v>No</v>
      </c>
      <c r="V899" s="2" t="n">
        <f aca="false">IF(ISBLANK(T899),0,IF(ISNUMBER(T899),T899,VALUE(LEFT(T899,LEN(T899)-1))/100))</f>
        <v>0.05</v>
      </c>
      <c r="W899" s="2" t="str">
        <f aca="false">IF(AND(V899&gt;=0,V899&lt;=0.25),"Valid","Invalid")</f>
        <v>Valid</v>
      </c>
      <c r="X899" s="2" t="n">
        <v>6789.27</v>
      </c>
      <c r="Y899" s="2" t="n">
        <f aca="false">R899*S899*(1-V899)</f>
        <v>6789.27</v>
      </c>
      <c r="Z899" s="2" t="str">
        <f aca="false">IF(ABS(X899-Y899)&gt;1,"Mismatch","OK")</f>
        <v>OK</v>
      </c>
      <c r="AA899" s="2" t="n">
        <v>5626.43</v>
      </c>
      <c r="AB899" s="2" t="n">
        <v>1162.84</v>
      </c>
      <c r="AC899" s="2" t="n">
        <f aca="false">Y899-AA899</f>
        <v>1162.84</v>
      </c>
      <c r="AD899" s="2" t="str">
        <f aca="false">IF(ABS(AB899-AC899)&gt;1,"Mismatch","OK")</f>
        <v>OK</v>
      </c>
      <c r="AE899" s="4" t="n">
        <f aca="false">IF(Y899=0,0,AC899/Y899)</f>
        <v>0.171276146036319</v>
      </c>
      <c r="AF899" s="2" t="s">
        <v>52</v>
      </c>
      <c r="AG899" s="2" t="s">
        <v>53</v>
      </c>
      <c r="AH899" s="2" t="str">
        <f aca="false">IF(AND(AG899="Completed",AF899&lt;&gt;"Paid"),"Inconsistent","OK")</f>
        <v>OK</v>
      </c>
      <c r="AI899" s="2" t="n">
        <f aca="false">IF(OR(ISBLANK(B899),ISBLANK(C899)),"",C899-B899)</f>
        <v>4</v>
      </c>
      <c r="AJ899" s="2" t="str">
        <f aca="false">IF(AI899="","Unknown",IF(AI899&lt;0,"Invalid","OK"))</f>
        <v>OK</v>
      </c>
      <c r="AK899" s="2" t="str">
        <f aca="false">IF(ISBLANK(B899),"",TEXT(B899,"mmm"))</f>
        <v>Apr</v>
      </c>
      <c r="AL899" s="2" t="n">
        <f aca="false">IF(ISBLANK(B899),"",YEAR(B899))</f>
        <v>2025</v>
      </c>
      <c r="AM899" s="2" t="s">
        <v>41</v>
      </c>
      <c r="AN899" s="2" t="str">
        <f aca="false">IF(OR(W899="Invalid",AJ899="Invalid",AH899="Inconsistent",Z899="Mismatch",AD899="Mismatch",AM899="Yes",D899="Yes",E899="Yes"),"Invalid",IF(OR(J899="Yes",Q899="Yes",U899="Yes"),"Warning","Clean"))</f>
        <v>Clean</v>
      </c>
    </row>
    <row r="900" customFormat="false" ht="15" hidden="false" customHeight="false" outlineLevel="0" collapsed="false">
      <c r="A900" s="2" t="s">
        <v>2782</v>
      </c>
      <c r="B900" s="3" t="n">
        <v>45445</v>
      </c>
      <c r="C900" s="3" t="n">
        <v>45451</v>
      </c>
      <c r="D900" s="2" t="s">
        <v>41</v>
      </c>
      <c r="E900" s="2" t="s">
        <v>41</v>
      </c>
      <c r="F900" s="2" t="s">
        <v>2783</v>
      </c>
      <c r="G900" s="2" t="s">
        <v>91</v>
      </c>
      <c r="H900" s="2" t="s">
        <v>44</v>
      </c>
      <c r="I900" s="2" t="s">
        <v>45</v>
      </c>
      <c r="J900" s="2" t="s">
        <v>41</v>
      </c>
      <c r="K900" s="2" t="s">
        <v>372</v>
      </c>
      <c r="L900" s="2" t="s">
        <v>373</v>
      </c>
      <c r="M900" s="2" t="s">
        <v>61</v>
      </c>
      <c r="N900" s="2" t="s">
        <v>62</v>
      </c>
      <c r="O900" s="2" t="s">
        <v>2784</v>
      </c>
      <c r="P900" s="2" t="s">
        <v>70</v>
      </c>
      <c r="Q900" s="2" t="s">
        <v>41</v>
      </c>
      <c r="R900" s="2" t="n">
        <v>4</v>
      </c>
      <c r="S900" s="2" t="n">
        <v>1536.7</v>
      </c>
      <c r="T900" s="2" t="n">
        <v>0.2</v>
      </c>
      <c r="U900" s="2" t="str">
        <f aca="false">IF(ISBLANK(T900),"Yes","No")</f>
        <v>No</v>
      </c>
      <c r="V900" s="2" t="n">
        <f aca="false">IF(ISBLANK(T900),0,IF(ISNUMBER(T900),T900,VALUE(LEFT(T900,LEN(T900)-1))/100))</f>
        <v>0.2</v>
      </c>
      <c r="W900" s="2" t="str">
        <f aca="false">IF(AND(V900&gt;=0,V900&lt;=0.25),"Valid","Invalid")</f>
        <v>Valid</v>
      </c>
      <c r="X900" s="2" t="n">
        <v>4917.44</v>
      </c>
      <c r="Y900" s="2" t="n">
        <f aca="false">R900*S900*(1-V900)</f>
        <v>4917.44</v>
      </c>
      <c r="Z900" s="2" t="str">
        <f aca="false">IF(ABS(X900-Y900)&gt;1,"Mismatch","OK")</f>
        <v>OK</v>
      </c>
      <c r="AA900" s="2" t="n">
        <v>3846.77</v>
      </c>
      <c r="AB900" s="2" t="n">
        <v>1070.67</v>
      </c>
      <c r="AC900" s="2" t="n">
        <f aca="false">Y900-AA900</f>
        <v>1070.67</v>
      </c>
      <c r="AD900" s="2" t="str">
        <f aca="false">IF(ABS(AB900-AC900)&gt;1,"Mismatch","OK")</f>
        <v>OK</v>
      </c>
      <c r="AE900" s="4" t="n">
        <f aca="false">IF(Y900=0,0,AC900/Y900)</f>
        <v>0.217729143619444</v>
      </c>
      <c r="AF900" s="2" t="s">
        <v>52</v>
      </c>
      <c r="AG900" s="2" t="s">
        <v>53</v>
      </c>
      <c r="AH900" s="2" t="str">
        <f aca="false">IF(AND(AG900="Completed",AF900&lt;&gt;"Paid"),"Inconsistent","OK")</f>
        <v>OK</v>
      </c>
      <c r="AI900" s="2" t="n">
        <f aca="false">IF(OR(ISBLANK(B900),ISBLANK(C900)),"",C900-B900)</f>
        <v>6</v>
      </c>
      <c r="AJ900" s="2" t="str">
        <f aca="false">IF(AI900="","Unknown",IF(AI900&lt;0,"Invalid","OK"))</f>
        <v>OK</v>
      </c>
      <c r="AK900" s="2" t="str">
        <f aca="false">IF(ISBLANK(B900),"",TEXT(B900,"mmm"))</f>
        <v>Jun</v>
      </c>
      <c r="AL900" s="2" t="n">
        <f aca="false">IF(ISBLANK(B900),"",YEAR(B900))</f>
        <v>2024</v>
      </c>
      <c r="AM900" s="2" t="s">
        <v>41</v>
      </c>
      <c r="AN900" s="2" t="str">
        <f aca="false">IF(OR(W900="Invalid",AJ900="Invalid",AH900="Inconsistent",Z900="Mismatch",AD900="Mismatch",AM900="Yes",D900="Yes",E900="Yes"),"Invalid",IF(OR(J900="Yes",Q900="Yes",U900="Yes"),"Warning","Clean"))</f>
        <v>Clean</v>
      </c>
    </row>
    <row r="901" customFormat="false" ht="15" hidden="false" customHeight="false" outlineLevel="0" collapsed="false">
      <c r="A901" s="2" t="s">
        <v>2785</v>
      </c>
      <c r="B901" s="3" t="n">
        <v>45804</v>
      </c>
      <c r="C901" s="3" t="n">
        <v>45811</v>
      </c>
      <c r="D901" s="2" t="s">
        <v>41</v>
      </c>
      <c r="E901" s="2" t="s">
        <v>41</v>
      </c>
      <c r="F901" s="2" t="s">
        <v>2786</v>
      </c>
      <c r="G901" s="2" t="s">
        <v>43</v>
      </c>
      <c r="H901" s="2" t="s">
        <v>44</v>
      </c>
      <c r="I901" s="2" t="s">
        <v>45</v>
      </c>
      <c r="J901" s="2" t="s">
        <v>41</v>
      </c>
      <c r="K901" s="2" t="s">
        <v>142</v>
      </c>
      <c r="L901" s="2" t="s">
        <v>143</v>
      </c>
      <c r="M901" s="2" t="s">
        <v>61</v>
      </c>
      <c r="N901" s="2" t="s">
        <v>86</v>
      </c>
      <c r="O901" s="2" t="s">
        <v>2787</v>
      </c>
      <c r="P901" s="2" t="s">
        <v>70</v>
      </c>
      <c r="Q901" s="2" t="s">
        <v>41</v>
      </c>
      <c r="R901" s="2" t="n">
        <v>5</v>
      </c>
      <c r="S901" s="2" t="n">
        <v>881.08</v>
      </c>
      <c r="T901" s="2" t="n">
        <v>0.25</v>
      </c>
      <c r="U901" s="2" t="str">
        <f aca="false">IF(ISBLANK(T901),"Yes","No")</f>
        <v>No</v>
      </c>
      <c r="V901" s="2" t="n">
        <f aca="false">IF(ISBLANK(T901),0,IF(ISNUMBER(T901),T901,VALUE(LEFT(T901,LEN(T901)-1))/100))</f>
        <v>0.25</v>
      </c>
      <c r="W901" s="2" t="str">
        <f aca="false">IF(AND(V901&gt;=0,V901&lt;=0.25),"Valid","Invalid")</f>
        <v>Valid</v>
      </c>
      <c r="X901" s="2" t="n">
        <v>3304.05</v>
      </c>
      <c r="Y901" s="2" t="n">
        <f aca="false">R901*S901*(1-V901)</f>
        <v>3304.05</v>
      </c>
      <c r="Z901" s="2" t="str">
        <f aca="false">IF(ABS(X901-Y901)&gt;1,"Mismatch","OK")</f>
        <v>OK</v>
      </c>
      <c r="AA901" s="2" t="n">
        <v>2279.41</v>
      </c>
      <c r="AB901" s="2" t="n">
        <v>1024.64</v>
      </c>
      <c r="AC901" s="2" t="n">
        <f aca="false">Y901-AA901</f>
        <v>1024.64</v>
      </c>
      <c r="AD901" s="2" t="str">
        <f aca="false">IF(ABS(AB901-AC901)&gt;1,"Mismatch","OK")</f>
        <v>OK</v>
      </c>
      <c r="AE901" s="4" t="n">
        <f aca="false">IF(Y901=0,0,AC901/Y901)</f>
        <v>0.310116372330927</v>
      </c>
      <c r="AF901" s="2" t="s">
        <v>175</v>
      </c>
      <c r="AG901" s="2" t="s">
        <v>88</v>
      </c>
      <c r="AH901" s="2" t="str">
        <f aca="false">IF(AND(AG901="Completed",AF901&lt;&gt;"Paid"),"Inconsistent","OK")</f>
        <v>OK</v>
      </c>
      <c r="AI901" s="2" t="n">
        <f aca="false">IF(OR(ISBLANK(B901),ISBLANK(C901)),"",C901-B901)</f>
        <v>7</v>
      </c>
      <c r="AJ901" s="2" t="str">
        <f aca="false">IF(AI901="","Unknown",IF(AI901&lt;0,"Invalid","OK"))</f>
        <v>OK</v>
      </c>
      <c r="AK901" s="2" t="str">
        <f aca="false">IF(ISBLANK(B901),"",TEXT(B901,"mmm"))</f>
        <v>May</v>
      </c>
      <c r="AL901" s="2" t="n">
        <f aca="false">IF(ISBLANK(B901),"",YEAR(B901))</f>
        <v>2025</v>
      </c>
      <c r="AM901" s="2" t="s">
        <v>41</v>
      </c>
      <c r="AN901" s="2" t="str">
        <f aca="false">IF(OR(W901="Invalid",AJ901="Invalid",AH901="Inconsistent",Z901="Mismatch",AD901="Mismatch",AM901="Yes",D901="Yes",E901="Yes"),"Invalid",IF(OR(J901="Yes",Q901="Yes",U901="Yes"),"Warning","Clean"))</f>
        <v>Clean</v>
      </c>
    </row>
    <row r="902" customFormat="false" ht="15" hidden="false" customHeight="false" outlineLevel="0" collapsed="false">
      <c r="A902" s="2" t="s">
        <v>1121</v>
      </c>
      <c r="B902" s="3" t="n">
        <v>45630</v>
      </c>
      <c r="C902" s="3" t="n">
        <v>45632</v>
      </c>
      <c r="D902" s="2" t="s">
        <v>41</v>
      </c>
      <c r="E902" s="2" t="s">
        <v>41</v>
      </c>
      <c r="F902" s="2" t="s">
        <v>1122</v>
      </c>
      <c r="G902" s="2" t="s">
        <v>152</v>
      </c>
      <c r="H902" s="2" t="s">
        <v>115</v>
      </c>
      <c r="I902" s="2" t="s">
        <v>58</v>
      </c>
      <c r="J902" s="2" t="s">
        <v>41</v>
      </c>
      <c r="K902" s="2" t="s">
        <v>59</v>
      </c>
      <c r="L902" s="2" t="s">
        <v>60</v>
      </c>
      <c r="M902" s="2" t="s">
        <v>48</v>
      </c>
      <c r="N902" s="2" t="s">
        <v>173</v>
      </c>
      <c r="O902" s="2" t="s">
        <v>1123</v>
      </c>
      <c r="P902" s="2" t="s">
        <v>51</v>
      </c>
      <c r="Q902" s="2" t="s">
        <v>41</v>
      </c>
      <c r="R902" s="2" t="n">
        <v>4</v>
      </c>
      <c r="S902" s="2" t="n">
        <v>2685.66</v>
      </c>
      <c r="T902" s="2" t="n">
        <v>0</v>
      </c>
      <c r="U902" s="2" t="str">
        <f aca="false">IF(ISBLANK(T902),"Yes","No")</f>
        <v>No</v>
      </c>
      <c r="V902" s="2" t="n">
        <f aca="false">IF(ISBLANK(T902),0,IF(ISNUMBER(T902),T902,VALUE(LEFT(T902,LEN(T902)-1))/100))</f>
        <v>0</v>
      </c>
      <c r="W902" s="2" t="str">
        <f aca="false">IF(AND(V902&gt;=0,V902&lt;=0.25),"Valid","Invalid")</f>
        <v>Valid</v>
      </c>
      <c r="X902" s="2" t="n">
        <v>10989.89</v>
      </c>
      <c r="Y902" s="2" t="n">
        <f aca="false">R902*S902*(1-V902)</f>
        <v>10742.64</v>
      </c>
      <c r="Z902" s="2" t="str">
        <f aca="false">IF(ABS(X902-Y902)&gt;1,"Mismatch","OK")</f>
        <v>Mismatch</v>
      </c>
      <c r="AA902" s="2" t="n">
        <v>6477.37</v>
      </c>
      <c r="AB902" s="2" t="n">
        <v>4265.27</v>
      </c>
      <c r="AC902" s="2" t="n">
        <f aca="false">Y902-AA902</f>
        <v>4265.27</v>
      </c>
      <c r="AD902" s="2" t="str">
        <f aca="false">IF(ABS(AB902-AC902)&gt;1,"Mismatch","OK")</f>
        <v>OK</v>
      </c>
      <c r="AE902" s="4" t="n">
        <f aca="false">IF(Y902=0,0,AC902/Y902)</f>
        <v>0.397041137001705</v>
      </c>
      <c r="AF902" s="2" t="s">
        <v>52</v>
      </c>
      <c r="AG902" s="2" t="s">
        <v>53</v>
      </c>
      <c r="AH902" s="2" t="str">
        <f aca="false">IF(AND(AG902="Completed",AF902&lt;&gt;"Paid"),"Inconsistent","OK")</f>
        <v>OK</v>
      </c>
      <c r="AI902" s="2" t="n">
        <f aca="false">IF(OR(ISBLANK(B902),ISBLANK(C902)),"",C902-B902)</f>
        <v>2</v>
      </c>
      <c r="AJ902" s="2" t="str">
        <f aca="false">IF(AI902="","Unknown",IF(AI902&lt;0,"Invalid","OK"))</f>
        <v>OK</v>
      </c>
      <c r="AK902" s="2" t="str">
        <f aca="false">IF(ISBLANK(B902),"",TEXT(B902,"mmm"))</f>
        <v>Dec</v>
      </c>
      <c r="AL902" s="2" t="n">
        <f aca="false">IF(ISBLANK(B902),"",YEAR(B902))</f>
        <v>2024</v>
      </c>
      <c r="AM902" s="2" t="s">
        <v>226</v>
      </c>
      <c r="AN902" s="2" t="str">
        <f aca="false">IF(OR(W902="Invalid",AJ902="Invalid",AH902="Inconsistent",Z902="Mismatch",AD902="Mismatch",AM902="Yes",D902="Yes",E902="Yes"),"Invalid",IF(OR(J902="Yes",Q902="Yes",U902="Yes"),"Warning","Clean"))</f>
        <v>Invalid</v>
      </c>
    </row>
    <row r="903" customFormat="false" ht="15" hidden="false" customHeight="false" outlineLevel="0" collapsed="false">
      <c r="A903" s="2" t="s">
        <v>402</v>
      </c>
      <c r="B903" s="3" t="n">
        <v>45893</v>
      </c>
      <c r="C903" s="3" t="n">
        <v>45898</v>
      </c>
      <c r="D903" s="2" t="s">
        <v>41</v>
      </c>
      <c r="E903" s="2" t="s">
        <v>41</v>
      </c>
      <c r="F903" s="2" t="s">
        <v>403</v>
      </c>
      <c r="G903" s="2" t="s">
        <v>148</v>
      </c>
      <c r="H903" s="2" t="s">
        <v>57</v>
      </c>
      <c r="I903" s="2" t="s">
        <v>58</v>
      </c>
      <c r="J903" s="2" t="s">
        <v>41</v>
      </c>
      <c r="K903" s="2" t="s">
        <v>165</v>
      </c>
      <c r="L903" s="2" t="s">
        <v>166</v>
      </c>
      <c r="M903" s="2" t="s">
        <v>94</v>
      </c>
      <c r="N903" s="2" t="s">
        <v>100</v>
      </c>
      <c r="O903" s="2" t="s">
        <v>404</v>
      </c>
      <c r="P903" s="2" t="s">
        <v>70</v>
      </c>
      <c r="Q903" s="2" t="s">
        <v>41</v>
      </c>
      <c r="R903" s="2" t="n">
        <v>3</v>
      </c>
      <c r="S903" s="2" t="n">
        <v>3703.96</v>
      </c>
      <c r="T903" s="2" t="n">
        <v>0.15</v>
      </c>
      <c r="U903" s="2" t="str">
        <f aca="false">IF(ISBLANK(T903),"Yes","No")</f>
        <v>No</v>
      </c>
      <c r="V903" s="2" t="n">
        <f aca="false">IF(ISBLANK(T903),0,IF(ISNUMBER(T903),T903,VALUE(LEFT(T903,LEN(T903)-1))/100))</f>
        <v>0.15</v>
      </c>
      <c r="W903" s="2" t="str">
        <f aca="false">IF(AND(V903&gt;=0,V903&lt;=0.25),"Valid","Invalid")</f>
        <v>Valid</v>
      </c>
      <c r="X903" s="2" t="n">
        <v>9549.44</v>
      </c>
      <c r="Y903" s="2" t="n">
        <f aca="false">R903*S903*(1-V903)</f>
        <v>9445.098</v>
      </c>
      <c r="Z903" s="2" t="str">
        <f aca="false">IF(ABS(X903-Y903)&gt;1,"Mismatch","OK")</f>
        <v>Mismatch</v>
      </c>
      <c r="AA903" s="2" t="n">
        <v>5586.28</v>
      </c>
      <c r="AB903" s="2" t="n">
        <v>3858.82</v>
      </c>
      <c r="AC903" s="2" t="n">
        <f aca="false">Y903-AA903</f>
        <v>3858.818</v>
      </c>
      <c r="AD903" s="2" t="str">
        <f aca="false">IF(ABS(AB903-AC903)&gt;1,"Mismatch","OK")</f>
        <v>OK</v>
      </c>
      <c r="AE903" s="4" t="n">
        <f aca="false">IF(Y903=0,0,AC903/Y903)</f>
        <v>0.4085524575817</v>
      </c>
      <c r="AF903" s="2" t="s">
        <v>52</v>
      </c>
      <c r="AG903" s="2" t="s">
        <v>123</v>
      </c>
      <c r="AH903" s="2" t="str">
        <f aca="false">IF(AND(AG903="Completed",AF903&lt;&gt;"Paid"),"Inconsistent","OK")</f>
        <v>OK</v>
      </c>
      <c r="AI903" s="2" t="n">
        <f aca="false">IF(OR(ISBLANK(B903),ISBLANK(C903)),"",C903-B903)</f>
        <v>5</v>
      </c>
      <c r="AJ903" s="2" t="str">
        <f aca="false">IF(AI903="","Unknown",IF(AI903&lt;0,"Invalid","OK"))</f>
        <v>OK</v>
      </c>
      <c r="AK903" s="2" t="str">
        <f aca="false">IF(ISBLANK(B903),"",TEXT(B903,"mmm"))</f>
        <v>Aug</v>
      </c>
      <c r="AL903" s="2" t="n">
        <f aca="false">IF(ISBLANK(B903),"",YEAR(B903))</f>
        <v>2025</v>
      </c>
      <c r="AM903" s="2" t="s">
        <v>226</v>
      </c>
      <c r="AN903" s="2" t="str">
        <f aca="false">IF(OR(W903="Invalid",AJ903="Invalid",AH903="Inconsistent",Z903="Mismatch",AD903="Mismatch",AM903="Yes",D903="Yes",E903="Yes"),"Invalid",IF(OR(J903="Yes",Q903="Yes",U903="Yes"),"Warning","Clean"))</f>
        <v>Invalid</v>
      </c>
    </row>
    <row r="904" customFormat="false" ht="15" hidden="false" customHeight="false" outlineLevel="0" collapsed="false">
      <c r="A904" s="2" t="s">
        <v>1245</v>
      </c>
      <c r="B904" s="3" t="n">
        <v>45760</v>
      </c>
      <c r="C904" s="3" t="n">
        <v>45760</v>
      </c>
      <c r="D904" s="2" t="s">
        <v>41</v>
      </c>
      <c r="E904" s="2" t="s">
        <v>41</v>
      </c>
      <c r="F904" s="2" t="s">
        <v>1246</v>
      </c>
      <c r="G904" s="2" t="s">
        <v>152</v>
      </c>
      <c r="H904" s="2" t="s">
        <v>57</v>
      </c>
      <c r="I904" s="2" t="s">
        <v>45</v>
      </c>
      <c r="J904" s="2" t="s">
        <v>41</v>
      </c>
      <c r="K904" s="2" t="s">
        <v>156</v>
      </c>
      <c r="L904" s="2" t="s">
        <v>157</v>
      </c>
      <c r="M904" s="2" t="s">
        <v>48</v>
      </c>
      <c r="N904" s="2" t="s">
        <v>144</v>
      </c>
      <c r="O904" s="2" t="s">
        <v>1247</v>
      </c>
      <c r="P904" s="2" t="s">
        <v>51</v>
      </c>
      <c r="Q904" s="2" t="s">
        <v>41</v>
      </c>
      <c r="R904" s="2" t="n">
        <v>9</v>
      </c>
      <c r="S904" s="2" t="n">
        <v>1118.68</v>
      </c>
      <c r="T904" s="2" t="n">
        <v>0</v>
      </c>
      <c r="U904" s="2" t="str">
        <f aca="false">IF(ISBLANK(T904),"Yes","No")</f>
        <v>No</v>
      </c>
      <c r="V904" s="2" t="n">
        <f aca="false">IF(ISBLANK(T904),0,IF(ISNUMBER(T904),T904,VALUE(LEFT(T904,LEN(T904)-1))/100))</f>
        <v>0</v>
      </c>
      <c r="W904" s="2" t="str">
        <f aca="false">IF(AND(V904&gt;=0,V904&lt;=0.25),"Valid","Invalid")</f>
        <v>Valid</v>
      </c>
      <c r="X904" s="2" t="n">
        <v>10348.43</v>
      </c>
      <c r="Y904" s="2" t="n">
        <f aca="false">R904*S904*(1-V904)</f>
        <v>10068.12</v>
      </c>
      <c r="Z904" s="2" t="str">
        <f aca="false">IF(ABS(X904-Y904)&gt;1,"Mismatch","OK")</f>
        <v>Mismatch</v>
      </c>
      <c r="AA904" s="2" t="n">
        <v>8595.37</v>
      </c>
      <c r="AB904" s="2" t="n">
        <v>1472.75</v>
      </c>
      <c r="AC904" s="2" t="n">
        <f aca="false">Y904-AA904</f>
        <v>1472.75</v>
      </c>
      <c r="AD904" s="2" t="str">
        <f aca="false">IF(ABS(AB904-AC904)&gt;1,"Mismatch","OK")</f>
        <v>OK</v>
      </c>
      <c r="AE904" s="4" t="n">
        <f aca="false">IF(Y904=0,0,AC904/Y904)</f>
        <v>0.146278550513899</v>
      </c>
      <c r="AF904" s="2" t="s">
        <v>52</v>
      </c>
      <c r="AG904" s="2" t="s">
        <v>123</v>
      </c>
      <c r="AH904" s="2" t="str">
        <f aca="false">IF(AND(AG904="Completed",AF904&lt;&gt;"Paid"),"Inconsistent","OK")</f>
        <v>OK</v>
      </c>
      <c r="AI904" s="2" t="n">
        <f aca="false">IF(OR(ISBLANK(B904),ISBLANK(C904)),"",C904-B904)</f>
        <v>0</v>
      </c>
      <c r="AJ904" s="2" t="str">
        <f aca="false">IF(AI904="","Unknown",IF(AI904&lt;0,"Invalid","OK"))</f>
        <v>OK</v>
      </c>
      <c r="AK904" s="2" t="str">
        <f aca="false">IF(ISBLANK(B904),"",TEXT(B904,"mmm"))</f>
        <v>Apr</v>
      </c>
      <c r="AL904" s="2" t="n">
        <f aca="false">IF(ISBLANK(B904),"",YEAR(B904))</f>
        <v>2025</v>
      </c>
      <c r="AM904" s="2" t="s">
        <v>226</v>
      </c>
      <c r="AN904" s="2" t="str">
        <f aca="false">IF(OR(W904="Invalid",AJ904="Invalid",AH904="Inconsistent",Z904="Mismatch",AD904="Mismatch",AM904="Yes",D904="Yes",E904="Yes"),"Invalid",IF(OR(J904="Yes",Q904="Yes",U904="Yes"),"Warning","Clean"))</f>
        <v>Invalid</v>
      </c>
    </row>
    <row r="905" customFormat="false" ht="15" hidden="false" customHeight="false" outlineLevel="0" collapsed="false">
      <c r="A905" s="2" t="s">
        <v>803</v>
      </c>
      <c r="B905" s="3" t="n">
        <v>45932</v>
      </c>
      <c r="C905" s="3" t="n">
        <v>45938</v>
      </c>
      <c r="D905" s="2" t="s">
        <v>41</v>
      </c>
      <c r="E905" s="2" t="s">
        <v>41</v>
      </c>
      <c r="F905" s="2" t="s">
        <v>804</v>
      </c>
      <c r="G905" s="2" t="s">
        <v>67</v>
      </c>
      <c r="H905" s="2" t="s">
        <v>57</v>
      </c>
      <c r="I905" s="2" t="s">
        <v>45</v>
      </c>
      <c r="J905" s="2" t="s">
        <v>41</v>
      </c>
      <c r="K905" s="2" t="s">
        <v>142</v>
      </c>
      <c r="L905" s="2" t="s">
        <v>143</v>
      </c>
      <c r="M905" s="2" t="s">
        <v>61</v>
      </c>
      <c r="N905" s="2" t="s">
        <v>77</v>
      </c>
      <c r="O905" s="2" t="s">
        <v>805</v>
      </c>
      <c r="P905" s="2" t="s">
        <v>79</v>
      </c>
      <c r="Q905" s="2" t="s">
        <v>41</v>
      </c>
      <c r="R905" s="2" t="n">
        <v>4</v>
      </c>
      <c r="S905" s="2" t="n">
        <v>3944.64</v>
      </c>
      <c r="T905" s="2" t="n">
        <v>0.25</v>
      </c>
      <c r="U905" s="2" t="str">
        <f aca="false">IF(ISBLANK(T905),"Yes","No")</f>
        <v>No</v>
      </c>
      <c r="V905" s="2" t="n">
        <f aca="false">IF(ISBLANK(T905),0,IF(ISNUMBER(T905),T905,VALUE(LEFT(T905,LEN(T905)-1))/100))</f>
        <v>0.25</v>
      </c>
      <c r="W905" s="2" t="str">
        <f aca="false">IF(AND(V905&gt;=0,V905&lt;=0.25),"Valid","Invalid")</f>
        <v>Valid</v>
      </c>
      <c r="X905" s="2" t="n">
        <v>12116.89</v>
      </c>
      <c r="Y905" s="2" t="n">
        <f aca="false">R905*S905*(1-V905)</f>
        <v>11833.92</v>
      </c>
      <c r="Z905" s="2" t="str">
        <f aca="false">IF(ABS(X905-Y905)&gt;1,"Mismatch","OK")</f>
        <v>Mismatch</v>
      </c>
      <c r="AA905" s="2" t="n">
        <v>6682.92</v>
      </c>
      <c r="AB905" s="2" t="n">
        <v>5151</v>
      </c>
      <c r="AC905" s="2" t="n">
        <f aca="false">Y905-AA905</f>
        <v>5151</v>
      </c>
      <c r="AD905" s="2" t="str">
        <f aca="false">IF(ABS(AB905-AC905)&gt;1,"Mismatch","OK")</f>
        <v>OK</v>
      </c>
      <c r="AE905" s="4" t="n">
        <f aca="false">IF(Y905=0,0,AC905/Y905)</f>
        <v>0.435274194856818</v>
      </c>
      <c r="AF905" s="2" t="s">
        <v>52</v>
      </c>
      <c r="AG905" s="2" t="s">
        <v>123</v>
      </c>
      <c r="AH905" s="2" t="str">
        <f aca="false">IF(AND(AG905="Completed",AF905&lt;&gt;"Paid"),"Inconsistent","OK")</f>
        <v>OK</v>
      </c>
      <c r="AI905" s="2" t="n">
        <f aca="false">IF(OR(ISBLANK(B905),ISBLANK(C905)),"",C905-B905)</f>
        <v>6</v>
      </c>
      <c r="AJ905" s="2" t="str">
        <f aca="false">IF(AI905="","Unknown",IF(AI905&lt;0,"Invalid","OK"))</f>
        <v>OK</v>
      </c>
      <c r="AK905" s="2" t="str">
        <f aca="false">IF(ISBLANK(B905),"",TEXT(B905,"mmm"))</f>
        <v>Oct</v>
      </c>
      <c r="AL905" s="2" t="n">
        <f aca="false">IF(ISBLANK(B905),"",YEAR(B905))</f>
        <v>2025</v>
      </c>
      <c r="AM905" s="2" t="s">
        <v>226</v>
      </c>
      <c r="AN905" s="2" t="str">
        <f aca="false">IF(OR(W905="Invalid",AJ905="Invalid",AH905="Inconsistent",Z905="Mismatch",AD905="Mismatch",AM905="Yes",D905="Yes",E905="Yes"),"Invalid",IF(OR(J905="Yes",Q905="Yes",U905="Yes"),"Warning","Clean"))</f>
        <v>Invalid</v>
      </c>
    </row>
    <row r="906" customFormat="false" ht="15" hidden="false" customHeight="false" outlineLevel="0" collapsed="false">
      <c r="A906" s="2" t="s">
        <v>1071</v>
      </c>
      <c r="B906" s="3" t="n">
        <v>45795</v>
      </c>
      <c r="C906" s="3" t="n">
        <v>45797</v>
      </c>
      <c r="D906" s="2" t="s">
        <v>41</v>
      </c>
      <c r="E906" s="2" t="s">
        <v>41</v>
      </c>
      <c r="F906" s="2" t="s">
        <v>1072</v>
      </c>
      <c r="G906" s="2" t="s">
        <v>67</v>
      </c>
      <c r="H906" s="2" t="s">
        <v>110</v>
      </c>
      <c r="I906" s="2" t="s">
        <v>83</v>
      </c>
      <c r="J906" s="2" t="s">
        <v>41</v>
      </c>
      <c r="K906" s="2" t="s">
        <v>92</v>
      </c>
      <c r="L906" s="2" t="s">
        <v>93</v>
      </c>
      <c r="M906" s="2" t="s">
        <v>48</v>
      </c>
      <c r="N906" s="2" t="s">
        <v>111</v>
      </c>
      <c r="O906" s="2" t="s">
        <v>1073</v>
      </c>
      <c r="P906" s="2" t="s">
        <v>79</v>
      </c>
      <c r="Q906" s="2" t="s">
        <v>41</v>
      </c>
      <c r="R906" s="2" t="n">
        <v>9</v>
      </c>
      <c r="S906" s="2" t="n">
        <v>847.76</v>
      </c>
      <c r="T906" s="2" t="n">
        <v>0.15</v>
      </c>
      <c r="U906" s="2" t="str">
        <f aca="false">IF(ISBLANK(T906),"Yes","No")</f>
        <v>No</v>
      </c>
      <c r="V906" s="2" t="n">
        <f aca="false">IF(ISBLANK(T906),0,IF(ISNUMBER(T906),T906,VALUE(LEFT(T906,LEN(T906)-1))/100))</f>
        <v>0.15</v>
      </c>
      <c r="W906" s="2" t="str">
        <f aca="false">IF(AND(V906&gt;=0,V906&lt;=0.25),"Valid","Invalid")</f>
        <v>Valid</v>
      </c>
      <c r="X906" s="2" t="n">
        <v>6589.37</v>
      </c>
      <c r="Y906" s="2" t="n">
        <f aca="false">R906*S906*(1-V906)</f>
        <v>6485.364</v>
      </c>
      <c r="Z906" s="2" t="str">
        <f aca="false">IF(ABS(X906-Y906)&gt;1,"Mismatch","OK")</f>
        <v>Mismatch</v>
      </c>
      <c r="AA906" s="2" t="n">
        <v>5376.17</v>
      </c>
      <c r="AB906" s="2" t="n">
        <v>1109.19</v>
      </c>
      <c r="AC906" s="2" t="n">
        <f aca="false">Y906-AA906</f>
        <v>1109.194</v>
      </c>
      <c r="AD906" s="2" t="str">
        <f aca="false">IF(ABS(AB906-AC906)&gt;1,"Mismatch","OK")</f>
        <v>OK</v>
      </c>
      <c r="AE906" s="4" t="n">
        <f aca="false">IF(Y906=0,0,AC906/Y906)</f>
        <v>0.171030338466738</v>
      </c>
      <c r="AF906" s="2" t="s">
        <v>175</v>
      </c>
      <c r="AG906" s="2" t="s">
        <v>53</v>
      </c>
      <c r="AH906" s="2" t="str">
        <f aca="false">IF(AND(AG906="Completed",AF906&lt;&gt;"Paid"),"Inconsistent","OK")</f>
        <v>Inconsistent</v>
      </c>
      <c r="AI906" s="2" t="n">
        <f aca="false">IF(OR(ISBLANK(B906),ISBLANK(C906)),"",C906-B906)</f>
        <v>2</v>
      </c>
      <c r="AJ906" s="2" t="str">
        <f aca="false">IF(AI906="","Unknown",IF(AI906&lt;0,"Invalid","OK"))</f>
        <v>OK</v>
      </c>
      <c r="AK906" s="2" t="str">
        <f aca="false">IF(ISBLANK(B906),"",TEXT(B906,"mmm"))</f>
        <v>May</v>
      </c>
      <c r="AL906" s="2" t="n">
        <f aca="false">IF(ISBLANK(B906),"",YEAR(B906))</f>
        <v>2025</v>
      </c>
      <c r="AM906" s="2" t="s">
        <v>226</v>
      </c>
      <c r="AN906" s="2" t="str">
        <f aca="false">IF(OR(W906="Invalid",AJ906="Invalid",AH906="Inconsistent",Z906="Mismatch",AD906="Mismatch",AM906="Yes",D906="Yes",E906="Yes"),"Invalid",IF(OR(J906="Yes",Q906="Yes",U906="Yes"),"Warning","Clean"))</f>
        <v>Invalid</v>
      </c>
    </row>
    <row r="907" customFormat="false" ht="15" hidden="false" customHeight="false" outlineLevel="0" collapsed="false">
      <c r="A907" s="2" t="s">
        <v>641</v>
      </c>
      <c r="B907" s="3" t="n">
        <v>45907</v>
      </c>
      <c r="C907" s="3" t="n">
        <v>45915</v>
      </c>
      <c r="D907" s="2" t="s">
        <v>41</v>
      </c>
      <c r="E907" s="2" t="s">
        <v>41</v>
      </c>
      <c r="F907" s="2" t="s">
        <v>642</v>
      </c>
      <c r="G907" s="2" t="s">
        <v>161</v>
      </c>
      <c r="H907" s="2" t="s">
        <v>110</v>
      </c>
      <c r="I907" s="2" t="s">
        <v>58</v>
      </c>
      <c r="J907" s="2" t="s">
        <v>41</v>
      </c>
      <c r="K907" s="2" t="s">
        <v>165</v>
      </c>
      <c r="L907" s="2" t="s">
        <v>166</v>
      </c>
      <c r="M907" s="2" t="s">
        <v>94</v>
      </c>
      <c r="N907" s="2" t="s">
        <v>100</v>
      </c>
      <c r="O907" s="2" t="s">
        <v>643</v>
      </c>
      <c r="P907" s="2" t="s">
        <v>79</v>
      </c>
      <c r="Q907" s="2" t="s">
        <v>41</v>
      </c>
      <c r="R907" s="2" t="n">
        <v>3</v>
      </c>
      <c r="S907" s="2" t="n">
        <v>1711.32</v>
      </c>
      <c r="T907" s="2" t="n">
        <v>0</v>
      </c>
      <c r="U907" s="2" t="str">
        <f aca="false">IF(ISBLANK(T907),"Yes","No")</f>
        <v>No</v>
      </c>
      <c r="V907" s="2" t="n">
        <f aca="false">IF(ISBLANK(T907),0,IF(ISNUMBER(T907),T907,VALUE(LEFT(T907,LEN(T907)-1))/100))</f>
        <v>0</v>
      </c>
      <c r="W907" s="2" t="str">
        <f aca="false">IF(AND(V907&gt;=0,V907&lt;=0.25),"Valid","Invalid")</f>
        <v>Valid</v>
      </c>
      <c r="X907" s="2" t="n">
        <v>5206.53</v>
      </c>
      <c r="Y907" s="2" t="n">
        <f aca="false">R907*S907*(1-V907)</f>
        <v>5133.96</v>
      </c>
      <c r="Z907" s="2" t="str">
        <f aca="false">IF(ABS(X907-Y907)&gt;1,"Mismatch","OK")</f>
        <v>Mismatch</v>
      </c>
      <c r="AA907" s="2" t="n">
        <v>3930</v>
      </c>
      <c r="AB907" s="2" t="n">
        <v>1203.96</v>
      </c>
      <c r="AC907" s="2" t="n">
        <f aca="false">Y907-AA907</f>
        <v>1203.96</v>
      </c>
      <c r="AD907" s="2" t="str">
        <f aca="false">IF(ABS(AB907-AC907)&gt;1,"Mismatch","OK")</f>
        <v>OK</v>
      </c>
      <c r="AE907" s="4" t="n">
        <f aca="false">IF(Y907=0,0,AC907/Y907)</f>
        <v>0.234509033962088</v>
      </c>
      <c r="AF907" s="2" t="s">
        <v>52</v>
      </c>
      <c r="AG907" s="2" t="s">
        <v>123</v>
      </c>
      <c r="AH907" s="2" t="str">
        <f aca="false">IF(AND(AG907="Completed",AF907&lt;&gt;"Paid"),"Inconsistent","OK")</f>
        <v>OK</v>
      </c>
      <c r="AI907" s="2" t="n">
        <f aca="false">IF(OR(ISBLANK(B907),ISBLANK(C907)),"",C907-B907)</f>
        <v>8</v>
      </c>
      <c r="AJ907" s="2" t="str">
        <f aca="false">IF(AI907="","Unknown",IF(AI907&lt;0,"Invalid","OK"))</f>
        <v>OK</v>
      </c>
      <c r="AK907" s="2" t="str">
        <f aca="false">IF(ISBLANK(B907),"",TEXT(B907,"mmm"))</f>
        <v>Sep</v>
      </c>
      <c r="AL907" s="2" t="n">
        <f aca="false">IF(ISBLANK(B907),"",YEAR(B907))</f>
        <v>2025</v>
      </c>
      <c r="AM907" s="2" t="s">
        <v>226</v>
      </c>
      <c r="AN907" s="2" t="str">
        <f aca="false">IF(OR(W907="Invalid",AJ907="Invalid",AH907="Inconsistent",Z907="Mismatch",AD907="Mismatch",AM907="Yes",D907="Yes",E907="Yes"),"Invalid",IF(OR(J907="Yes",Q907="Yes",U907="Yes"),"Warning","Clean"))</f>
        <v>Invalid</v>
      </c>
    </row>
    <row r="908" customFormat="false" ht="15" hidden="false" customHeight="false" outlineLevel="0" collapsed="false">
      <c r="A908" s="2" t="s">
        <v>1394</v>
      </c>
      <c r="B908" s="3" t="n">
        <v>45342</v>
      </c>
      <c r="C908" s="3" t="n">
        <v>45349</v>
      </c>
      <c r="D908" s="2" t="s">
        <v>41</v>
      </c>
      <c r="E908" s="2" t="s">
        <v>41</v>
      </c>
      <c r="F908" s="2" t="s">
        <v>1395</v>
      </c>
      <c r="G908" s="2" t="s">
        <v>182</v>
      </c>
      <c r="H908" s="2" t="s">
        <v>44</v>
      </c>
      <c r="I908" s="2" t="s">
        <v>74</v>
      </c>
      <c r="J908" s="2" t="s">
        <v>41</v>
      </c>
      <c r="K908" s="2" t="s">
        <v>205</v>
      </c>
      <c r="L908" s="2" t="s">
        <v>206</v>
      </c>
      <c r="M908" s="2" t="s">
        <v>94</v>
      </c>
      <c r="N908" s="2" t="s">
        <v>95</v>
      </c>
      <c r="O908" s="2" t="s">
        <v>1396</v>
      </c>
      <c r="P908" s="2" t="s">
        <v>70</v>
      </c>
      <c r="Q908" s="2" t="s">
        <v>41</v>
      </c>
      <c r="R908" s="2" t="n">
        <v>9</v>
      </c>
      <c r="S908" s="2" t="n">
        <v>3779.31</v>
      </c>
      <c r="T908" s="2" t="n">
        <v>0.2</v>
      </c>
      <c r="U908" s="2" t="str">
        <f aca="false">IF(ISBLANK(T908),"Yes","No")</f>
        <v>No</v>
      </c>
      <c r="V908" s="2" t="n">
        <f aca="false">IF(ISBLANK(T908),0,IF(ISNUMBER(T908),T908,VALUE(LEFT(T908,LEN(T908)-1))/100))</f>
        <v>0.2</v>
      </c>
      <c r="W908" s="2" t="str">
        <f aca="false">IF(AND(V908&gt;=0,V908&lt;=0.25),"Valid","Invalid")</f>
        <v>Valid</v>
      </c>
      <c r="X908" s="2" t="n">
        <v>27322.9</v>
      </c>
      <c r="Y908" s="2" t="n">
        <f aca="false">R908*S908*(1-V908)</f>
        <v>27211.032</v>
      </c>
      <c r="Z908" s="2" t="str">
        <f aca="false">IF(ABS(X908-Y908)&gt;1,"Mismatch","OK")</f>
        <v>Mismatch</v>
      </c>
      <c r="AA908" s="2" t="n">
        <v>17940.43</v>
      </c>
      <c r="AB908" s="2" t="n">
        <v>9270.6</v>
      </c>
      <c r="AC908" s="2" t="n">
        <f aca="false">Y908-AA908</f>
        <v>9270.602</v>
      </c>
      <c r="AD908" s="2" t="str">
        <f aca="false">IF(ABS(AB908-AC908)&gt;1,"Mismatch","OK")</f>
        <v>OK</v>
      </c>
      <c r="AE908" s="4" t="n">
        <f aca="false">IF(Y908=0,0,AC908/Y908)</f>
        <v>0.340692774901003</v>
      </c>
      <c r="AF908" s="2" t="s">
        <v>52</v>
      </c>
      <c r="AG908" s="2" t="s">
        <v>123</v>
      </c>
      <c r="AH908" s="2" t="str">
        <f aca="false">IF(AND(AG908="Completed",AF908&lt;&gt;"Paid"),"Inconsistent","OK")</f>
        <v>OK</v>
      </c>
      <c r="AI908" s="2" t="n">
        <f aca="false">IF(OR(ISBLANK(B908),ISBLANK(C908)),"",C908-B908)</f>
        <v>7</v>
      </c>
      <c r="AJ908" s="2" t="str">
        <f aca="false">IF(AI908="","Unknown",IF(AI908&lt;0,"Invalid","OK"))</f>
        <v>OK</v>
      </c>
      <c r="AK908" s="2" t="str">
        <f aca="false">IF(ISBLANK(B908),"",TEXT(B908,"mmm"))</f>
        <v>Feb</v>
      </c>
      <c r="AL908" s="2" t="n">
        <f aca="false">IF(ISBLANK(B908),"",YEAR(B908))</f>
        <v>2024</v>
      </c>
      <c r="AM908" s="2" t="s">
        <v>226</v>
      </c>
      <c r="AN908" s="2" t="str">
        <f aca="false">IF(OR(W908="Invalid",AJ908="Invalid",AH908="Inconsistent",Z908="Mismatch",AD908="Mismatch",AM908="Yes",D908="Yes",E908="Yes"),"Invalid",IF(OR(J908="Yes",Q908="Yes",U908="Yes"),"Warning","Clean"))</f>
        <v>Invalid</v>
      </c>
    </row>
    <row r="909" customFormat="false" ht="15" hidden="false" customHeight="false" outlineLevel="0" collapsed="false">
      <c r="A909" s="2" t="s">
        <v>1833</v>
      </c>
      <c r="B909" s="3" t="n">
        <v>45698</v>
      </c>
      <c r="C909" s="3" t="n">
        <v>45702</v>
      </c>
      <c r="D909" s="2" t="s">
        <v>41</v>
      </c>
      <c r="E909" s="2" t="s">
        <v>41</v>
      </c>
      <c r="F909" s="2" t="s">
        <v>1834</v>
      </c>
      <c r="G909" s="2" t="s">
        <v>134</v>
      </c>
      <c r="H909" s="2" t="s">
        <v>57</v>
      </c>
      <c r="I909" s="2" t="s">
        <v>45</v>
      </c>
      <c r="J909" s="2" t="s">
        <v>41</v>
      </c>
      <c r="K909" s="2" t="s">
        <v>156</v>
      </c>
      <c r="L909" s="2" t="s">
        <v>157</v>
      </c>
      <c r="M909" s="2" t="s">
        <v>94</v>
      </c>
      <c r="N909" s="2" t="s">
        <v>191</v>
      </c>
      <c r="O909" s="2" t="s">
        <v>1835</v>
      </c>
      <c r="P909" s="2" t="s">
        <v>225</v>
      </c>
      <c r="Q909" s="2" t="s">
        <v>226</v>
      </c>
      <c r="R909" s="2" t="n">
        <v>5</v>
      </c>
      <c r="S909" s="2" t="n">
        <v>4276.29</v>
      </c>
      <c r="T909" s="2" t="n">
        <v>0</v>
      </c>
      <c r="U909" s="2" t="str">
        <f aca="false">IF(ISBLANK(T909),"Yes","No")</f>
        <v>No</v>
      </c>
      <c r="V909" s="2" t="n">
        <f aca="false">IF(ISBLANK(T909),0,IF(ISNUMBER(T909),T909,VALUE(LEFT(T909,LEN(T909)-1))/100))</f>
        <v>0</v>
      </c>
      <c r="W909" s="2" t="str">
        <f aca="false">IF(AND(V909&gt;=0,V909&lt;=0.25),"Valid","Invalid")</f>
        <v>Valid</v>
      </c>
      <c r="X909" s="2" t="n">
        <v>21443.63</v>
      </c>
      <c r="Y909" s="2" t="n">
        <f aca="false">R909*S909*(1-V909)</f>
        <v>21381.45</v>
      </c>
      <c r="Z909" s="2" t="str">
        <f aca="false">IF(ABS(X909-Y909)&gt;1,"Mismatch","OK")</f>
        <v>Mismatch</v>
      </c>
      <c r="AA909" s="2" t="n">
        <v>13240.21</v>
      </c>
      <c r="AB909" s="2" t="n">
        <v>8141.24</v>
      </c>
      <c r="AC909" s="2" t="n">
        <f aca="false">Y909-AA909</f>
        <v>8141.24</v>
      </c>
      <c r="AD909" s="2" t="str">
        <f aca="false">IF(ABS(AB909-AC909)&gt;1,"Mismatch","OK")</f>
        <v>OK</v>
      </c>
      <c r="AE909" s="4" t="n">
        <f aca="false">IF(Y909=0,0,AC909/Y909)</f>
        <v>0.380761828594413</v>
      </c>
      <c r="AF909" s="2" t="s">
        <v>175</v>
      </c>
      <c r="AG909" s="2" t="s">
        <v>53</v>
      </c>
      <c r="AH909" s="2" t="str">
        <f aca="false">IF(AND(AG909="Completed",AF909&lt;&gt;"Paid"),"Inconsistent","OK")</f>
        <v>Inconsistent</v>
      </c>
      <c r="AI909" s="2" t="n">
        <f aca="false">IF(OR(ISBLANK(B909),ISBLANK(C909)),"",C909-B909)</f>
        <v>4</v>
      </c>
      <c r="AJ909" s="2" t="str">
        <f aca="false">IF(AI909="","Unknown",IF(AI909&lt;0,"Invalid","OK"))</f>
        <v>OK</v>
      </c>
      <c r="AK909" s="2" t="str">
        <f aca="false">IF(ISBLANK(B909),"",TEXT(B909,"mmm"))</f>
        <v>Feb</v>
      </c>
      <c r="AL909" s="2" t="n">
        <f aca="false">IF(ISBLANK(B909),"",YEAR(B909))</f>
        <v>2025</v>
      </c>
      <c r="AM909" s="2" t="s">
        <v>226</v>
      </c>
      <c r="AN909" s="2" t="str">
        <f aca="false">IF(OR(W909="Invalid",AJ909="Invalid",AH909="Inconsistent",Z909="Mismatch",AD909="Mismatch",AM909="Yes",D909="Yes",E909="Yes"),"Invalid",IF(OR(J909="Yes",Q909="Yes",U909="Yes"),"Warning","Clean"))</f>
        <v>Invalid</v>
      </c>
    </row>
    <row r="910" customFormat="false" ht="15" hidden="false" customHeight="false" outlineLevel="0" collapsed="false">
      <c r="A910" s="2" t="s">
        <v>558</v>
      </c>
      <c r="B910" s="3" t="n">
        <v>45381</v>
      </c>
      <c r="C910" s="3" t="n">
        <v>45377</v>
      </c>
      <c r="D910" s="2" t="s">
        <v>41</v>
      </c>
      <c r="E910" s="2" t="s">
        <v>41</v>
      </c>
      <c r="F910" s="2" t="s">
        <v>559</v>
      </c>
      <c r="G910" s="2" t="s">
        <v>109</v>
      </c>
      <c r="H910" s="2" t="s">
        <v>115</v>
      </c>
      <c r="I910" s="2" t="s">
        <v>45</v>
      </c>
      <c r="J910" s="2" t="s">
        <v>41</v>
      </c>
      <c r="K910" s="2" t="s">
        <v>46</v>
      </c>
      <c r="L910" s="2" t="s">
        <v>47</v>
      </c>
      <c r="M910" s="2" t="s">
        <v>94</v>
      </c>
      <c r="N910" s="2" t="s">
        <v>191</v>
      </c>
      <c r="O910" s="2" t="s">
        <v>560</v>
      </c>
      <c r="P910" s="2" t="s">
        <v>51</v>
      </c>
      <c r="Q910" s="2" t="s">
        <v>41</v>
      </c>
      <c r="R910" s="2" t="n">
        <v>5</v>
      </c>
      <c r="S910" s="2" t="n">
        <v>907.54</v>
      </c>
      <c r="T910" s="2" t="n">
        <v>0.15</v>
      </c>
      <c r="U910" s="2" t="str">
        <f aca="false">IF(ISBLANK(T910),"Yes","No")</f>
        <v>No</v>
      </c>
      <c r="V910" s="2" t="n">
        <f aca="false">IF(ISBLANK(T910),0,IF(ISNUMBER(T910),T910,VALUE(LEFT(T910,LEN(T910)-1))/100))</f>
        <v>0.15</v>
      </c>
      <c r="W910" s="2" t="str">
        <f aca="false">IF(AND(V910&gt;=0,V910&lt;=0.25),"Valid","Invalid")</f>
        <v>Valid</v>
      </c>
      <c r="X910" s="2" t="n">
        <v>4099.69</v>
      </c>
      <c r="Y910" s="2" t="n">
        <f aca="false">R910*S910*(1-V910)</f>
        <v>3857.045</v>
      </c>
      <c r="Z910" s="2" t="str">
        <f aca="false">IF(ABS(X910-Y910)&gt;1,"Mismatch","OK")</f>
        <v>Mismatch</v>
      </c>
      <c r="AA910" s="2" t="n">
        <v>2769.26</v>
      </c>
      <c r="AB910" s="2" t="n">
        <v>1087.78</v>
      </c>
      <c r="AC910" s="2" t="n">
        <f aca="false">Y910-AA910</f>
        <v>1087.785</v>
      </c>
      <c r="AD910" s="2" t="str">
        <f aca="false">IF(ABS(AB910-AC910)&gt;1,"Mismatch","OK")</f>
        <v>OK</v>
      </c>
      <c r="AE910" s="4" t="n">
        <f aca="false">IF(Y910=0,0,AC910/Y910)</f>
        <v>0.282025488424428</v>
      </c>
      <c r="AF910" s="2" t="s">
        <v>52</v>
      </c>
      <c r="AG910" s="2" t="s">
        <v>123</v>
      </c>
      <c r="AH910" s="2" t="str">
        <f aca="false">IF(AND(AG910="Completed",AF910&lt;&gt;"Paid"),"Inconsistent","OK")</f>
        <v>OK</v>
      </c>
      <c r="AI910" s="2" t="n">
        <f aca="false">IF(OR(ISBLANK(B910),ISBLANK(C910)),"",C910-B910)</f>
        <v>-4</v>
      </c>
      <c r="AJ910" s="2" t="str">
        <f aca="false">IF(AI910="","Unknown",IF(AI910&lt;0,"Invalid","OK"))</f>
        <v>Invalid</v>
      </c>
      <c r="AK910" s="2" t="str">
        <f aca="false">IF(ISBLANK(B910),"",TEXT(B910,"mmm"))</f>
        <v>Mar</v>
      </c>
      <c r="AL910" s="2" t="n">
        <f aca="false">IF(ISBLANK(B910),"",YEAR(B910))</f>
        <v>2024</v>
      </c>
      <c r="AM910" s="2" t="s">
        <v>226</v>
      </c>
      <c r="AN910" s="2" t="str">
        <f aca="false">IF(OR(W910="Invalid",AJ910="Invalid",AH910="Inconsistent",Z910="Mismatch",AD910="Mismatch",AM910="Yes",D910="Yes",E910="Yes"),"Invalid",IF(OR(J910="Yes",Q910="Yes",U910="Yes"),"Warning","Clean"))</f>
        <v>Invalid</v>
      </c>
    </row>
    <row r="911" customFormat="false" ht="15" hidden="false" customHeight="false" outlineLevel="0" collapsed="false">
      <c r="A911" s="2" t="s">
        <v>946</v>
      </c>
      <c r="B911" s="3" t="n">
        <v>45522</v>
      </c>
      <c r="C911" s="3" t="n">
        <v>45528</v>
      </c>
      <c r="D911" s="2" t="s">
        <v>41</v>
      </c>
      <c r="E911" s="2" t="s">
        <v>41</v>
      </c>
      <c r="F911" s="2" t="s">
        <v>947</v>
      </c>
      <c r="G911" s="2" t="s">
        <v>73</v>
      </c>
      <c r="H911" s="2" t="s">
        <v>44</v>
      </c>
      <c r="I911" s="2" t="s">
        <v>74</v>
      </c>
      <c r="J911" s="2" t="s">
        <v>41</v>
      </c>
      <c r="K911" s="2" t="s">
        <v>104</v>
      </c>
      <c r="L911" s="2" t="s">
        <v>105</v>
      </c>
      <c r="M911" s="2" t="s">
        <v>61</v>
      </c>
      <c r="N911" s="2" t="s">
        <v>86</v>
      </c>
      <c r="O911" s="2" t="s">
        <v>948</v>
      </c>
      <c r="P911" s="2" t="s">
        <v>70</v>
      </c>
      <c r="Q911" s="2" t="s">
        <v>41</v>
      </c>
      <c r="R911" s="2" t="n">
        <v>7</v>
      </c>
      <c r="S911" s="2" t="n">
        <v>557.21</v>
      </c>
      <c r="T911" s="2" t="n">
        <v>0.1</v>
      </c>
      <c r="U911" s="2" t="str">
        <f aca="false">IF(ISBLANK(T911),"Yes","No")</f>
        <v>No</v>
      </c>
      <c r="V911" s="2" t="n">
        <f aca="false">IF(ISBLANK(T911),0,IF(ISNUMBER(T911),T911,VALUE(LEFT(T911,LEN(T911)-1))/100))</f>
        <v>0.1</v>
      </c>
      <c r="W911" s="2" t="str">
        <f aca="false">IF(AND(V911&gt;=0,V911&lt;=0.25),"Valid","Invalid")</f>
        <v>Valid</v>
      </c>
      <c r="X911" s="2" t="n">
        <v>3797.79</v>
      </c>
      <c r="Y911" s="2" t="n">
        <f aca="false">R911*S911*(1-V911)</f>
        <v>3510.423</v>
      </c>
      <c r="Z911" s="2" t="str">
        <f aca="false">IF(ABS(X911-Y911)&gt;1,"Mismatch","OK")</f>
        <v>Mismatch</v>
      </c>
      <c r="AA911" s="2" t="n">
        <v>2191.5</v>
      </c>
      <c r="AB911" s="2" t="n">
        <v>1213.48</v>
      </c>
      <c r="AC911" s="2" t="n">
        <f aca="false">Y911-AA911</f>
        <v>1318.923</v>
      </c>
      <c r="AD911" s="2" t="str">
        <f aca="false">IF(ABS(AB911-AC911)&gt;1,"Mismatch","OK")</f>
        <v>Mismatch</v>
      </c>
      <c r="AE911" s="4" t="n">
        <f aca="false">IF(Y911=0,0,AC911/Y911)</f>
        <v>0.375716259835353</v>
      </c>
      <c r="AF911" s="2" t="s">
        <v>52</v>
      </c>
      <c r="AG911" s="2" t="s">
        <v>123</v>
      </c>
      <c r="AH911" s="2" t="str">
        <f aca="false">IF(AND(AG911="Completed",AF911&lt;&gt;"Paid"),"Inconsistent","OK")</f>
        <v>OK</v>
      </c>
      <c r="AI911" s="2" t="n">
        <f aca="false">IF(OR(ISBLANK(B911),ISBLANK(C911)),"",C911-B911)</f>
        <v>6</v>
      </c>
      <c r="AJ911" s="2" t="str">
        <f aca="false">IF(AI911="","Unknown",IF(AI911&lt;0,"Invalid","OK"))</f>
        <v>OK</v>
      </c>
      <c r="AK911" s="2" t="str">
        <f aca="false">IF(ISBLANK(B911),"",TEXT(B911,"mmm"))</f>
        <v>Aug</v>
      </c>
      <c r="AL911" s="2" t="n">
        <f aca="false">IF(ISBLANK(B911),"",YEAR(B911))</f>
        <v>2024</v>
      </c>
      <c r="AM911" s="2" t="s">
        <v>226</v>
      </c>
      <c r="AN911" s="2" t="str">
        <f aca="false">IF(OR(W911="Invalid",AJ911="Invalid",AH911="Inconsistent",Z911="Mismatch",AD911="Mismatch",AM911="Yes",D911="Yes",E911="Yes"),"Invalid",IF(OR(J911="Yes",Q911="Yes",U911="Yes"),"Warning","Clean"))</f>
        <v>Invalid</v>
      </c>
    </row>
    <row r="912" customFormat="false" ht="15" hidden="false" customHeight="false" outlineLevel="0" collapsed="false">
      <c r="A912" s="2" t="s">
        <v>501</v>
      </c>
      <c r="B912" s="3" t="n">
        <v>45436</v>
      </c>
      <c r="C912" s="3" t="n">
        <v>45437</v>
      </c>
      <c r="D912" s="2" t="s">
        <v>41</v>
      </c>
      <c r="E912" s="2" t="s">
        <v>41</v>
      </c>
      <c r="F912" s="2" t="s">
        <v>502</v>
      </c>
      <c r="G912" s="2" t="s">
        <v>152</v>
      </c>
      <c r="H912" s="2" t="s">
        <v>57</v>
      </c>
      <c r="I912" s="2" t="s">
        <v>45</v>
      </c>
      <c r="J912" s="2" t="s">
        <v>41</v>
      </c>
      <c r="K912" s="2" t="s">
        <v>142</v>
      </c>
      <c r="L912" s="2" t="s">
        <v>143</v>
      </c>
      <c r="M912" s="2" t="s">
        <v>94</v>
      </c>
      <c r="N912" s="2" t="s">
        <v>100</v>
      </c>
      <c r="O912" s="2" t="s">
        <v>503</v>
      </c>
      <c r="P912" s="2" t="s">
        <v>64</v>
      </c>
      <c r="Q912" s="2" t="s">
        <v>41</v>
      </c>
      <c r="R912" s="2" t="n">
        <v>1</v>
      </c>
      <c r="S912" s="2" t="n">
        <v>634.13</v>
      </c>
      <c r="T912" s="2" t="n">
        <v>0</v>
      </c>
      <c r="U912" s="2" t="str">
        <f aca="false">IF(ISBLANK(T912),"Yes","No")</f>
        <v>No</v>
      </c>
      <c r="V912" s="2" t="n">
        <f aca="false">IF(ISBLANK(T912),0,IF(ISNUMBER(T912),T912,VALUE(LEFT(T912,LEN(T912)-1))/100))</f>
        <v>0</v>
      </c>
      <c r="W912" s="2" t="str">
        <f aca="false">IF(AND(V912&gt;=0,V912&lt;=0.25),"Valid","Invalid")</f>
        <v>Valid</v>
      </c>
      <c r="X912" s="2" t="n">
        <v>808.67</v>
      </c>
      <c r="Y912" s="2" t="n">
        <f aca="false">R912*S912*(1-V912)</f>
        <v>634.13</v>
      </c>
      <c r="Z912" s="2" t="str">
        <f aca="false">IF(ABS(X912-Y912)&gt;1,"Mismatch","OK")</f>
        <v>Mismatch</v>
      </c>
      <c r="AA912" s="2" t="n">
        <v>453.35</v>
      </c>
      <c r="AB912" s="2" t="n">
        <v>180.78</v>
      </c>
      <c r="AC912" s="2" t="n">
        <f aca="false">Y912-AA912</f>
        <v>180.78</v>
      </c>
      <c r="AD912" s="2" t="str">
        <f aca="false">IF(ABS(AB912-AC912)&gt;1,"Mismatch","OK")</f>
        <v>OK</v>
      </c>
      <c r="AE912" s="4" t="n">
        <f aca="false">IF(Y912=0,0,AC912/Y912)</f>
        <v>0.28508350022866</v>
      </c>
      <c r="AF912" s="2" t="s">
        <v>122</v>
      </c>
      <c r="AG912" s="2" t="s">
        <v>123</v>
      </c>
      <c r="AH912" s="2" t="str">
        <f aca="false">IF(AND(AG912="Completed",AF912&lt;&gt;"Paid"),"Inconsistent","OK")</f>
        <v>OK</v>
      </c>
      <c r="AI912" s="2" t="n">
        <f aca="false">IF(OR(ISBLANK(B912),ISBLANK(C912)),"",C912-B912)</f>
        <v>1</v>
      </c>
      <c r="AJ912" s="2" t="str">
        <f aca="false">IF(AI912="","Unknown",IF(AI912&lt;0,"Invalid","OK"))</f>
        <v>OK</v>
      </c>
      <c r="AK912" s="2" t="str">
        <f aca="false">IF(ISBLANK(B912),"",TEXT(B912,"mmm"))</f>
        <v>May</v>
      </c>
      <c r="AL912" s="2" t="n">
        <f aca="false">IF(ISBLANK(B912),"",YEAR(B912))</f>
        <v>2024</v>
      </c>
      <c r="AM912" s="2" t="s">
        <v>226</v>
      </c>
      <c r="AN912" s="2" t="str">
        <f aca="false">IF(OR(W912="Invalid",AJ912="Invalid",AH912="Inconsistent",Z912="Mismatch",AD912="Mismatch",AM912="Yes",D912="Yes",E912="Yes"),"Invalid",IF(OR(J912="Yes",Q912="Yes",U912="Yes"),"Warning","Clean"))</f>
        <v>Invalid</v>
      </c>
    </row>
    <row r="913" customFormat="false" ht="15" hidden="false" customHeight="false" outlineLevel="0" collapsed="false">
      <c r="A913" s="2" t="s">
        <v>1133</v>
      </c>
      <c r="B913" s="3" t="n">
        <v>45824</v>
      </c>
      <c r="C913" s="3" t="n">
        <v>45826</v>
      </c>
      <c r="D913" s="2" t="s">
        <v>41</v>
      </c>
      <c r="E913" s="2" t="s">
        <v>41</v>
      </c>
      <c r="F913" s="2" t="s">
        <v>1134</v>
      </c>
      <c r="G913" s="2" t="s">
        <v>138</v>
      </c>
      <c r="H913" s="2" t="s">
        <v>115</v>
      </c>
      <c r="I913" s="2" t="s">
        <v>83</v>
      </c>
      <c r="J913" s="2" t="s">
        <v>41</v>
      </c>
      <c r="K913" s="2" t="s">
        <v>92</v>
      </c>
      <c r="L913" s="2" t="s">
        <v>93</v>
      </c>
      <c r="M913" s="2" t="s">
        <v>48</v>
      </c>
      <c r="N913" s="2" t="s">
        <v>49</v>
      </c>
      <c r="O913" s="2" t="s">
        <v>1135</v>
      </c>
      <c r="P913" s="2" t="s">
        <v>70</v>
      </c>
      <c r="Q913" s="2" t="s">
        <v>41</v>
      </c>
      <c r="R913" s="2" t="n">
        <v>3</v>
      </c>
      <c r="S913" s="2" t="n">
        <v>4289.37</v>
      </c>
      <c r="T913" s="2" t="n">
        <v>0.1</v>
      </c>
      <c r="U913" s="2" t="str">
        <f aca="false">IF(ISBLANK(T913),"Yes","No")</f>
        <v>No</v>
      </c>
      <c r="V913" s="2" t="n">
        <f aca="false">IF(ISBLANK(T913),0,IF(ISNUMBER(T913),T913,VALUE(LEFT(T913,LEN(T913)-1))/100))</f>
        <v>0.1</v>
      </c>
      <c r="W913" s="2" t="str">
        <f aca="false">IF(AND(V913&gt;=0,V913&lt;=0.25),"Valid","Invalid")</f>
        <v>Valid</v>
      </c>
      <c r="X913" s="2" t="n">
        <v>11778.71</v>
      </c>
      <c r="Y913" s="2" t="n">
        <f aca="false">R913*S913*(1-V913)</f>
        <v>11581.299</v>
      </c>
      <c r="Z913" s="2" t="str">
        <f aca="false">IF(ABS(X913-Y913)&gt;1,"Mismatch","OK")</f>
        <v>Mismatch</v>
      </c>
      <c r="AA913" s="2" t="n">
        <v>6829.43</v>
      </c>
      <c r="AB913" s="2" t="n">
        <v>4751.87</v>
      </c>
      <c r="AC913" s="2" t="n">
        <f aca="false">Y913-AA913</f>
        <v>4751.869</v>
      </c>
      <c r="AD913" s="2" t="str">
        <f aca="false">IF(ABS(AB913-AC913)&gt;1,"Mismatch","OK")</f>
        <v>OK</v>
      </c>
      <c r="AE913" s="4" t="n">
        <f aca="false">IF(Y913=0,0,AC913/Y913)</f>
        <v>0.410305355211017</v>
      </c>
      <c r="AF913" s="2" t="s">
        <v>52</v>
      </c>
      <c r="AG913" s="2" t="s">
        <v>123</v>
      </c>
      <c r="AH913" s="2" t="str">
        <f aca="false">IF(AND(AG913="Completed",AF913&lt;&gt;"Paid"),"Inconsistent","OK")</f>
        <v>OK</v>
      </c>
      <c r="AI913" s="2" t="n">
        <f aca="false">IF(OR(ISBLANK(B913),ISBLANK(C913)),"",C913-B913)</f>
        <v>2</v>
      </c>
      <c r="AJ913" s="2" t="str">
        <f aca="false">IF(AI913="","Unknown",IF(AI913&lt;0,"Invalid","OK"))</f>
        <v>OK</v>
      </c>
      <c r="AK913" s="2" t="str">
        <f aca="false">IF(ISBLANK(B913),"",TEXT(B913,"mmm"))</f>
        <v>Jun</v>
      </c>
      <c r="AL913" s="2" t="n">
        <f aca="false">IF(ISBLANK(B913),"",YEAR(B913))</f>
        <v>2025</v>
      </c>
      <c r="AM913" s="2" t="s">
        <v>226</v>
      </c>
      <c r="AN913" s="2" t="str">
        <f aca="false">IF(OR(W913="Invalid",AJ913="Invalid",AH913="Inconsistent",Z913="Mismatch",AD913="Mismatch",AM913="Yes",D913="Yes",E913="Yes"),"Invalid",IF(OR(J913="Yes",Q913="Yes",U913="Yes"),"Warning","Clean"))</f>
        <v>Invalid</v>
      </c>
    </row>
  </sheetData>
  <autoFilter ref="A1:AN9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5" t="s">
        <v>2788</v>
      </c>
      <c r="B1" s="6" t="s">
        <v>2789</v>
      </c>
    </row>
    <row r="2" customFormat="false" ht="15" hidden="false" customHeight="false" outlineLevel="0" collapsed="false">
      <c r="A2" s="6" t="s">
        <v>2790</v>
      </c>
      <c r="B2" s="6" t="s">
        <v>2791</v>
      </c>
    </row>
    <row r="3" customFormat="false" ht="15" hidden="false" customHeight="false" outlineLevel="0" collapsed="false">
      <c r="A3" s="6" t="s">
        <v>2792</v>
      </c>
      <c r="B3" s="6" t="s">
        <v>2793</v>
      </c>
    </row>
    <row r="4" customFormat="false" ht="15" hidden="false" customHeight="false" outlineLevel="0" collapsed="false">
      <c r="A4" s="6" t="s">
        <v>19</v>
      </c>
      <c r="B4" s="6" t="s">
        <v>2794</v>
      </c>
    </row>
    <row r="5" customFormat="false" ht="23.85" hidden="false" customHeight="false" outlineLevel="0" collapsed="false">
      <c r="A5" s="6" t="s">
        <v>20</v>
      </c>
      <c r="B5" s="6" t="s">
        <v>2795</v>
      </c>
    </row>
    <row r="6" customFormat="false" ht="15" hidden="false" customHeight="false" outlineLevel="0" collapsed="false">
      <c r="A6" s="6" t="s">
        <v>21</v>
      </c>
      <c r="B6" s="6" t="s">
        <v>2796</v>
      </c>
    </row>
    <row r="7" customFormat="false" ht="23.85" hidden="false" customHeight="false" outlineLevel="0" collapsed="false">
      <c r="A7" s="6" t="s">
        <v>22</v>
      </c>
      <c r="B7" s="6" t="s">
        <v>2797</v>
      </c>
    </row>
    <row r="8" customFormat="false" ht="15" hidden="false" customHeight="false" outlineLevel="0" collapsed="false">
      <c r="A8" s="6" t="s">
        <v>24</v>
      </c>
      <c r="B8" s="6" t="s">
        <v>2798</v>
      </c>
    </row>
    <row r="9" customFormat="false" ht="15" hidden="false" customHeight="false" outlineLevel="0" collapsed="false">
      <c r="A9" s="6" t="s">
        <v>25</v>
      </c>
      <c r="B9" s="6" t="s">
        <v>2799</v>
      </c>
    </row>
    <row r="10" customFormat="false" ht="15" hidden="false" customHeight="false" outlineLevel="0" collapsed="false">
      <c r="A10" s="6" t="s">
        <v>28</v>
      </c>
      <c r="B10" s="6" t="s">
        <v>2800</v>
      </c>
    </row>
    <row r="11" customFormat="false" ht="15" hidden="false" customHeight="false" outlineLevel="0" collapsed="false">
      <c r="A11" s="6" t="s">
        <v>29</v>
      </c>
      <c r="B11" s="6" t="s">
        <v>2801</v>
      </c>
    </row>
    <row r="12" customFormat="false" ht="15" hidden="false" customHeight="false" outlineLevel="0" collapsed="false">
      <c r="A12" s="6" t="s">
        <v>30</v>
      </c>
      <c r="B12" s="6" t="s">
        <v>2802</v>
      </c>
    </row>
    <row r="13" customFormat="false" ht="15" hidden="false" customHeight="false" outlineLevel="0" collapsed="false">
      <c r="A13" s="6" t="s">
        <v>33</v>
      </c>
      <c r="B13" s="6" t="s">
        <v>2803</v>
      </c>
    </row>
    <row r="14" customFormat="false" ht="15" hidden="false" customHeight="false" outlineLevel="0" collapsed="false">
      <c r="A14" s="6" t="s">
        <v>34</v>
      </c>
      <c r="B14" s="6" t="s">
        <v>2804</v>
      </c>
    </row>
    <row r="15" customFormat="false" ht="15" hidden="false" customHeight="false" outlineLevel="0" collapsed="false">
      <c r="A15" s="6" t="s">
        <v>35</v>
      </c>
      <c r="B15" s="6" t="s">
        <v>2805</v>
      </c>
    </row>
    <row r="16" customFormat="false" ht="23.85" hidden="false" customHeight="false" outlineLevel="0" collapsed="false">
      <c r="A16" s="6" t="s">
        <v>38</v>
      </c>
      <c r="B16" s="6" t="s">
        <v>2806</v>
      </c>
    </row>
    <row r="17" customFormat="false" ht="23.85" hidden="false" customHeight="false" outlineLevel="0" collapsed="false">
      <c r="A17" s="6" t="s">
        <v>39</v>
      </c>
      <c r="B17" s="6" t="s">
        <v>2807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2026-06-23T20:04:04Z</dcterms:created>
  <dc:creator>openpyxl</dc:creator>
  <dc:description/>
  <dc:language>en-US</dc:language>
  <cp:lastModifiedBy/>
  <dcterms:modified xsi:type="dcterms:W3CDTF">2026-06-23T20:04:06Z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